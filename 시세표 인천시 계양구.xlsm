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3" activeTab="16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계산동" sheetId="265" r:id="rId6"/>
    <sheet name="귤현동" sheetId="266" r:id="rId7"/>
    <sheet name="동양동" sheetId="267" r:id="rId8"/>
    <sheet name="박촌동" sheetId="268" r:id="rId9"/>
    <sheet name="방축동" sheetId="269" r:id="rId10"/>
    <sheet name="병방동" sheetId="270" r:id="rId11"/>
    <sheet name="서운동" sheetId="271" r:id="rId12"/>
    <sheet name="오류동" sheetId="272" r:id="rId13"/>
    <sheet name="용종동" sheetId="273" r:id="rId14"/>
    <sheet name="이화동" sheetId="274" r:id="rId15"/>
    <sheet name="작전동" sheetId="275" r:id="rId16"/>
    <sheet name="효성동" sheetId="276" r:id="rId17"/>
    <sheet name="양식" sheetId="34" r:id="rId18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계산동!$A$1:$U$6</definedName>
    <definedName name="_xlnm.Print_Area" localSheetId="6">귤현동!$A$1:$U$6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동양동!$A$1:$U$6</definedName>
    <definedName name="_xlnm.Print_Area" localSheetId="8">박촌동!$A$1:$U$6</definedName>
    <definedName name="_xlnm.Print_Area" localSheetId="9">방축동!$A$1:$U$6</definedName>
    <definedName name="_xlnm.Print_Area" localSheetId="10">병방동!$A$1:$U$6</definedName>
    <definedName name="_xlnm.Print_Area" localSheetId="11">서운동!$A$1:$U$6</definedName>
    <definedName name="_xlnm.Print_Area" localSheetId="17">양식!$A$1:$U$6</definedName>
    <definedName name="_xlnm.Print_Area" localSheetId="12">오류동!$A$1:$U$6</definedName>
    <definedName name="_xlnm.Print_Area" localSheetId="13">용종동!$A$1:$U$6</definedName>
    <definedName name="_xlnm.Print_Area" localSheetId="14">이화동!$A$1:$U$6</definedName>
    <definedName name="_xlnm.Print_Area" localSheetId="15">작전동!$A$1:$U$6</definedName>
    <definedName name="_xlnm.Print_Area" localSheetId="16">효성동!$A$1:$U$6</definedName>
    <definedName name="_xlnm.Print_Titles" localSheetId="5">계산동!$1:$3</definedName>
    <definedName name="_xlnm.Print_Titles" localSheetId="6">귤현동!$1:$3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동양동!$1:$3</definedName>
    <definedName name="_xlnm.Print_Titles" localSheetId="8">박촌동!$1:$3</definedName>
    <definedName name="_xlnm.Print_Titles" localSheetId="9">방축동!$1:$3</definedName>
    <definedName name="_xlnm.Print_Titles" localSheetId="10">병방동!$1:$3</definedName>
    <definedName name="_xlnm.Print_Titles" localSheetId="11">서운동!$1:$3</definedName>
    <definedName name="_xlnm.Print_Titles" localSheetId="17">양식!$1:$3</definedName>
    <definedName name="_xlnm.Print_Titles" localSheetId="12">오류동!$1:$3</definedName>
    <definedName name="_xlnm.Print_Titles" localSheetId="13">용종동!$1:$3</definedName>
    <definedName name="_xlnm.Print_Titles" localSheetId="14">이화동!$1:$3</definedName>
    <definedName name="_xlnm.Print_Titles" localSheetId="15">작전동!$1:$3</definedName>
    <definedName name="_xlnm.Print_Titles" localSheetId="16">효성동!$1:$3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121" i="276" l="1"/>
  <c r="AP121" i="276"/>
  <c r="AI121" i="276"/>
  <c r="AN121" i="276" s="1"/>
  <c r="AH121" i="276"/>
  <c r="AF121" i="276"/>
  <c r="AE121" i="276"/>
  <c r="AD121" i="276"/>
  <c r="AB121" i="276"/>
  <c r="AA121" i="276"/>
  <c r="Z121" i="276"/>
  <c r="Y121" i="276"/>
  <c r="X121" i="276"/>
  <c r="W121" i="276"/>
  <c r="P121" i="276"/>
  <c r="O121" i="276"/>
  <c r="N121" i="276"/>
  <c r="M121" i="276"/>
  <c r="AU120" i="276"/>
  <c r="AT120" i="276"/>
  <c r="AQ120" i="276"/>
  <c r="AP120" i="276"/>
  <c r="AO120" i="276"/>
  <c r="AV120" i="276" s="1"/>
  <c r="AI120" i="276"/>
  <c r="AH120" i="276"/>
  <c r="AF120" i="276"/>
  <c r="AE120" i="276"/>
  <c r="AC120" i="276"/>
  <c r="AA120" i="276"/>
  <c r="Z120" i="276"/>
  <c r="Y120" i="276"/>
  <c r="X120" i="276"/>
  <c r="W120" i="276"/>
  <c r="P120" i="276"/>
  <c r="O120" i="276"/>
  <c r="AD120" i="276" s="1"/>
  <c r="N120" i="276"/>
  <c r="M120" i="276"/>
  <c r="AI119" i="276"/>
  <c r="AH119" i="276"/>
  <c r="W119" i="276"/>
  <c r="AT118" i="276"/>
  <c r="AP118" i="276"/>
  <c r="AO118" i="276"/>
  <c r="AV118" i="276" s="1"/>
  <c r="AI118" i="276"/>
  <c r="AH118" i="276"/>
  <c r="AF118" i="276"/>
  <c r="AE118" i="276"/>
  <c r="AC118" i="276"/>
  <c r="AA118" i="276"/>
  <c r="Z118" i="276"/>
  <c r="Y118" i="276"/>
  <c r="X118" i="276"/>
  <c r="W118" i="276"/>
  <c r="P118" i="276"/>
  <c r="O118" i="276"/>
  <c r="N118" i="276"/>
  <c r="M118" i="276"/>
  <c r="AT117" i="276"/>
  <c r="AP117" i="276"/>
  <c r="AN117" i="276"/>
  <c r="AI117" i="276"/>
  <c r="AH117" i="276"/>
  <c r="AF117" i="276"/>
  <c r="AE117" i="276"/>
  <c r="AD117" i="276"/>
  <c r="AC117" i="276"/>
  <c r="AB117" i="276"/>
  <c r="AA117" i="276"/>
  <c r="Z117" i="276"/>
  <c r="Y117" i="276"/>
  <c r="X117" i="276"/>
  <c r="W117" i="276"/>
  <c r="P117" i="276"/>
  <c r="O117" i="276"/>
  <c r="N117" i="276"/>
  <c r="AO117" i="276" s="1"/>
  <c r="AV117" i="276" s="1"/>
  <c r="M117" i="276"/>
  <c r="AV116" i="276"/>
  <c r="AU116" i="276"/>
  <c r="AT116" i="276"/>
  <c r="AP116" i="276"/>
  <c r="AO116" i="276"/>
  <c r="AN116" i="276"/>
  <c r="AJ116" i="276"/>
  <c r="AI116" i="276"/>
  <c r="AH116" i="276"/>
  <c r="AF116" i="276"/>
  <c r="AE116" i="276"/>
  <c r="AD116" i="276"/>
  <c r="AC116" i="276"/>
  <c r="AA116" i="276"/>
  <c r="Z116" i="276"/>
  <c r="Y116" i="276"/>
  <c r="X116" i="276"/>
  <c r="W116" i="276"/>
  <c r="P116" i="276"/>
  <c r="O116" i="276"/>
  <c r="N116" i="276"/>
  <c r="M116" i="276"/>
  <c r="AU115" i="276"/>
  <c r="AR115" i="276"/>
  <c r="AP115" i="276"/>
  <c r="AI115" i="276"/>
  <c r="AH115" i="276"/>
  <c r="AF115" i="276"/>
  <c r="AE115" i="276"/>
  <c r="AD115" i="276"/>
  <c r="AB115" i="276"/>
  <c r="AA115" i="276"/>
  <c r="Z115" i="276"/>
  <c r="Y115" i="276"/>
  <c r="X115" i="276"/>
  <c r="W115" i="276"/>
  <c r="P115" i="276"/>
  <c r="O115" i="276"/>
  <c r="N115" i="276"/>
  <c r="M115" i="276"/>
  <c r="AT114" i="276"/>
  <c r="AP114" i="276"/>
  <c r="AO114" i="276"/>
  <c r="AV114" i="276" s="1"/>
  <c r="AJ114" i="276"/>
  <c r="AI114" i="276"/>
  <c r="AH114" i="276"/>
  <c r="AF114" i="276"/>
  <c r="AE114" i="276"/>
  <c r="AC114" i="276"/>
  <c r="AA114" i="276"/>
  <c r="Z114" i="276"/>
  <c r="Y114" i="276"/>
  <c r="X114" i="276"/>
  <c r="W114" i="276"/>
  <c r="P114" i="276"/>
  <c r="O114" i="276"/>
  <c r="N114" i="276"/>
  <c r="M114" i="276"/>
  <c r="AR113" i="276"/>
  <c r="AP113" i="276"/>
  <c r="AI113" i="276"/>
  <c r="AH113" i="276"/>
  <c r="AF113" i="276"/>
  <c r="AE113" i="276"/>
  <c r="AB113" i="276"/>
  <c r="AA113" i="276"/>
  <c r="Z113" i="276"/>
  <c r="Y113" i="276"/>
  <c r="X113" i="276"/>
  <c r="W113" i="276"/>
  <c r="P113" i="276"/>
  <c r="O113" i="276"/>
  <c r="N113" i="276"/>
  <c r="M113" i="276"/>
  <c r="AI112" i="276"/>
  <c r="AH112" i="276"/>
  <c r="W112" i="276"/>
  <c r="AU111" i="276"/>
  <c r="AP111" i="276"/>
  <c r="AI111" i="276"/>
  <c r="AH111" i="276"/>
  <c r="AF111" i="276"/>
  <c r="AE111" i="276"/>
  <c r="AD111" i="276"/>
  <c r="AA111" i="276"/>
  <c r="Z111" i="276"/>
  <c r="Y111" i="276"/>
  <c r="X111" i="276"/>
  <c r="W111" i="276"/>
  <c r="P111" i="276"/>
  <c r="O111" i="276"/>
  <c r="N111" i="276"/>
  <c r="M111" i="276"/>
  <c r="AT110" i="276"/>
  <c r="AP110" i="276"/>
  <c r="AJ110" i="276"/>
  <c r="AI110" i="276"/>
  <c r="AH110" i="276"/>
  <c r="AF110" i="276"/>
  <c r="AE110" i="276"/>
  <c r="AA110" i="276"/>
  <c r="Z110" i="276"/>
  <c r="Y110" i="276"/>
  <c r="X110" i="276"/>
  <c r="W110" i="276"/>
  <c r="P110" i="276"/>
  <c r="O110" i="276"/>
  <c r="N110" i="276"/>
  <c r="M110" i="276"/>
  <c r="AP109" i="276"/>
  <c r="AI109" i="276"/>
  <c r="AH109" i="276"/>
  <c r="AF109" i="276"/>
  <c r="AE109" i="276"/>
  <c r="AB109" i="276"/>
  <c r="AA109" i="276"/>
  <c r="Z109" i="276"/>
  <c r="Y109" i="276"/>
  <c r="X109" i="276"/>
  <c r="W109" i="276"/>
  <c r="P109" i="276"/>
  <c r="O109" i="276"/>
  <c r="N109" i="276"/>
  <c r="M109" i="276"/>
  <c r="AV108" i="276"/>
  <c r="AQ108" i="276"/>
  <c r="AP108" i="276"/>
  <c r="AO108" i="276"/>
  <c r="AJ108" i="276"/>
  <c r="AI108" i="276"/>
  <c r="AH108" i="276"/>
  <c r="AF108" i="276"/>
  <c r="AE108" i="276"/>
  <c r="AC108" i="276"/>
  <c r="AB108" i="276"/>
  <c r="AA108" i="276"/>
  <c r="Z108" i="276"/>
  <c r="Y108" i="276"/>
  <c r="X108" i="276"/>
  <c r="W108" i="276"/>
  <c r="P108" i="276"/>
  <c r="O108" i="276"/>
  <c r="AD108" i="276" s="1"/>
  <c r="N108" i="276"/>
  <c r="M108" i="276"/>
  <c r="AR108" i="276" s="1"/>
  <c r="AT107" i="276"/>
  <c r="AP107" i="276"/>
  <c r="AJ107" i="276"/>
  <c r="AI107" i="276"/>
  <c r="AH107" i="276"/>
  <c r="AF107" i="276"/>
  <c r="AE107" i="276"/>
  <c r="AD107" i="276"/>
  <c r="AC107" i="276"/>
  <c r="AB107" i="276"/>
  <c r="AA107" i="276"/>
  <c r="Z107" i="276"/>
  <c r="Y107" i="276"/>
  <c r="X107" i="276"/>
  <c r="W107" i="276"/>
  <c r="P107" i="276"/>
  <c r="O107" i="276"/>
  <c r="N107" i="276"/>
  <c r="AO107" i="276" s="1"/>
  <c r="AV107" i="276" s="1"/>
  <c r="M107" i="276"/>
  <c r="AI106" i="276"/>
  <c r="AH106" i="276"/>
  <c r="W106" i="276"/>
  <c r="AU105" i="276"/>
  <c r="AQ105" i="276"/>
  <c r="AP105" i="276"/>
  <c r="AI105" i="276"/>
  <c r="AH105" i="276"/>
  <c r="AF105" i="276"/>
  <c r="AE105" i="276"/>
  <c r="AD105" i="276"/>
  <c r="AB105" i="276"/>
  <c r="AA105" i="276"/>
  <c r="Z105" i="276"/>
  <c r="Y105" i="276"/>
  <c r="X105" i="276"/>
  <c r="W105" i="276"/>
  <c r="P105" i="276"/>
  <c r="O105" i="276"/>
  <c r="N105" i="276"/>
  <c r="M105" i="276"/>
  <c r="AV104" i="276"/>
  <c r="AR104" i="276"/>
  <c r="AP104" i="276"/>
  <c r="AO104" i="276"/>
  <c r="AI104" i="276"/>
  <c r="AH104" i="276"/>
  <c r="AF104" i="276"/>
  <c r="AE104" i="276"/>
  <c r="AC104" i="276"/>
  <c r="AB104" i="276"/>
  <c r="AA104" i="276"/>
  <c r="Z104" i="276"/>
  <c r="Y104" i="276"/>
  <c r="X104" i="276"/>
  <c r="W104" i="276"/>
  <c r="P104" i="276"/>
  <c r="O104" i="276"/>
  <c r="N104" i="276"/>
  <c r="M104" i="276"/>
  <c r="AU103" i="276"/>
  <c r="AT103" i="276"/>
  <c r="AP103" i="276"/>
  <c r="AI103" i="276"/>
  <c r="AH103" i="276"/>
  <c r="AF103" i="276"/>
  <c r="AE103" i="276"/>
  <c r="AD103" i="276"/>
  <c r="AB103" i="276"/>
  <c r="AA103" i="276"/>
  <c r="Z103" i="276"/>
  <c r="Y103" i="276"/>
  <c r="X103" i="276"/>
  <c r="W103" i="276"/>
  <c r="P103" i="276"/>
  <c r="O103" i="276"/>
  <c r="N103" i="276"/>
  <c r="M103" i="276"/>
  <c r="AT102" i="276"/>
  <c r="AP102" i="276"/>
  <c r="AO102" i="276"/>
  <c r="AV102" i="276" s="1"/>
  <c r="AI102" i="276"/>
  <c r="AH102" i="276"/>
  <c r="AF102" i="276"/>
  <c r="AE102" i="276"/>
  <c r="AD102" i="276"/>
  <c r="AC102" i="276"/>
  <c r="AA102" i="276"/>
  <c r="Z102" i="276"/>
  <c r="Y102" i="276"/>
  <c r="X102" i="276"/>
  <c r="W102" i="276"/>
  <c r="P102" i="276"/>
  <c r="O102" i="276"/>
  <c r="N102" i="276"/>
  <c r="M102" i="276"/>
  <c r="AU101" i="276"/>
  <c r="AP101" i="276"/>
  <c r="AI101" i="276"/>
  <c r="AH101" i="276"/>
  <c r="AF101" i="276"/>
  <c r="AE101" i="276"/>
  <c r="AD101" i="276"/>
  <c r="AB101" i="276"/>
  <c r="AA101" i="276"/>
  <c r="Z101" i="276"/>
  <c r="Y101" i="276"/>
  <c r="X101" i="276"/>
  <c r="W101" i="276"/>
  <c r="P101" i="276"/>
  <c r="O101" i="276"/>
  <c r="N101" i="276"/>
  <c r="M101" i="276"/>
  <c r="AR101" i="276" s="1"/>
  <c r="AI100" i="276"/>
  <c r="AH100" i="276"/>
  <c r="W100" i="276"/>
  <c r="AP99" i="276"/>
  <c r="AI99" i="276"/>
  <c r="AH99" i="276"/>
  <c r="AF99" i="276"/>
  <c r="AE99" i="276"/>
  <c r="AD99" i="276"/>
  <c r="AC99" i="276"/>
  <c r="AB99" i="276"/>
  <c r="AA99" i="276"/>
  <c r="Z99" i="276"/>
  <c r="Y99" i="276"/>
  <c r="X99" i="276"/>
  <c r="W99" i="276"/>
  <c r="P99" i="276"/>
  <c r="O99" i="276"/>
  <c r="N99" i="276"/>
  <c r="AO99" i="276" s="1"/>
  <c r="AV99" i="276" s="1"/>
  <c r="M99" i="276"/>
  <c r="AV98" i="276"/>
  <c r="AT98" i="276"/>
  <c r="AP98" i="276"/>
  <c r="AO98" i="276"/>
  <c r="AI98" i="276"/>
  <c r="AH98" i="276"/>
  <c r="AF98" i="276"/>
  <c r="AE98" i="276"/>
  <c r="AC98" i="276"/>
  <c r="AA98" i="276"/>
  <c r="Z98" i="276"/>
  <c r="Y98" i="276"/>
  <c r="X98" i="276"/>
  <c r="W98" i="276"/>
  <c r="P98" i="276"/>
  <c r="O98" i="276"/>
  <c r="N98" i="276"/>
  <c r="M98" i="276"/>
  <c r="AU97" i="276"/>
  <c r="AP97" i="276"/>
  <c r="AI97" i="276"/>
  <c r="AH97" i="276"/>
  <c r="AF97" i="276"/>
  <c r="AE97" i="276"/>
  <c r="AD97" i="276"/>
  <c r="AA97" i="276"/>
  <c r="Z97" i="276"/>
  <c r="Y97" i="276"/>
  <c r="X97" i="276"/>
  <c r="W97" i="276"/>
  <c r="P97" i="276"/>
  <c r="O97" i="276"/>
  <c r="N97" i="276"/>
  <c r="M97" i="276"/>
  <c r="AT96" i="276"/>
  <c r="AP96" i="276"/>
  <c r="AI96" i="276"/>
  <c r="AN96" i="276" s="1"/>
  <c r="AH96" i="276"/>
  <c r="AF96" i="276"/>
  <c r="AE96" i="276"/>
  <c r="AA96" i="276"/>
  <c r="Z96" i="276"/>
  <c r="Y96" i="276"/>
  <c r="X96" i="276"/>
  <c r="W96" i="276"/>
  <c r="P96" i="276"/>
  <c r="O96" i="276"/>
  <c r="N96" i="276"/>
  <c r="M96" i="276"/>
  <c r="AQ95" i="276"/>
  <c r="AP95" i="276"/>
  <c r="AI95" i="276"/>
  <c r="AH95" i="276"/>
  <c r="AF95" i="276"/>
  <c r="AE95" i="276"/>
  <c r="AB95" i="276"/>
  <c r="AA95" i="276"/>
  <c r="Z95" i="276"/>
  <c r="Y95" i="276"/>
  <c r="X95" i="276"/>
  <c r="W95" i="276"/>
  <c r="P95" i="276"/>
  <c r="O95" i="276"/>
  <c r="AD95" i="276" s="1"/>
  <c r="N95" i="276"/>
  <c r="M95" i="276"/>
  <c r="AV94" i="276"/>
  <c r="AR94" i="276"/>
  <c r="AP94" i="276"/>
  <c r="AO94" i="276"/>
  <c r="AI94" i="276"/>
  <c r="AH94" i="276"/>
  <c r="AF94" i="276"/>
  <c r="AE94" i="276"/>
  <c r="AC94" i="276"/>
  <c r="AA94" i="276"/>
  <c r="Z94" i="276"/>
  <c r="Y94" i="276"/>
  <c r="X94" i="276"/>
  <c r="W94" i="276"/>
  <c r="P94" i="276"/>
  <c r="O94" i="276"/>
  <c r="AD94" i="276" s="1"/>
  <c r="N94" i="276"/>
  <c r="M94" i="276"/>
  <c r="AB94" i="276" s="1"/>
  <c r="AI93" i="276"/>
  <c r="AH93" i="276"/>
  <c r="W93" i="276"/>
  <c r="AT92" i="276"/>
  <c r="AQ92" i="276"/>
  <c r="AP92" i="276"/>
  <c r="AO92" i="276"/>
  <c r="AV92" i="276" s="1"/>
  <c r="AI92" i="276"/>
  <c r="AH92" i="276"/>
  <c r="AF92" i="276"/>
  <c r="AE92" i="276"/>
  <c r="AC92" i="276"/>
  <c r="AA92" i="276"/>
  <c r="Z92" i="276"/>
  <c r="Y92" i="276"/>
  <c r="X92" i="276"/>
  <c r="W92" i="276"/>
  <c r="P92" i="276"/>
  <c r="O92" i="276"/>
  <c r="AD92" i="276" s="1"/>
  <c r="N92" i="276"/>
  <c r="M92" i="276"/>
  <c r="AI91" i="276"/>
  <c r="AH91" i="276"/>
  <c r="W91" i="276"/>
  <c r="AV90" i="276"/>
  <c r="AT90" i="276"/>
  <c r="AQ90" i="276"/>
  <c r="AP90" i="276"/>
  <c r="AO90" i="276"/>
  <c r="AI90" i="276"/>
  <c r="AH90" i="276"/>
  <c r="AF90" i="276"/>
  <c r="AE90" i="276"/>
  <c r="AD90" i="276"/>
  <c r="AC90" i="276"/>
  <c r="AA90" i="276"/>
  <c r="Z90" i="276"/>
  <c r="Y90" i="276"/>
  <c r="X90" i="276"/>
  <c r="W90" i="276"/>
  <c r="P90" i="276"/>
  <c r="O90" i="276"/>
  <c r="N90" i="276"/>
  <c r="M90" i="276"/>
  <c r="AU89" i="276"/>
  <c r="AP89" i="276"/>
  <c r="AO89" i="276"/>
  <c r="AV89" i="276" s="1"/>
  <c r="AI89" i="276"/>
  <c r="AH89" i="276"/>
  <c r="AF89" i="276"/>
  <c r="AE89" i="276"/>
  <c r="AD89" i="276"/>
  <c r="AA89" i="276"/>
  <c r="Z89" i="276"/>
  <c r="Y89" i="276"/>
  <c r="X89" i="276"/>
  <c r="W89" i="276"/>
  <c r="P89" i="276"/>
  <c r="O89" i="276"/>
  <c r="AQ89" i="276" s="1"/>
  <c r="N89" i="276"/>
  <c r="AC89" i="276" s="1"/>
  <c r="M89" i="276"/>
  <c r="AB89" i="276" s="1"/>
  <c r="AV88" i="276"/>
  <c r="AT88" i="276"/>
  <c r="AP88" i="276"/>
  <c r="AO88" i="276"/>
  <c r="AI88" i="276"/>
  <c r="AH88" i="276"/>
  <c r="AF88" i="276"/>
  <c r="AE88" i="276"/>
  <c r="AC88" i="276"/>
  <c r="AA88" i="276"/>
  <c r="Z88" i="276"/>
  <c r="Y88" i="276"/>
  <c r="X88" i="276"/>
  <c r="W88" i="276"/>
  <c r="P88" i="276"/>
  <c r="O88" i="276"/>
  <c r="N88" i="276"/>
  <c r="M88" i="276"/>
  <c r="AQ87" i="276"/>
  <c r="AP87" i="276"/>
  <c r="AI87" i="276"/>
  <c r="AH87" i="276"/>
  <c r="AF87" i="276"/>
  <c r="AE87" i="276"/>
  <c r="AD87" i="276"/>
  <c r="AB87" i="276"/>
  <c r="AA87" i="276"/>
  <c r="Z87" i="276"/>
  <c r="Y87" i="276"/>
  <c r="X87" i="276"/>
  <c r="W87" i="276"/>
  <c r="P87" i="276"/>
  <c r="O87" i="276"/>
  <c r="N87" i="276"/>
  <c r="M87" i="276"/>
  <c r="AI86" i="276"/>
  <c r="AH86" i="276"/>
  <c r="W86" i="276"/>
  <c r="AP85" i="276"/>
  <c r="AO85" i="276"/>
  <c r="AV85" i="276" s="1"/>
  <c r="AI85" i="276"/>
  <c r="AH85" i="276"/>
  <c r="AF85" i="276"/>
  <c r="AE85" i="276"/>
  <c r="AD85" i="276"/>
  <c r="AB85" i="276"/>
  <c r="AA85" i="276"/>
  <c r="Z85" i="276"/>
  <c r="Y85" i="276"/>
  <c r="X85" i="276"/>
  <c r="W85" i="276"/>
  <c r="P85" i="276"/>
  <c r="O85" i="276"/>
  <c r="AQ85" i="276" s="1"/>
  <c r="N85" i="276"/>
  <c r="AC85" i="276" s="1"/>
  <c r="M85" i="276"/>
  <c r="AR85" i="276" s="1"/>
  <c r="AT84" i="276"/>
  <c r="AP84" i="276"/>
  <c r="AI84" i="276"/>
  <c r="AH84" i="276"/>
  <c r="AF84" i="276"/>
  <c r="AE84" i="276"/>
  <c r="AA84" i="276"/>
  <c r="Z84" i="276"/>
  <c r="Y84" i="276"/>
  <c r="X84" i="276"/>
  <c r="W84" i="276"/>
  <c r="P84" i="276"/>
  <c r="O84" i="276"/>
  <c r="AD84" i="276" s="1"/>
  <c r="N84" i="276"/>
  <c r="M84" i="276"/>
  <c r="AR83" i="276"/>
  <c r="AP83" i="276"/>
  <c r="AI83" i="276"/>
  <c r="AH83" i="276"/>
  <c r="AF83" i="276"/>
  <c r="AE83" i="276"/>
  <c r="AD83" i="276"/>
  <c r="AB83" i="276"/>
  <c r="AA83" i="276"/>
  <c r="Z83" i="276"/>
  <c r="Y83" i="276"/>
  <c r="X83" i="276"/>
  <c r="W83" i="276"/>
  <c r="P83" i="276"/>
  <c r="O83" i="276"/>
  <c r="N83" i="276"/>
  <c r="M83" i="276"/>
  <c r="AT82" i="276"/>
  <c r="AP82" i="276"/>
  <c r="AO82" i="276"/>
  <c r="AV82" i="276" s="1"/>
  <c r="AI82" i="276"/>
  <c r="AH82" i="276"/>
  <c r="AF82" i="276"/>
  <c r="AE82" i="276"/>
  <c r="AC82" i="276"/>
  <c r="AA82" i="276"/>
  <c r="Z82" i="276"/>
  <c r="Y82" i="276"/>
  <c r="X82" i="276"/>
  <c r="W82" i="276"/>
  <c r="P82" i="276"/>
  <c r="O82" i="276"/>
  <c r="N82" i="276"/>
  <c r="M82" i="276"/>
  <c r="AU81" i="276"/>
  <c r="AP81" i="276"/>
  <c r="AI81" i="276"/>
  <c r="AJ81" i="276" s="1"/>
  <c r="AH81" i="276"/>
  <c r="AF81" i="276"/>
  <c r="AE81" i="276"/>
  <c r="AD81" i="276"/>
  <c r="AC81" i="276"/>
  <c r="AB81" i="276"/>
  <c r="AA81" i="276"/>
  <c r="Z81" i="276"/>
  <c r="Y81" i="276"/>
  <c r="X81" i="276"/>
  <c r="W81" i="276"/>
  <c r="P81" i="276"/>
  <c r="O81" i="276"/>
  <c r="AQ81" i="276" s="1"/>
  <c r="N81" i="276"/>
  <c r="AO81" i="276" s="1"/>
  <c r="AV81" i="276" s="1"/>
  <c r="M81" i="276"/>
  <c r="AI80" i="276"/>
  <c r="AH80" i="276"/>
  <c r="W80" i="276"/>
  <c r="AU79" i="276"/>
  <c r="AP79" i="276"/>
  <c r="AI79" i="276"/>
  <c r="AH79" i="276"/>
  <c r="AF79" i="276"/>
  <c r="AE79" i="276"/>
  <c r="AD79" i="276"/>
  <c r="AB79" i="276"/>
  <c r="AA79" i="276"/>
  <c r="Z79" i="276"/>
  <c r="Y79" i="276"/>
  <c r="X79" i="276"/>
  <c r="W79" i="276"/>
  <c r="P79" i="276"/>
  <c r="O79" i="276"/>
  <c r="N79" i="276"/>
  <c r="M79" i="276"/>
  <c r="AV78" i="276"/>
  <c r="AR78" i="276"/>
  <c r="AP78" i="276"/>
  <c r="AO78" i="276"/>
  <c r="AJ78" i="276"/>
  <c r="AI78" i="276"/>
  <c r="AH78" i="276"/>
  <c r="AF78" i="276"/>
  <c r="AE78" i="276"/>
  <c r="AC78" i="276"/>
  <c r="AB78" i="276"/>
  <c r="AA78" i="276"/>
  <c r="Z78" i="276"/>
  <c r="Y78" i="276"/>
  <c r="X78" i="276"/>
  <c r="W78" i="276"/>
  <c r="P78" i="276"/>
  <c r="O78" i="276"/>
  <c r="AD78" i="276" s="1"/>
  <c r="N78" i="276"/>
  <c r="M78" i="276"/>
  <c r="AU77" i="276"/>
  <c r="AR77" i="276"/>
  <c r="AP77" i="276"/>
  <c r="AJ77" i="276"/>
  <c r="AI77" i="276"/>
  <c r="AT77" i="276" s="1"/>
  <c r="AH77" i="276"/>
  <c r="AF77" i="276"/>
  <c r="AE77" i="276"/>
  <c r="AD77" i="276"/>
  <c r="AB77" i="276"/>
  <c r="AA77" i="276"/>
  <c r="Z77" i="276"/>
  <c r="Y77" i="276"/>
  <c r="X77" i="276"/>
  <c r="W77" i="276"/>
  <c r="P77" i="276"/>
  <c r="O77" i="276"/>
  <c r="N77" i="276"/>
  <c r="M77" i="276"/>
  <c r="AU76" i="276"/>
  <c r="AT76" i="276"/>
  <c r="AP76" i="276"/>
  <c r="AO76" i="276"/>
  <c r="AV76" i="276" s="1"/>
  <c r="AN76" i="276"/>
  <c r="AI76" i="276"/>
  <c r="AH76" i="276"/>
  <c r="AF76" i="276"/>
  <c r="AE76" i="276"/>
  <c r="AC76" i="276"/>
  <c r="AA76" i="276"/>
  <c r="Z76" i="276"/>
  <c r="Y76" i="276"/>
  <c r="X76" i="276"/>
  <c r="W76" i="276"/>
  <c r="P76" i="276"/>
  <c r="O76" i="276"/>
  <c r="N76" i="276"/>
  <c r="M76" i="276"/>
  <c r="AI75" i="276"/>
  <c r="AH75" i="276"/>
  <c r="W75" i="276"/>
  <c r="AV74" i="276"/>
  <c r="AQ74" i="276"/>
  <c r="AP74" i="276"/>
  <c r="AO74" i="276"/>
  <c r="AI74" i="276"/>
  <c r="AH74" i="276"/>
  <c r="AF74" i="276"/>
  <c r="AE74" i="276"/>
  <c r="AC74" i="276"/>
  <c r="AA74" i="276"/>
  <c r="Z74" i="276"/>
  <c r="Y74" i="276"/>
  <c r="X74" i="276"/>
  <c r="W74" i="276"/>
  <c r="P74" i="276"/>
  <c r="O74" i="276"/>
  <c r="AD74" i="276" s="1"/>
  <c r="N74" i="276"/>
  <c r="M74" i="276"/>
  <c r="AU73" i="276"/>
  <c r="AT73" i="276"/>
  <c r="AP73" i="276"/>
  <c r="AI73" i="276"/>
  <c r="AH73" i="276"/>
  <c r="AF73" i="276"/>
  <c r="AE73" i="276"/>
  <c r="AD73" i="276"/>
  <c r="AC73" i="276"/>
  <c r="AB73" i="276"/>
  <c r="AA73" i="276"/>
  <c r="Z73" i="276"/>
  <c r="Y73" i="276"/>
  <c r="X73" i="276"/>
  <c r="W73" i="276"/>
  <c r="P73" i="276"/>
  <c r="O73" i="276"/>
  <c r="AQ73" i="276" s="1"/>
  <c r="N73" i="276"/>
  <c r="AO73" i="276" s="1"/>
  <c r="AV73" i="276" s="1"/>
  <c r="M73" i="276"/>
  <c r="AI72" i="276"/>
  <c r="AH72" i="276"/>
  <c r="W72" i="276"/>
  <c r="AU71" i="276"/>
  <c r="AP71" i="276"/>
  <c r="AI71" i="276"/>
  <c r="AH71" i="276"/>
  <c r="AF71" i="276"/>
  <c r="AE71" i="276"/>
  <c r="AB71" i="276"/>
  <c r="AA71" i="276"/>
  <c r="Z71" i="276"/>
  <c r="Y71" i="276"/>
  <c r="X71" i="276"/>
  <c r="W71" i="276"/>
  <c r="P71" i="276"/>
  <c r="O71" i="276"/>
  <c r="N71" i="276"/>
  <c r="M71" i="276"/>
  <c r="AR70" i="276"/>
  <c r="AP70" i="276"/>
  <c r="AI70" i="276"/>
  <c r="AH70" i="276"/>
  <c r="AF70" i="276"/>
  <c r="AE70" i="276"/>
  <c r="AA70" i="276"/>
  <c r="Z70" i="276"/>
  <c r="Y70" i="276"/>
  <c r="X70" i="276"/>
  <c r="W70" i="276"/>
  <c r="P70" i="276"/>
  <c r="O70" i="276"/>
  <c r="N70" i="276"/>
  <c r="M70" i="276"/>
  <c r="AB70" i="276" s="1"/>
  <c r="AI69" i="276"/>
  <c r="AH69" i="276"/>
  <c r="W69" i="276"/>
  <c r="AV68" i="276"/>
  <c r="AU68" i="276"/>
  <c r="AT68" i="276"/>
  <c r="AP68" i="276"/>
  <c r="AJ68" i="276"/>
  <c r="AI68" i="276"/>
  <c r="AH68" i="276"/>
  <c r="AF68" i="276"/>
  <c r="AE68" i="276"/>
  <c r="AC68" i="276"/>
  <c r="AA68" i="276"/>
  <c r="Z68" i="276"/>
  <c r="Y68" i="276"/>
  <c r="X68" i="276"/>
  <c r="W68" i="276"/>
  <c r="P68" i="276"/>
  <c r="O68" i="276"/>
  <c r="N68" i="276"/>
  <c r="AO68" i="276" s="1"/>
  <c r="M68" i="276"/>
  <c r="AR67" i="276"/>
  <c r="AQ67" i="276"/>
  <c r="AP67" i="276"/>
  <c r="AJ67" i="276"/>
  <c r="AI67" i="276"/>
  <c r="AH67" i="276"/>
  <c r="AF67" i="276"/>
  <c r="AE67" i="276"/>
  <c r="AB67" i="276"/>
  <c r="AA67" i="276"/>
  <c r="Z67" i="276"/>
  <c r="Y67" i="276"/>
  <c r="X67" i="276"/>
  <c r="W67" i="276"/>
  <c r="P67" i="276"/>
  <c r="O67" i="276"/>
  <c r="AD67" i="276" s="1"/>
  <c r="N67" i="276"/>
  <c r="M67" i="276"/>
  <c r="AU66" i="276"/>
  <c r="AR66" i="276"/>
  <c r="AP66" i="276"/>
  <c r="AJ66" i="276"/>
  <c r="AI66" i="276"/>
  <c r="AT66" i="276" s="1"/>
  <c r="AH66" i="276"/>
  <c r="AF66" i="276"/>
  <c r="AE66" i="276"/>
  <c r="AD66" i="276"/>
  <c r="AC66" i="276"/>
  <c r="AB66" i="276"/>
  <c r="AA66" i="276"/>
  <c r="Z66" i="276"/>
  <c r="Y66" i="276"/>
  <c r="X66" i="276"/>
  <c r="W66" i="276"/>
  <c r="P66" i="276"/>
  <c r="O66" i="276"/>
  <c r="N66" i="276"/>
  <c r="AO66" i="276" s="1"/>
  <c r="AV66" i="276" s="1"/>
  <c r="M66" i="276"/>
  <c r="AV65" i="276"/>
  <c r="AU65" i="276"/>
  <c r="AP65" i="276"/>
  <c r="AO65" i="276"/>
  <c r="AI65" i="276"/>
  <c r="AH65" i="276"/>
  <c r="AF65" i="276"/>
  <c r="AE65" i="276"/>
  <c r="AD65" i="276"/>
  <c r="AC65" i="276"/>
  <c r="AB65" i="276"/>
  <c r="AA65" i="276"/>
  <c r="Z65" i="276"/>
  <c r="Y65" i="276"/>
  <c r="X65" i="276"/>
  <c r="W65" i="276"/>
  <c r="P65" i="276"/>
  <c r="O65" i="276"/>
  <c r="AQ65" i="276" s="1"/>
  <c r="N65" i="276"/>
  <c r="M65" i="276"/>
  <c r="AR65" i="276" s="1"/>
  <c r="AI64" i="276"/>
  <c r="AH64" i="276"/>
  <c r="W64" i="276"/>
  <c r="AT63" i="276"/>
  <c r="AP63" i="276"/>
  <c r="AO63" i="276"/>
  <c r="AV63" i="276" s="1"/>
  <c r="AI63" i="276"/>
  <c r="AH63" i="276"/>
  <c r="AF63" i="276"/>
  <c r="AE63" i="276"/>
  <c r="AC63" i="276"/>
  <c r="AA63" i="276"/>
  <c r="Z63" i="276"/>
  <c r="Y63" i="276"/>
  <c r="X63" i="276"/>
  <c r="W63" i="276"/>
  <c r="P63" i="276"/>
  <c r="O63" i="276"/>
  <c r="N63" i="276"/>
  <c r="M63" i="276"/>
  <c r="AP62" i="276"/>
  <c r="AI62" i="276"/>
  <c r="AH62" i="276"/>
  <c r="AF62" i="276"/>
  <c r="AE62" i="276"/>
  <c r="AD62" i="276"/>
  <c r="AB62" i="276"/>
  <c r="AA62" i="276"/>
  <c r="Z62" i="276"/>
  <c r="Y62" i="276"/>
  <c r="X62" i="276"/>
  <c r="W62" i="276"/>
  <c r="P62" i="276"/>
  <c r="O62" i="276"/>
  <c r="N62" i="276"/>
  <c r="M62" i="276"/>
  <c r="AT61" i="276"/>
  <c r="AQ61" i="276"/>
  <c r="AP61" i="276"/>
  <c r="AO61" i="276"/>
  <c r="AV61" i="276" s="1"/>
  <c r="AI61" i="276"/>
  <c r="AH61" i="276"/>
  <c r="AF61" i="276"/>
  <c r="AE61" i="276"/>
  <c r="AC61" i="276"/>
  <c r="AA61" i="276"/>
  <c r="Z61" i="276"/>
  <c r="Y61" i="276"/>
  <c r="X61" i="276"/>
  <c r="W61" i="276"/>
  <c r="P61" i="276"/>
  <c r="O61" i="276"/>
  <c r="AD61" i="276" s="1"/>
  <c r="N61" i="276"/>
  <c r="M61" i="276"/>
  <c r="AU60" i="276"/>
  <c r="AP60" i="276"/>
  <c r="AI60" i="276"/>
  <c r="AT60" i="276" s="1"/>
  <c r="AH60" i="276"/>
  <c r="AF60" i="276"/>
  <c r="AE60" i="276"/>
  <c r="AD60" i="276"/>
  <c r="AA60" i="276"/>
  <c r="Z60" i="276"/>
  <c r="Y60" i="276"/>
  <c r="X60" i="276"/>
  <c r="W60" i="276"/>
  <c r="P60" i="276"/>
  <c r="O60" i="276"/>
  <c r="AQ60" i="276" s="1"/>
  <c r="N60" i="276"/>
  <c r="M60" i="276"/>
  <c r="AU59" i="276"/>
  <c r="AT59" i="276"/>
  <c r="AP59" i="276"/>
  <c r="AO59" i="276"/>
  <c r="AV59" i="276" s="1"/>
  <c r="AJ59" i="276"/>
  <c r="AI59" i="276"/>
  <c r="AH59" i="276"/>
  <c r="AF59" i="276"/>
  <c r="AE59" i="276"/>
  <c r="AD59" i="276"/>
  <c r="AC59" i="276"/>
  <c r="AA59" i="276"/>
  <c r="Z59" i="276"/>
  <c r="Y59" i="276"/>
  <c r="X59" i="276"/>
  <c r="W59" i="276"/>
  <c r="P59" i="276"/>
  <c r="O59" i="276"/>
  <c r="N59" i="276"/>
  <c r="M59" i="276"/>
  <c r="AR58" i="276"/>
  <c r="AP58" i="276"/>
  <c r="AO58" i="276"/>
  <c r="AV58" i="276" s="1"/>
  <c r="AI58" i="276"/>
  <c r="AH58" i="276"/>
  <c r="AF58" i="276"/>
  <c r="AE58" i="276"/>
  <c r="AD58" i="276"/>
  <c r="AB58" i="276"/>
  <c r="AA58" i="276"/>
  <c r="Z58" i="276"/>
  <c r="Y58" i="276"/>
  <c r="X58" i="276"/>
  <c r="W58" i="276"/>
  <c r="P58" i="276"/>
  <c r="O58" i="276"/>
  <c r="N58" i="276"/>
  <c r="AC58" i="276" s="1"/>
  <c r="M58" i="276"/>
  <c r="AI57" i="276"/>
  <c r="AH57" i="276"/>
  <c r="W57" i="276"/>
  <c r="AU56" i="276"/>
  <c r="AP56" i="276"/>
  <c r="AO56" i="276"/>
  <c r="AV56" i="276" s="1"/>
  <c r="AJ56" i="276"/>
  <c r="AI56" i="276"/>
  <c r="AT56" i="276" s="1"/>
  <c r="AH56" i="276"/>
  <c r="AF56" i="276"/>
  <c r="AE56" i="276"/>
  <c r="AD56" i="276"/>
  <c r="AC56" i="276"/>
  <c r="AA56" i="276"/>
  <c r="Z56" i="276"/>
  <c r="Y56" i="276"/>
  <c r="X56" i="276"/>
  <c r="W56" i="276"/>
  <c r="P56" i="276"/>
  <c r="O56" i="276"/>
  <c r="N56" i="276"/>
  <c r="M56" i="276"/>
  <c r="AB56" i="276" s="1"/>
  <c r="AU55" i="276"/>
  <c r="AT55" i="276"/>
  <c r="AQ55" i="276"/>
  <c r="AP55" i="276"/>
  <c r="AJ55" i="276"/>
  <c r="AI55" i="276"/>
  <c r="AH55" i="276"/>
  <c r="AF55" i="276"/>
  <c r="AE55" i="276"/>
  <c r="AD55" i="276"/>
  <c r="AA55" i="276"/>
  <c r="Z55" i="276"/>
  <c r="Y55" i="276"/>
  <c r="X55" i="276"/>
  <c r="W55" i="276"/>
  <c r="P55" i="276"/>
  <c r="O55" i="276"/>
  <c r="N55" i="276"/>
  <c r="M55" i="276"/>
  <c r="AR54" i="276"/>
  <c r="AP54" i="276"/>
  <c r="AO54" i="276"/>
  <c r="AV54" i="276" s="1"/>
  <c r="AI54" i="276"/>
  <c r="AH54" i="276"/>
  <c r="AF54" i="276"/>
  <c r="AE54" i="276"/>
  <c r="AD54" i="276"/>
  <c r="AB54" i="276"/>
  <c r="AA54" i="276"/>
  <c r="Z54" i="276"/>
  <c r="Y54" i="276"/>
  <c r="X54" i="276"/>
  <c r="W54" i="276"/>
  <c r="P54" i="276"/>
  <c r="O54" i="276"/>
  <c r="AQ54" i="276" s="1"/>
  <c r="N54" i="276"/>
  <c r="AC54" i="276" s="1"/>
  <c r="M54" i="276"/>
  <c r="AT53" i="276"/>
  <c r="AP53" i="276"/>
  <c r="AI53" i="276"/>
  <c r="AH53" i="276"/>
  <c r="AF53" i="276"/>
  <c r="AE53" i="276"/>
  <c r="AA53" i="276"/>
  <c r="Z53" i="276"/>
  <c r="Y53" i="276"/>
  <c r="X53" i="276"/>
  <c r="W53" i="276"/>
  <c r="P53" i="276"/>
  <c r="O53" i="276"/>
  <c r="N53" i="276"/>
  <c r="M53" i="276"/>
  <c r="AU52" i="276"/>
  <c r="AR52" i="276"/>
  <c r="AP52" i="276"/>
  <c r="AJ52" i="276"/>
  <c r="AI52" i="276"/>
  <c r="AT52" i="276" s="1"/>
  <c r="AH52" i="276"/>
  <c r="AF52" i="276"/>
  <c r="AE52" i="276"/>
  <c r="AB52" i="276"/>
  <c r="AA52" i="276"/>
  <c r="Z52" i="276"/>
  <c r="Y52" i="276"/>
  <c r="X52" i="276"/>
  <c r="W52" i="276"/>
  <c r="P52" i="276"/>
  <c r="O52" i="276"/>
  <c r="N52" i="276"/>
  <c r="M52" i="276"/>
  <c r="AI51" i="276"/>
  <c r="AH51" i="276"/>
  <c r="W51" i="276"/>
  <c r="AU50" i="276"/>
  <c r="AP50" i="276"/>
  <c r="AI50" i="276"/>
  <c r="AH50" i="276"/>
  <c r="AF50" i="276"/>
  <c r="AE50" i="276"/>
  <c r="AA50" i="276"/>
  <c r="Z50" i="276"/>
  <c r="Y50" i="276"/>
  <c r="X50" i="276"/>
  <c r="W50" i="276"/>
  <c r="P50" i="276"/>
  <c r="O50" i="276"/>
  <c r="N50" i="276"/>
  <c r="M50" i="276"/>
  <c r="AI49" i="276"/>
  <c r="AH49" i="276"/>
  <c r="W49" i="276"/>
  <c r="AU48" i="276"/>
  <c r="AT48" i="276"/>
  <c r="AP48" i="276"/>
  <c r="AO48" i="276"/>
  <c r="AV48" i="276" s="1"/>
  <c r="AI48" i="276"/>
  <c r="AH48" i="276"/>
  <c r="AF48" i="276"/>
  <c r="AE48" i="276"/>
  <c r="AD48" i="276"/>
  <c r="AC48" i="276"/>
  <c r="AA48" i="276"/>
  <c r="Z48" i="276"/>
  <c r="Y48" i="276"/>
  <c r="X48" i="276"/>
  <c r="W48" i="276"/>
  <c r="P48" i="276"/>
  <c r="O48" i="276"/>
  <c r="N48" i="276"/>
  <c r="M48" i="276"/>
  <c r="AU47" i="276"/>
  <c r="AT47" i="276"/>
  <c r="AP47" i="276"/>
  <c r="AO47" i="276"/>
  <c r="AV47" i="276" s="1"/>
  <c r="AJ47" i="276"/>
  <c r="AI47" i="276"/>
  <c r="AH47" i="276"/>
  <c r="AF47" i="276"/>
  <c r="AE47" i="276"/>
  <c r="AD47" i="276"/>
  <c r="AC47" i="276"/>
  <c r="AA47" i="276"/>
  <c r="Z47" i="276"/>
  <c r="Y47" i="276"/>
  <c r="X47" i="276"/>
  <c r="W47" i="276"/>
  <c r="P47" i="276"/>
  <c r="O47" i="276"/>
  <c r="AQ47" i="276" s="1"/>
  <c r="N47" i="276"/>
  <c r="M47" i="276"/>
  <c r="AI46" i="276"/>
  <c r="AH46" i="276"/>
  <c r="W46" i="276"/>
  <c r="AU45" i="276"/>
  <c r="AQ45" i="276"/>
  <c r="AP45" i="276"/>
  <c r="AO45" i="276"/>
  <c r="AV45" i="276" s="1"/>
  <c r="AI45" i="276"/>
  <c r="AH45" i="276"/>
  <c r="AF45" i="276"/>
  <c r="AE45" i="276"/>
  <c r="AD45" i="276"/>
  <c r="AC45" i="276"/>
  <c r="AA45" i="276"/>
  <c r="Z45" i="276"/>
  <c r="Y45" i="276"/>
  <c r="X45" i="276"/>
  <c r="W45" i="276"/>
  <c r="P45" i="276"/>
  <c r="O45" i="276"/>
  <c r="N45" i="276"/>
  <c r="M45" i="276"/>
  <c r="AP44" i="276"/>
  <c r="AN44" i="276"/>
  <c r="AI44" i="276"/>
  <c r="AH44" i="276"/>
  <c r="AF44" i="276"/>
  <c r="AE44" i="276"/>
  <c r="AD44" i="276"/>
  <c r="AB44" i="276"/>
  <c r="AA44" i="276"/>
  <c r="Z44" i="276"/>
  <c r="Y44" i="276"/>
  <c r="X44" i="276"/>
  <c r="W44" i="276"/>
  <c r="P44" i="276"/>
  <c r="O44" i="276"/>
  <c r="AQ44" i="276" s="1"/>
  <c r="N44" i="276"/>
  <c r="M44" i="276"/>
  <c r="AR44" i="276" s="1"/>
  <c r="AT43" i="276"/>
  <c r="AQ43" i="276"/>
  <c r="AP43" i="276"/>
  <c r="AO43" i="276"/>
  <c r="AV43" i="276" s="1"/>
  <c r="AI43" i="276"/>
  <c r="AH43" i="276"/>
  <c r="AF43" i="276"/>
  <c r="AE43" i="276"/>
  <c r="AD43" i="276"/>
  <c r="AA43" i="276"/>
  <c r="Z43" i="276"/>
  <c r="Y43" i="276"/>
  <c r="X43" i="276"/>
  <c r="W43" i="276"/>
  <c r="P43" i="276"/>
  <c r="O43" i="276"/>
  <c r="N43" i="276"/>
  <c r="AC43" i="276" s="1"/>
  <c r="M43" i="276"/>
  <c r="AU42" i="276"/>
  <c r="AR42" i="276"/>
  <c r="AP42" i="276"/>
  <c r="AO42" i="276"/>
  <c r="AV42" i="276" s="1"/>
  <c r="AI42" i="276"/>
  <c r="AH42" i="276"/>
  <c r="AF42" i="276"/>
  <c r="AE42" i="276"/>
  <c r="AD42" i="276"/>
  <c r="AB42" i="276"/>
  <c r="AA42" i="276"/>
  <c r="Z42" i="276"/>
  <c r="Y42" i="276"/>
  <c r="X42" i="276"/>
  <c r="W42" i="276"/>
  <c r="P42" i="276"/>
  <c r="O42" i="276"/>
  <c r="AQ42" i="276" s="1"/>
  <c r="N42" i="276"/>
  <c r="AC42" i="276" s="1"/>
  <c r="M42" i="276"/>
  <c r="AT41" i="276"/>
  <c r="AR41" i="276"/>
  <c r="AP41" i="276"/>
  <c r="AI41" i="276"/>
  <c r="AH41" i="276"/>
  <c r="AF41" i="276"/>
  <c r="AE41" i="276"/>
  <c r="AA41" i="276"/>
  <c r="Z41" i="276"/>
  <c r="Y41" i="276"/>
  <c r="X41" i="276"/>
  <c r="W41" i="276"/>
  <c r="P41" i="276"/>
  <c r="O41" i="276"/>
  <c r="AD41" i="276" s="1"/>
  <c r="N41" i="276"/>
  <c r="M41" i="276"/>
  <c r="AB41" i="276" s="1"/>
  <c r="AU40" i="276"/>
  <c r="AR40" i="276"/>
  <c r="AQ40" i="276"/>
  <c r="AP40" i="276"/>
  <c r="AJ40" i="276"/>
  <c r="AI40" i="276"/>
  <c r="AT40" i="276" s="1"/>
  <c r="AH40" i="276"/>
  <c r="AF40" i="276"/>
  <c r="AE40" i="276"/>
  <c r="AD40" i="276"/>
  <c r="AB40" i="276"/>
  <c r="AA40" i="276"/>
  <c r="Z40" i="276"/>
  <c r="Y40" i="276"/>
  <c r="X40" i="276"/>
  <c r="W40" i="276"/>
  <c r="P40" i="276"/>
  <c r="O40" i="276"/>
  <c r="N40" i="276"/>
  <c r="M40" i="276"/>
  <c r="AU39" i="276"/>
  <c r="AQ39" i="276"/>
  <c r="AP39" i="276"/>
  <c r="AO39" i="276"/>
  <c r="AV39" i="276" s="1"/>
  <c r="AN39" i="276"/>
  <c r="AI39" i="276"/>
  <c r="AT39" i="276" s="1"/>
  <c r="AH39" i="276"/>
  <c r="AF39" i="276"/>
  <c r="AE39" i="276"/>
  <c r="AD39" i="276"/>
  <c r="AC39" i="276"/>
  <c r="AA39" i="276"/>
  <c r="Z39" i="276"/>
  <c r="Y39" i="276"/>
  <c r="X39" i="276"/>
  <c r="W39" i="276"/>
  <c r="P39" i="276"/>
  <c r="O39" i="276"/>
  <c r="N39" i="276"/>
  <c r="M39" i="276"/>
  <c r="AI38" i="276"/>
  <c r="AH38" i="276"/>
  <c r="W38" i="276"/>
  <c r="AR37" i="276"/>
  <c r="AQ37" i="276"/>
  <c r="AP37" i="276"/>
  <c r="AJ37" i="276"/>
  <c r="AI37" i="276"/>
  <c r="AT37" i="276" s="1"/>
  <c r="AH37" i="276"/>
  <c r="AF37" i="276"/>
  <c r="AE37" i="276"/>
  <c r="AB37" i="276"/>
  <c r="AA37" i="276"/>
  <c r="Z37" i="276"/>
  <c r="Y37" i="276"/>
  <c r="X37" i="276"/>
  <c r="W37" i="276"/>
  <c r="P37" i="276"/>
  <c r="O37" i="276"/>
  <c r="AD37" i="276" s="1"/>
  <c r="N37" i="276"/>
  <c r="M37" i="276"/>
  <c r="AU36" i="276"/>
  <c r="AR36" i="276"/>
  <c r="AQ36" i="276"/>
  <c r="AP36" i="276"/>
  <c r="AI36" i="276"/>
  <c r="AJ36" i="276" s="1"/>
  <c r="AH36" i="276"/>
  <c r="AF36" i="276"/>
  <c r="AE36" i="276"/>
  <c r="AD36" i="276"/>
  <c r="AB36" i="276"/>
  <c r="AA36" i="276"/>
  <c r="Z36" i="276"/>
  <c r="Y36" i="276"/>
  <c r="X36" i="276"/>
  <c r="W36" i="276"/>
  <c r="P36" i="276"/>
  <c r="O36" i="276"/>
  <c r="N36" i="276"/>
  <c r="M36" i="276"/>
  <c r="AV35" i="276"/>
  <c r="AU35" i="276"/>
  <c r="AP35" i="276"/>
  <c r="AO35" i="276"/>
  <c r="AI35" i="276"/>
  <c r="AH35" i="276"/>
  <c r="AF35" i="276"/>
  <c r="AE35" i="276"/>
  <c r="AC35" i="276"/>
  <c r="AB35" i="276"/>
  <c r="AA35" i="276"/>
  <c r="Z35" i="276"/>
  <c r="Y35" i="276"/>
  <c r="X35" i="276"/>
  <c r="W35" i="276"/>
  <c r="P35" i="276"/>
  <c r="O35" i="276"/>
  <c r="N35" i="276"/>
  <c r="M35" i="276"/>
  <c r="AR35" i="276" s="1"/>
  <c r="AI34" i="276"/>
  <c r="AH34" i="276"/>
  <c r="W34" i="276"/>
  <c r="AT33" i="276"/>
  <c r="AR33" i="276"/>
  <c r="AP33" i="276"/>
  <c r="AI33" i="276"/>
  <c r="AH33" i="276"/>
  <c r="AF33" i="276"/>
  <c r="AE33" i="276"/>
  <c r="AB33" i="276"/>
  <c r="AA33" i="276"/>
  <c r="Z33" i="276"/>
  <c r="Y33" i="276"/>
  <c r="X33" i="276"/>
  <c r="W33" i="276"/>
  <c r="P33" i="276"/>
  <c r="O33" i="276"/>
  <c r="N33" i="276"/>
  <c r="M33" i="276"/>
  <c r="AU32" i="276"/>
  <c r="AT32" i="276"/>
  <c r="AR32" i="276"/>
  <c r="AP32" i="276"/>
  <c r="AI32" i="276"/>
  <c r="AH32" i="276"/>
  <c r="AF32" i="276"/>
  <c r="AE32" i="276"/>
  <c r="AB32" i="276"/>
  <c r="AA32" i="276"/>
  <c r="Z32" i="276"/>
  <c r="Y32" i="276"/>
  <c r="X32" i="276"/>
  <c r="W32" i="276"/>
  <c r="P32" i="276"/>
  <c r="O32" i="276"/>
  <c r="AD32" i="276" s="1"/>
  <c r="N32" i="276"/>
  <c r="M32" i="276"/>
  <c r="AU31" i="276"/>
  <c r="AR31" i="276"/>
  <c r="AQ31" i="276"/>
  <c r="AP31" i="276"/>
  <c r="AO31" i="276"/>
  <c r="AV31" i="276" s="1"/>
  <c r="AJ31" i="276"/>
  <c r="AI31" i="276"/>
  <c r="AH31" i="276"/>
  <c r="AF31" i="276"/>
  <c r="AE31" i="276"/>
  <c r="AC31" i="276"/>
  <c r="AB31" i="276"/>
  <c r="AA31" i="276"/>
  <c r="Z31" i="276"/>
  <c r="Y31" i="276"/>
  <c r="X31" i="276"/>
  <c r="W31" i="276"/>
  <c r="P31" i="276"/>
  <c r="O31" i="276"/>
  <c r="AD31" i="276" s="1"/>
  <c r="N31" i="276"/>
  <c r="M31" i="276"/>
  <c r="AU30" i="276"/>
  <c r="AR30" i="276"/>
  <c r="AP30" i="276"/>
  <c r="AI30" i="276"/>
  <c r="AH30" i="276"/>
  <c r="AF30" i="276"/>
  <c r="AE30" i="276"/>
  <c r="AD30" i="276"/>
  <c r="AC30" i="276"/>
  <c r="AB30" i="276"/>
  <c r="AA30" i="276"/>
  <c r="Z30" i="276"/>
  <c r="Y30" i="276"/>
  <c r="X30" i="276"/>
  <c r="W30" i="276"/>
  <c r="P30" i="276"/>
  <c r="O30" i="276"/>
  <c r="AQ30" i="276" s="1"/>
  <c r="N30" i="276"/>
  <c r="AO30" i="276" s="1"/>
  <c r="AV30" i="276" s="1"/>
  <c r="M30" i="276"/>
  <c r="AI29" i="276"/>
  <c r="AH29" i="276"/>
  <c r="W29" i="276"/>
  <c r="AU28" i="276"/>
  <c r="AP28" i="276"/>
  <c r="AN28" i="276"/>
  <c r="AJ28" i="276"/>
  <c r="AI28" i="276"/>
  <c r="AT28" i="276" s="1"/>
  <c r="AH28" i="276"/>
  <c r="AF28" i="276"/>
  <c r="AE28" i="276"/>
  <c r="AD28" i="276"/>
  <c r="AC28" i="276"/>
  <c r="AB28" i="276"/>
  <c r="AA28" i="276"/>
  <c r="Z28" i="276"/>
  <c r="Y28" i="276"/>
  <c r="X28" i="276"/>
  <c r="W28" i="276"/>
  <c r="P28" i="276"/>
  <c r="O28" i="276"/>
  <c r="N28" i="276"/>
  <c r="AO28" i="276" s="1"/>
  <c r="AV28" i="276" s="1"/>
  <c r="M28" i="276"/>
  <c r="AV27" i="276"/>
  <c r="AU27" i="276"/>
  <c r="AT27" i="276"/>
  <c r="AP27" i="276"/>
  <c r="AO27" i="276"/>
  <c r="AJ27" i="276"/>
  <c r="AI27" i="276"/>
  <c r="AH27" i="276"/>
  <c r="AF27" i="276"/>
  <c r="AE27" i="276"/>
  <c r="AD27" i="276"/>
  <c r="AC27" i="276"/>
  <c r="AA27" i="276"/>
  <c r="Z27" i="276"/>
  <c r="Y27" i="276"/>
  <c r="X27" i="276"/>
  <c r="W27" i="276"/>
  <c r="P27" i="276"/>
  <c r="O27" i="276"/>
  <c r="AQ27" i="276" s="1"/>
  <c r="N27" i="276"/>
  <c r="M27" i="276"/>
  <c r="AU26" i="276"/>
  <c r="AP26" i="276"/>
  <c r="AO26" i="276"/>
  <c r="AV26" i="276" s="1"/>
  <c r="AJ26" i="276"/>
  <c r="AI26" i="276"/>
  <c r="AT26" i="276" s="1"/>
  <c r="AH26" i="276"/>
  <c r="AF26" i="276"/>
  <c r="AE26" i="276"/>
  <c r="AD26" i="276"/>
  <c r="AA26" i="276"/>
  <c r="Z26" i="276"/>
  <c r="Y26" i="276"/>
  <c r="X26" i="276"/>
  <c r="W26" i="276"/>
  <c r="P26" i="276"/>
  <c r="O26" i="276"/>
  <c r="N26" i="276"/>
  <c r="AC26" i="276" s="1"/>
  <c r="M26" i="276"/>
  <c r="AI25" i="276"/>
  <c r="AH25" i="276"/>
  <c r="W25" i="276"/>
  <c r="AU24" i="276"/>
  <c r="AT24" i="276"/>
  <c r="AR24" i="276"/>
  <c r="AQ24" i="276"/>
  <c r="AP24" i="276"/>
  <c r="AI24" i="276"/>
  <c r="AH24" i="276"/>
  <c r="AF24" i="276"/>
  <c r="AE24" i="276"/>
  <c r="AB24" i="276"/>
  <c r="AA24" i="276"/>
  <c r="Z24" i="276"/>
  <c r="Y24" i="276"/>
  <c r="X24" i="276"/>
  <c r="W24" i="276"/>
  <c r="P24" i="276"/>
  <c r="O24" i="276"/>
  <c r="AD24" i="276" s="1"/>
  <c r="N24" i="276"/>
  <c r="M24" i="276"/>
  <c r="AU23" i="276"/>
  <c r="AR23" i="276"/>
  <c r="AP23" i="276"/>
  <c r="AO23" i="276"/>
  <c r="AV23" i="276" s="1"/>
  <c r="AI23" i="276"/>
  <c r="AT23" i="276" s="1"/>
  <c r="AH23" i="276"/>
  <c r="AF23" i="276"/>
  <c r="AE23" i="276"/>
  <c r="AC23" i="276"/>
  <c r="AB23" i="276"/>
  <c r="AA23" i="276"/>
  <c r="Z23" i="276"/>
  <c r="Y23" i="276"/>
  <c r="X23" i="276"/>
  <c r="W23" i="276"/>
  <c r="P23" i="276"/>
  <c r="O23" i="276"/>
  <c r="N23" i="276"/>
  <c r="M23" i="276"/>
  <c r="AI22" i="276"/>
  <c r="AH22" i="276"/>
  <c r="W22" i="276"/>
  <c r="AV21" i="276"/>
  <c r="AT21" i="276"/>
  <c r="AP21" i="276"/>
  <c r="AO21" i="276"/>
  <c r="AI21" i="276"/>
  <c r="AH21" i="276"/>
  <c r="AF21" i="276"/>
  <c r="AE21" i="276"/>
  <c r="AC21" i="276"/>
  <c r="AB21" i="276"/>
  <c r="AA21" i="276"/>
  <c r="Z21" i="276"/>
  <c r="Y21" i="276"/>
  <c r="X21" i="276"/>
  <c r="W21" i="276"/>
  <c r="P21" i="276"/>
  <c r="O21" i="276"/>
  <c r="N21" i="276"/>
  <c r="M21" i="276"/>
  <c r="AR21" i="276" s="1"/>
  <c r="AU20" i="276"/>
  <c r="AR20" i="276"/>
  <c r="AP20" i="276"/>
  <c r="AJ20" i="276"/>
  <c r="AI20" i="276"/>
  <c r="AH20" i="276"/>
  <c r="AF20" i="276"/>
  <c r="AE20" i="276"/>
  <c r="AC20" i="276"/>
  <c r="AB20" i="276"/>
  <c r="AA20" i="276"/>
  <c r="Z20" i="276"/>
  <c r="Y20" i="276"/>
  <c r="X20" i="276"/>
  <c r="W20" i="276"/>
  <c r="P20" i="276"/>
  <c r="O20" i="276"/>
  <c r="N20" i="276"/>
  <c r="AO20" i="276" s="1"/>
  <c r="AV20" i="276" s="1"/>
  <c r="M20" i="276"/>
  <c r="AU19" i="276"/>
  <c r="AR19" i="276"/>
  <c r="AQ19" i="276"/>
  <c r="AP19" i="276"/>
  <c r="AO19" i="276"/>
  <c r="AV19" i="276" s="1"/>
  <c r="AI19" i="276"/>
  <c r="AH19" i="276"/>
  <c r="AF19" i="276"/>
  <c r="AE19" i="276"/>
  <c r="AC19" i="276"/>
  <c r="AB19" i="276"/>
  <c r="AA19" i="276"/>
  <c r="Z19" i="276"/>
  <c r="Y19" i="276"/>
  <c r="X19" i="276"/>
  <c r="W19" i="276"/>
  <c r="P19" i="276"/>
  <c r="O19" i="276"/>
  <c r="AD19" i="276" s="1"/>
  <c r="N19" i="276"/>
  <c r="M19" i="276"/>
  <c r="AI18" i="276"/>
  <c r="AH18" i="276"/>
  <c r="W18" i="276"/>
  <c r="AV17" i="276"/>
  <c r="AQ17" i="276"/>
  <c r="AP17" i="276"/>
  <c r="AO17" i="276"/>
  <c r="AJ17" i="276"/>
  <c r="AI17" i="276"/>
  <c r="AH17" i="276"/>
  <c r="AF17" i="276"/>
  <c r="AE17" i="276"/>
  <c r="AC17" i="276"/>
  <c r="AB17" i="276"/>
  <c r="AA17" i="276"/>
  <c r="Z17" i="276"/>
  <c r="Y17" i="276"/>
  <c r="X17" i="276"/>
  <c r="W17" i="276"/>
  <c r="P17" i="276"/>
  <c r="O17" i="276"/>
  <c r="AD17" i="276" s="1"/>
  <c r="N17" i="276"/>
  <c r="M17" i="276"/>
  <c r="AR17" i="276" s="1"/>
  <c r="AU16" i="276"/>
  <c r="AT16" i="276"/>
  <c r="AR16" i="276"/>
  <c r="AP16" i="276"/>
  <c r="AN16" i="276"/>
  <c r="AJ16" i="276"/>
  <c r="AI16" i="276"/>
  <c r="AH16" i="276"/>
  <c r="AF16" i="276"/>
  <c r="AE16" i="276"/>
  <c r="AD16" i="276"/>
  <c r="AC16" i="276"/>
  <c r="AB16" i="276"/>
  <c r="AA16" i="276"/>
  <c r="Z16" i="276"/>
  <c r="Y16" i="276"/>
  <c r="X16" i="276"/>
  <c r="W16" i="276"/>
  <c r="P16" i="276"/>
  <c r="O16" i="276"/>
  <c r="AQ16" i="276" s="1"/>
  <c r="N16" i="276"/>
  <c r="AO16" i="276" s="1"/>
  <c r="AV16" i="276" s="1"/>
  <c r="M16" i="276"/>
  <c r="AI15" i="276"/>
  <c r="AH15" i="276"/>
  <c r="W15" i="276"/>
  <c r="AV14" i="276"/>
  <c r="AU14" i="276"/>
  <c r="AQ14" i="276"/>
  <c r="AP14" i="276"/>
  <c r="AO14" i="276"/>
  <c r="AI14" i="276"/>
  <c r="AH14" i="276"/>
  <c r="AF14" i="276"/>
  <c r="AE14" i="276"/>
  <c r="AD14" i="276"/>
  <c r="AA14" i="276"/>
  <c r="Z14" i="276"/>
  <c r="Y14" i="276"/>
  <c r="X14" i="276"/>
  <c r="W14" i="276"/>
  <c r="P14" i="276"/>
  <c r="O14" i="276"/>
  <c r="N14" i="276"/>
  <c r="AC14" i="276" s="1"/>
  <c r="M14" i="276"/>
  <c r="AR13" i="276"/>
  <c r="AP13" i="276"/>
  <c r="AO13" i="276"/>
  <c r="AV13" i="276" s="1"/>
  <c r="AJ13" i="276"/>
  <c r="AI13" i="276"/>
  <c r="AH13" i="276"/>
  <c r="AF13" i="276"/>
  <c r="AE13" i="276"/>
  <c r="AC13" i="276"/>
  <c r="AB13" i="276"/>
  <c r="AA13" i="276"/>
  <c r="Z13" i="276"/>
  <c r="Y13" i="276"/>
  <c r="X13" i="276"/>
  <c r="W13" i="276"/>
  <c r="P13" i="276"/>
  <c r="O13" i="276"/>
  <c r="N13" i="276"/>
  <c r="M13" i="276"/>
  <c r="AU12" i="276"/>
  <c r="AT12" i="276"/>
  <c r="AR12" i="276"/>
  <c r="AQ12" i="276"/>
  <c r="AP12" i="276"/>
  <c r="AI12" i="276"/>
  <c r="AH12" i="276"/>
  <c r="AF12" i="276"/>
  <c r="AE12" i="276"/>
  <c r="AB12" i="276"/>
  <c r="AA12" i="276"/>
  <c r="Z12" i="276"/>
  <c r="Y12" i="276"/>
  <c r="X12" i="276"/>
  <c r="W12" i="276"/>
  <c r="P12" i="276"/>
  <c r="O12" i="276"/>
  <c r="AD12" i="276" s="1"/>
  <c r="N12" i="276"/>
  <c r="M12" i="276"/>
  <c r="AI11" i="276"/>
  <c r="AH11" i="276"/>
  <c r="W11" i="276"/>
  <c r="AU10" i="276"/>
  <c r="AR10" i="276"/>
  <c r="AP10" i="276"/>
  <c r="AO10" i="276"/>
  <c r="AV10" i="276" s="1"/>
  <c r="AI10" i="276"/>
  <c r="AH10" i="276"/>
  <c r="AF10" i="276"/>
  <c r="AE10" i="276"/>
  <c r="AD10" i="276"/>
  <c r="AB10" i="276"/>
  <c r="AA10" i="276"/>
  <c r="Z10" i="276"/>
  <c r="Y10" i="276"/>
  <c r="X10" i="276"/>
  <c r="W10" i="276"/>
  <c r="P10" i="276"/>
  <c r="O10" i="276"/>
  <c r="AQ10" i="276" s="1"/>
  <c r="N10" i="276"/>
  <c r="AC10" i="276" s="1"/>
  <c r="M10" i="276"/>
  <c r="AT9" i="276"/>
  <c r="AR9" i="276"/>
  <c r="AP9" i="276"/>
  <c r="AI9" i="276"/>
  <c r="AH9" i="276"/>
  <c r="AF9" i="276"/>
  <c r="AE9" i="276"/>
  <c r="AA9" i="276"/>
  <c r="Z9" i="276"/>
  <c r="Y9" i="276"/>
  <c r="X9" i="276"/>
  <c r="W9" i="276"/>
  <c r="P9" i="276"/>
  <c r="O9" i="276"/>
  <c r="AD9" i="276" s="1"/>
  <c r="N9" i="276"/>
  <c r="M9" i="276"/>
  <c r="AB9" i="276" s="1"/>
  <c r="AI8" i="276"/>
  <c r="AH8" i="276"/>
  <c r="W8" i="276"/>
  <c r="AV7" i="276"/>
  <c r="AU7" i="276"/>
  <c r="AT7" i="276"/>
  <c r="AQ7" i="276"/>
  <c r="AP7" i="276"/>
  <c r="AN7" i="276"/>
  <c r="AJ7" i="276"/>
  <c r="AI7" i="276"/>
  <c r="AH7" i="276"/>
  <c r="AF7" i="276"/>
  <c r="AE7" i="276"/>
  <c r="AD7" i="276"/>
  <c r="AC7" i="276"/>
  <c r="AA7" i="276"/>
  <c r="Z7" i="276"/>
  <c r="Y7" i="276"/>
  <c r="X7" i="276"/>
  <c r="W7" i="276"/>
  <c r="P7" i="276"/>
  <c r="O7" i="276"/>
  <c r="N7" i="276"/>
  <c r="AO7" i="276" s="1"/>
  <c r="M7" i="276"/>
  <c r="AU6" i="276"/>
  <c r="AR6" i="276"/>
  <c r="AP6" i="276"/>
  <c r="AI6" i="276"/>
  <c r="AH6" i="276"/>
  <c r="AF6" i="276"/>
  <c r="AE6" i="276"/>
  <c r="AA6" i="276"/>
  <c r="Z6" i="276"/>
  <c r="Y6" i="276"/>
  <c r="X6" i="276"/>
  <c r="W6" i="276"/>
  <c r="P6" i="276"/>
  <c r="O6" i="276"/>
  <c r="AD6" i="276" s="1"/>
  <c r="N6" i="276"/>
  <c r="M6" i="276"/>
  <c r="AB6" i="276" s="1"/>
  <c r="AI5" i="276"/>
  <c r="AH5" i="276"/>
  <c r="W5" i="276"/>
  <c r="AI4" i="276"/>
  <c r="AU3" i="276"/>
  <c r="AR3" i="276"/>
  <c r="AQ3" i="276"/>
  <c r="AI3" i="276"/>
  <c r="AH3" i="276"/>
  <c r="AN2" i="276"/>
  <c r="AM2" i="276"/>
  <c r="AL2" i="276"/>
  <c r="AK2" i="276"/>
  <c r="AJ2" i="276"/>
  <c r="AJ117" i="276" s="1"/>
  <c r="AH2" i="276"/>
  <c r="AA2" i="276"/>
  <c r="A2" i="276"/>
  <c r="AU1" i="276"/>
  <c r="AU113" i="276" s="1"/>
  <c r="AR1" i="276"/>
  <c r="AR121" i="276" s="1"/>
  <c r="AQ1" i="276"/>
  <c r="AQ116" i="276" s="1"/>
  <c r="AP1" i="276"/>
  <c r="AP3" i="276" s="1"/>
  <c r="AO1" i="276"/>
  <c r="AO3" i="276" s="1"/>
  <c r="AJ1" i="276"/>
  <c r="AA1" i="276"/>
  <c r="A1" i="276"/>
  <c r="AH1" i="276" s="1"/>
  <c r="AU130" i="275"/>
  <c r="AT130" i="275"/>
  <c r="AP130" i="275"/>
  <c r="AI130" i="275"/>
  <c r="AH130" i="275"/>
  <c r="AF130" i="275"/>
  <c r="AE130" i="275"/>
  <c r="AA130" i="275"/>
  <c r="Z130" i="275"/>
  <c r="Y130" i="275"/>
  <c r="X130" i="275"/>
  <c r="W130" i="275"/>
  <c r="P130" i="275"/>
  <c r="O130" i="275"/>
  <c r="AD130" i="275" s="1"/>
  <c r="N130" i="275"/>
  <c r="M130" i="275"/>
  <c r="AU129" i="275"/>
  <c r="AP129" i="275"/>
  <c r="AO129" i="275"/>
  <c r="AV129" i="275" s="1"/>
  <c r="AI129" i="275"/>
  <c r="AH129" i="275"/>
  <c r="AF129" i="275"/>
  <c r="AE129" i="275"/>
  <c r="AD129" i="275"/>
  <c r="AA129" i="275"/>
  <c r="Z129" i="275"/>
  <c r="Y129" i="275"/>
  <c r="X129" i="275"/>
  <c r="W129" i="275"/>
  <c r="P129" i="275"/>
  <c r="O129" i="275"/>
  <c r="N129" i="275"/>
  <c r="AC129" i="275" s="1"/>
  <c r="M129" i="275"/>
  <c r="AB129" i="275" s="1"/>
  <c r="AI128" i="275"/>
  <c r="AH128" i="275"/>
  <c r="W128" i="275"/>
  <c r="AU127" i="275"/>
  <c r="AT127" i="275"/>
  <c r="AP127" i="275"/>
  <c r="AI127" i="275"/>
  <c r="AH127" i="275"/>
  <c r="AF127" i="275"/>
  <c r="AE127" i="275"/>
  <c r="AD127" i="275"/>
  <c r="AB127" i="275"/>
  <c r="AA127" i="275"/>
  <c r="Z127" i="275"/>
  <c r="Y127" i="275"/>
  <c r="X127" i="275"/>
  <c r="W127" i="275"/>
  <c r="P127" i="275"/>
  <c r="O127" i="275"/>
  <c r="AQ127" i="275" s="1"/>
  <c r="N127" i="275"/>
  <c r="M127" i="275"/>
  <c r="AU126" i="275"/>
  <c r="AT126" i="275"/>
  <c r="AP126" i="275"/>
  <c r="AJ126" i="275"/>
  <c r="AI126" i="275"/>
  <c r="AH126" i="275"/>
  <c r="AF126" i="275"/>
  <c r="AE126" i="275"/>
  <c r="AC126" i="275"/>
  <c r="AA126" i="275"/>
  <c r="Z126" i="275"/>
  <c r="Y126" i="275"/>
  <c r="X126" i="275"/>
  <c r="W126" i="275"/>
  <c r="P126" i="275"/>
  <c r="O126" i="275"/>
  <c r="N126" i="275"/>
  <c r="AO126" i="275" s="1"/>
  <c r="AV126" i="275" s="1"/>
  <c r="M126" i="275"/>
  <c r="AI125" i="275"/>
  <c r="AH125" i="275"/>
  <c r="W125" i="275"/>
  <c r="AV124" i="275"/>
  <c r="AU124" i="275"/>
  <c r="AT124" i="275"/>
  <c r="AP124" i="275"/>
  <c r="AO124" i="275"/>
  <c r="AN124" i="275"/>
  <c r="AJ124" i="275"/>
  <c r="AI124" i="275"/>
  <c r="AH124" i="275"/>
  <c r="AF124" i="275"/>
  <c r="AE124" i="275"/>
  <c r="AD124" i="275"/>
  <c r="AC124" i="275"/>
  <c r="AA124" i="275"/>
  <c r="Z124" i="275"/>
  <c r="Y124" i="275"/>
  <c r="X124" i="275"/>
  <c r="W124" i="275"/>
  <c r="P124" i="275"/>
  <c r="O124" i="275"/>
  <c r="AQ124" i="275" s="1"/>
  <c r="N124" i="275"/>
  <c r="M124" i="275"/>
  <c r="AU123" i="275"/>
  <c r="AP123" i="275"/>
  <c r="AO123" i="275"/>
  <c r="AV123" i="275" s="1"/>
  <c r="AN123" i="275"/>
  <c r="AI123" i="275"/>
  <c r="AT123" i="275" s="1"/>
  <c r="AH123" i="275"/>
  <c r="AF123" i="275"/>
  <c r="AE123" i="275"/>
  <c r="AD123" i="275"/>
  <c r="AA123" i="275"/>
  <c r="Z123" i="275"/>
  <c r="Y123" i="275"/>
  <c r="X123" i="275"/>
  <c r="W123" i="275"/>
  <c r="P123" i="275"/>
  <c r="O123" i="275"/>
  <c r="N123" i="275"/>
  <c r="AC123" i="275" s="1"/>
  <c r="M123" i="275"/>
  <c r="AU122" i="275"/>
  <c r="AT122" i="275"/>
  <c r="AP122" i="275"/>
  <c r="AO122" i="275"/>
  <c r="AV122" i="275" s="1"/>
  <c r="AI122" i="275"/>
  <c r="AH122" i="275"/>
  <c r="AF122" i="275"/>
  <c r="AE122" i="275"/>
  <c r="AD122" i="275"/>
  <c r="AC122" i="275"/>
  <c r="AA122" i="275"/>
  <c r="Z122" i="275"/>
  <c r="Y122" i="275"/>
  <c r="X122" i="275"/>
  <c r="W122" i="275"/>
  <c r="P122" i="275"/>
  <c r="O122" i="275"/>
  <c r="N122" i="275"/>
  <c r="M122" i="275"/>
  <c r="AU121" i="275"/>
  <c r="AP121" i="275"/>
  <c r="AI121" i="275"/>
  <c r="AH121" i="275"/>
  <c r="AF121" i="275"/>
  <c r="AE121" i="275"/>
  <c r="AB121" i="275"/>
  <c r="AA121" i="275"/>
  <c r="Z121" i="275"/>
  <c r="Y121" i="275"/>
  <c r="X121" i="275"/>
  <c r="W121" i="275"/>
  <c r="P121" i="275"/>
  <c r="O121" i="275"/>
  <c r="N121" i="275"/>
  <c r="M121" i="275"/>
  <c r="AP120" i="275"/>
  <c r="AJ120" i="275"/>
  <c r="AI120" i="275"/>
  <c r="AT120" i="275" s="1"/>
  <c r="AH120" i="275"/>
  <c r="AF120" i="275"/>
  <c r="AE120" i="275"/>
  <c r="AB120" i="275"/>
  <c r="AA120" i="275"/>
  <c r="Z120" i="275"/>
  <c r="Y120" i="275"/>
  <c r="X120" i="275"/>
  <c r="W120" i="275"/>
  <c r="P120" i="275"/>
  <c r="O120" i="275"/>
  <c r="N120" i="275"/>
  <c r="M120" i="275"/>
  <c r="AU119" i="275"/>
  <c r="AP119" i="275"/>
  <c r="AI119" i="275"/>
  <c r="AT119" i="275" s="1"/>
  <c r="AH119" i="275"/>
  <c r="AF119" i="275"/>
  <c r="AE119" i="275"/>
  <c r="AB119" i="275"/>
  <c r="AA119" i="275"/>
  <c r="Z119" i="275"/>
  <c r="Y119" i="275"/>
  <c r="X119" i="275"/>
  <c r="W119" i="275"/>
  <c r="P119" i="275"/>
  <c r="O119" i="275"/>
  <c r="N119" i="275"/>
  <c r="M119" i="275"/>
  <c r="AU118" i="275"/>
  <c r="AP118" i="275"/>
  <c r="AO118" i="275"/>
  <c r="AV118" i="275" s="1"/>
  <c r="AI118" i="275"/>
  <c r="AH118" i="275"/>
  <c r="AF118" i="275"/>
  <c r="AE118" i="275"/>
  <c r="AD118" i="275"/>
  <c r="AC118" i="275"/>
  <c r="AA118" i="275"/>
  <c r="Z118" i="275"/>
  <c r="Y118" i="275"/>
  <c r="X118" i="275"/>
  <c r="W118" i="275"/>
  <c r="P118" i="275"/>
  <c r="O118" i="275"/>
  <c r="AQ118" i="275" s="1"/>
  <c r="N118" i="275"/>
  <c r="M118" i="275"/>
  <c r="AB118" i="275" s="1"/>
  <c r="AP117" i="275"/>
  <c r="AO117" i="275"/>
  <c r="AV117" i="275" s="1"/>
  <c r="AI117" i="275"/>
  <c r="AH117" i="275"/>
  <c r="AF117" i="275"/>
  <c r="AE117" i="275"/>
  <c r="AD117" i="275"/>
  <c r="AB117" i="275"/>
  <c r="AA117" i="275"/>
  <c r="Z117" i="275"/>
  <c r="Y117" i="275"/>
  <c r="X117" i="275"/>
  <c r="W117" i="275"/>
  <c r="P117" i="275"/>
  <c r="O117" i="275"/>
  <c r="N117" i="275"/>
  <c r="AC117" i="275" s="1"/>
  <c r="M117" i="275"/>
  <c r="AI116" i="275"/>
  <c r="AH116" i="275"/>
  <c r="W116" i="275"/>
  <c r="AU115" i="275"/>
  <c r="AP115" i="275"/>
  <c r="AJ115" i="275"/>
  <c r="AI115" i="275"/>
  <c r="AT115" i="275" s="1"/>
  <c r="AH115" i="275"/>
  <c r="AF115" i="275"/>
  <c r="AE115" i="275"/>
  <c r="AD115" i="275"/>
  <c r="AC115" i="275"/>
  <c r="AB115" i="275"/>
  <c r="AA115" i="275"/>
  <c r="Z115" i="275"/>
  <c r="Y115" i="275"/>
  <c r="X115" i="275"/>
  <c r="W115" i="275"/>
  <c r="P115" i="275"/>
  <c r="O115" i="275"/>
  <c r="N115" i="275"/>
  <c r="AO115" i="275" s="1"/>
  <c r="AV115" i="275" s="1"/>
  <c r="M115" i="275"/>
  <c r="AU114" i="275"/>
  <c r="AT114" i="275"/>
  <c r="AP114" i="275"/>
  <c r="AO114" i="275"/>
  <c r="AV114" i="275" s="1"/>
  <c r="AI114" i="275"/>
  <c r="AH114" i="275"/>
  <c r="AF114" i="275"/>
  <c r="AE114" i="275"/>
  <c r="AD114" i="275"/>
  <c r="AC114" i="275"/>
  <c r="AA114" i="275"/>
  <c r="Z114" i="275"/>
  <c r="Y114" i="275"/>
  <c r="X114" i="275"/>
  <c r="W114" i="275"/>
  <c r="P114" i="275"/>
  <c r="O114" i="275"/>
  <c r="N114" i="275"/>
  <c r="M114" i="275"/>
  <c r="AU113" i="275"/>
  <c r="AR113" i="275"/>
  <c r="AP113" i="275"/>
  <c r="AO113" i="275"/>
  <c r="AV113" i="275" s="1"/>
  <c r="AI113" i="275"/>
  <c r="AT113" i="275" s="1"/>
  <c r="AH113" i="275"/>
  <c r="AF113" i="275"/>
  <c r="AE113" i="275"/>
  <c r="AD113" i="275"/>
  <c r="AC113" i="275"/>
  <c r="AA113" i="275"/>
  <c r="Z113" i="275"/>
  <c r="Y113" i="275"/>
  <c r="X113" i="275"/>
  <c r="W113" i="275"/>
  <c r="P113" i="275"/>
  <c r="O113" i="275"/>
  <c r="N113" i="275"/>
  <c r="M113" i="275"/>
  <c r="AB113" i="275" s="1"/>
  <c r="AU112" i="275"/>
  <c r="AT112" i="275"/>
  <c r="AP112" i="275"/>
  <c r="AI112" i="275"/>
  <c r="AH112" i="275"/>
  <c r="AF112" i="275"/>
  <c r="AE112" i="275"/>
  <c r="AD112" i="275"/>
  <c r="AA112" i="275"/>
  <c r="Z112" i="275"/>
  <c r="Y112" i="275"/>
  <c r="X112" i="275"/>
  <c r="W112" i="275"/>
  <c r="P112" i="275"/>
  <c r="O112" i="275"/>
  <c r="N112" i="275"/>
  <c r="AC112" i="275" s="1"/>
  <c r="M112" i="275"/>
  <c r="AU111" i="275"/>
  <c r="AP111" i="275"/>
  <c r="AN111" i="275"/>
  <c r="AI111" i="275"/>
  <c r="AH111" i="275"/>
  <c r="AF111" i="275"/>
  <c r="AE111" i="275"/>
  <c r="AB111" i="275"/>
  <c r="AA111" i="275"/>
  <c r="Z111" i="275"/>
  <c r="Y111" i="275"/>
  <c r="X111" i="275"/>
  <c r="W111" i="275"/>
  <c r="P111" i="275"/>
  <c r="O111" i="275"/>
  <c r="N111" i="275"/>
  <c r="M111" i="275"/>
  <c r="AI110" i="275"/>
  <c r="AH110" i="275"/>
  <c r="W110" i="275"/>
  <c r="AV109" i="275"/>
  <c r="AU109" i="275"/>
  <c r="AP109" i="275"/>
  <c r="AO109" i="275"/>
  <c r="AI109" i="275"/>
  <c r="AH109" i="275"/>
  <c r="AF109" i="275"/>
  <c r="AE109" i="275"/>
  <c r="AD109" i="275"/>
  <c r="AC109" i="275"/>
  <c r="AB109" i="275"/>
  <c r="AA109" i="275"/>
  <c r="Z109" i="275"/>
  <c r="Y109" i="275"/>
  <c r="X109" i="275"/>
  <c r="W109" i="275"/>
  <c r="P109" i="275"/>
  <c r="O109" i="275"/>
  <c r="N109" i="275"/>
  <c r="M109" i="275"/>
  <c r="AV108" i="275"/>
  <c r="AU108" i="275"/>
  <c r="AT108" i="275"/>
  <c r="AP108" i="275"/>
  <c r="AO108" i="275"/>
  <c r="AI108" i="275"/>
  <c r="AH108" i="275"/>
  <c r="AF108" i="275"/>
  <c r="AE108" i="275"/>
  <c r="AC108" i="275"/>
  <c r="AA108" i="275"/>
  <c r="Z108" i="275"/>
  <c r="Y108" i="275"/>
  <c r="X108" i="275"/>
  <c r="W108" i="275"/>
  <c r="P108" i="275"/>
  <c r="O108" i="275"/>
  <c r="AQ108" i="275" s="1"/>
  <c r="N108" i="275"/>
  <c r="M108" i="275"/>
  <c r="AU107" i="275"/>
  <c r="AP107" i="275"/>
  <c r="AI107" i="275"/>
  <c r="AH107" i="275"/>
  <c r="AF107" i="275"/>
  <c r="AE107" i="275"/>
  <c r="AA107" i="275"/>
  <c r="Z107" i="275"/>
  <c r="Y107" i="275"/>
  <c r="X107" i="275"/>
  <c r="W107" i="275"/>
  <c r="P107" i="275"/>
  <c r="O107" i="275"/>
  <c r="AD107" i="275" s="1"/>
  <c r="N107" i="275"/>
  <c r="M107" i="275"/>
  <c r="AB107" i="275" s="1"/>
  <c r="AI106" i="275"/>
  <c r="AH106" i="275"/>
  <c r="W106" i="275"/>
  <c r="AU105" i="275"/>
  <c r="AT105" i="275"/>
  <c r="AP105" i="275"/>
  <c r="AO105" i="275"/>
  <c r="AV105" i="275" s="1"/>
  <c r="AJ105" i="275"/>
  <c r="AI105" i="275"/>
  <c r="AH105" i="275"/>
  <c r="AF105" i="275"/>
  <c r="AE105" i="275"/>
  <c r="AD105" i="275"/>
  <c r="AC105" i="275"/>
  <c r="AB105" i="275"/>
  <c r="AA105" i="275"/>
  <c r="Z105" i="275"/>
  <c r="Y105" i="275"/>
  <c r="X105" i="275"/>
  <c r="W105" i="275"/>
  <c r="P105" i="275"/>
  <c r="O105" i="275"/>
  <c r="N105" i="275"/>
  <c r="M105" i="275"/>
  <c r="AU104" i="275"/>
  <c r="AT104" i="275"/>
  <c r="AP104" i="275"/>
  <c r="AI104" i="275"/>
  <c r="AH104" i="275"/>
  <c r="AF104" i="275"/>
  <c r="AE104" i="275"/>
  <c r="AC104" i="275"/>
  <c r="AA104" i="275"/>
  <c r="Z104" i="275"/>
  <c r="Y104" i="275"/>
  <c r="X104" i="275"/>
  <c r="W104" i="275"/>
  <c r="P104" i="275"/>
  <c r="O104" i="275"/>
  <c r="AD104" i="275" s="1"/>
  <c r="N104" i="275"/>
  <c r="AO104" i="275" s="1"/>
  <c r="AV104" i="275" s="1"/>
  <c r="M104" i="275"/>
  <c r="AU103" i="275"/>
  <c r="AP103" i="275"/>
  <c r="AI103" i="275"/>
  <c r="AH103" i="275"/>
  <c r="AF103" i="275"/>
  <c r="AE103" i="275"/>
  <c r="AB103" i="275"/>
  <c r="AA103" i="275"/>
  <c r="Z103" i="275"/>
  <c r="Y103" i="275"/>
  <c r="X103" i="275"/>
  <c r="W103" i="275"/>
  <c r="P103" i="275"/>
  <c r="O103" i="275"/>
  <c r="AD103" i="275" s="1"/>
  <c r="N103" i="275"/>
  <c r="M103" i="275"/>
  <c r="AI102" i="275"/>
  <c r="AH102" i="275"/>
  <c r="W102" i="275"/>
  <c r="AU101" i="275"/>
  <c r="AP101" i="275"/>
  <c r="AO101" i="275"/>
  <c r="AV101" i="275" s="1"/>
  <c r="AI101" i="275"/>
  <c r="AT101" i="275" s="1"/>
  <c r="AH101" i="275"/>
  <c r="AF101" i="275"/>
  <c r="AE101" i="275"/>
  <c r="AD101" i="275"/>
  <c r="AC101" i="275"/>
  <c r="AA101" i="275"/>
  <c r="Z101" i="275"/>
  <c r="Y101" i="275"/>
  <c r="X101" i="275"/>
  <c r="W101" i="275"/>
  <c r="P101" i="275"/>
  <c r="O101" i="275"/>
  <c r="N101" i="275"/>
  <c r="M101" i="275"/>
  <c r="AB101" i="275" s="1"/>
  <c r="AU100" i="275"/>
  <c r="AP100" i="275"/>
  <c r="AO100" i="275"/>
  <c r="AV100" i="275" s="1"/>
  <c r="AI100" i="275"/>
  <c r="AT100" i="275" s="1"/>
  <c r="AH100" i="275"/>
  <c r="AF100" i="275"/>
  <c r="AE100" i="275"/>
  <c r="AD100" i="275"/>
  <c r="AA100" i="275"/>
  <c r="Z100" i="275"/>
  <c r="Y100" i="275"/>
  <c r="X100" i="275"/>
  <c r="W100" i="275"/>
  <c r="P100" i="275"/>
  <c r="O100" i="275"/>
  <c r="N100" i="275"/>
  <c r="AC100" i="275" s="1"/>
  <c r="M100" i="275"/>
  <c r="AU99" i="275"/>
  <c r="AT99" i="275"/>
  <c r="AQ99" i="275"/>
  <c r="AP99" i="275"/>
  <c r="AO99" i="275"/>
  <c r="AV99" i="275" s="1"/>
  <c r="AI99" i="275"/>
  <c r="AH99" i="275"/>
  <c r="AF99" i="275"/>
  <c r="AE99" i="275"/>
  <c r="AD99" i="275"/>
  <c r="AA99" i="275"/>
  <c r="Z99" i="275"/>
  <c r="Y99" i="275"/>
  <c r="X99" i="275"/>
  <c r="W99" i="275"/>
  <c r="P99" i="275"/>
  <c r="O99" i="275"/>
  <c r="N99" i="275"/>
  <c r="AC99" i="275" s="1"/>
  <c r="M99" i="275"/>
  <c r="AV98" i="275"/>
  <c r="AU98" i="275"/>
  <c r="AP98" i="275"/>
  <c r="AO98" i="275"/>
  <c r="AI98" i="275"/>
  <c r="AH98" i="275"/>
  <c r="AF98" i="275"/>
  <c r="AE98" i="275"/>
  <c r="AB98" i="275"/>
  <c r="AA98" i="275"/>
  <c r="Z98" i="275"/>
  <c r="Y98" i="275"/>
  <c r="X98" i="275"/>
  <c r="W98" i="275"/>
  <c r="P98" i="275"/>
  <c r="O98" i="275"/>
  <c r="N98" i="275"/>
  <c r="AC98" i="275" s="1"/>
  <c r="M98" i="275"/>
  <c r="AQ97" i="275"/>
  <c r="AP97" i="275"/>
  <c r="AI97" i="275"/>
  <c r="AJ97" i="275" s="1"/>
  <c r="AH97" i="275"/>
  <c r="AF97" i="275"/>
  <c r="AE97" i="275"/>
  <c r="AB97" i="275"/>
  <c r="AA97" i="275"/>
  <c r="Z97" i="275"/>
  <c r="Y97" i="275"/>
  <c r="X97" i="275"/>
  <c r="W97" i="275"/>
  <c r="P97" i="275"/>
  <c r="O97" i="275"/>
  <c r="AD97" i="275" s="1"/>
  <c r="N97" i="275"/>
  <c r="M97" i="275"/>
  <c r="AU96" i="275"/>
  <c r="AP96" i="275"/>
  <c r="AI96" i="275"/>
  <c r="AT96" i="275" s="1"/>
  <c r="AH96" i="275"/>
  <c r="AF96" i="275"/>
  <c r="AE96" i="275"/>
  <c r="AD96" i="275"/>
  <c r="AB96" i="275"/>
  <c r="AA96" i="275"/>
  <c r="Z96" i="275"/>
  <c r="Y96" i="275"/>
  <c r="X96" i="275"/>
  <c r="W96" i="275"/>
  <c r="P96" i="275"/>
  <c r="O96" i="275"/>
  <c r="N96" i="275"/>
  <c r="M96" i="275"/>
  <c r="AI95" i="275"/>
  <c r="AH95" i="275"/>
  <c r="W95" i="275"/>
  <c r="AU94" i="275"/>
  <c r="AQ94" i="275"/>
  <c r="AP94" i="275"/>
  <c r="AI94" i="275"/>
  <c r="AH94" i="275"/>
  <c r="AF94" i="275"/>
  <c r="AE94" i="275"/>
  <c r="AB94" i="275"/>
  <c r="AA94" i="275"/>
  <c r="Z94" i="275"/>
  <c r="Y94" i="275"/>
  <c r="X94" i="275"/>
  <c r="W94" i="275"/>
  <c r="P94" i="275"/>
  <c r="O94" i="275"/>
  <c r="AD94" i="275" s="1"/>
  <c r="N94" i="275"/>
  <c r="M94" i="275"/>
  <c r="AQ93" i="275"/>
  <c r="AP93" i="275"/>
  <c r="AO93" i="275"/>
  <c r="AV93" i="275" s="1"/>
  <c r="AI93" i="275"/>
  <c r="AH93" i="275"/>
  <c r="AF93" i="275"/>
  <c r="AE93" i="275"/>
  <c r="AC93" i="275"/>
  <c r="AA93" i="275"/>
  <c r="Z93" i="275"/>
  <c r="Y93" i="275"/>
  <c r="X93" i="275"/>
  <c r="W93" i="275"/>
  <c r="P93" i="275"/>
  <c r="O93" i="275"/>
  <c r="AD93" i="275" s="1"/>
  <c r="N93" i="275"/>
  <c r="M93" i="275"/>
  <c r="AB93" i="275" s="1"/>
  <c r="AU92" i="275"/>
  <c r="AT92" i="275"/>
  <c r="AP92" i="275"/>
  <c r="AI92" i="275"/>
  <c r="AH92" i="275"/>
  <c r="AF92" i="275"/>
  <c r="AE92" i="275"/>
  <c r="AD92" i="275"/>
  <c r="AC92" i="275"/>
  <c r="AB92" i="275"/>
  <c r="AA92" i="275"/>
  <c r="Z92" i="275"/>
  <c r="Y92" i="275"/>
  <c r="X92" i="275"/>
  <c r="W92" i="275"/>
  <c r="P92" i="275"/>
  <c r="O92" i="275"/>
  <c r="AQ92" i="275" s="1"/>
  <c r="N92" i="275"/>
  <c r="AO92" i="275" s="1"/>
  <c r="AV92" i="275" s="1"/>
  <c r="M92" i="275"/>
  <c r="AU91" i="275"/>
  <c r="AT91" i="275"/>
  <c r="AP91" i="275"/>
  <c r="AO91" i="275"/>
  <c r="AV91" i="275" s="1"/>
  <c r="AN91" i="275"/>
  <c r="AI91" i="275"/>
  <c r="AH91" i="275"/>
  <c r="AF91" i="275"/>
  <c r="AE91" i="275"/>
  <c r="AD91" i="275"/>
  <c r="AC91" i="275"/>
  <c r="AA91" i="275"/>
  <c r="Z91" i="275"/>
  <c r="Y91" i="275"/>
  <c r="X91" i="275"/>
  <c r="W91" i="275"/>
  <c r="P91" i="275"/>
  <c r="O91" i="275"/>
  <c r="N91" i="275"/>
  <c r="M91" i="275"/>
  <c r="AU90" i="275"/>
  <c r="AP90" i="275"/>
  <c r="AI90" i="275"/>
  <c r="AT90" i="275" s="1"/>
  <c r="AH90" i="275"/>
  <c r="AF90" i="275"/>
  <c r="AE90" i="275"/>
  <c r="AD90" i="275"/>
  <c r="AA90" i="275"/>
  <c r="Z90" i="275"/>
  <c r="Y90" i="275"/>
  <c r="X90" i="275"/>
  <c r="W90" i="275"/>
  <c r="P90" i="275"/>
  <c r="O90" i="275"/>
  <c r="N90" i="275"/>
  <c r="M90" i="275"/>
  <c r="AU89" i="275"/>
  <c r="AT89" i="275"/>
  <c r="AP89" i="275"/>
  <c r="AO89" i="275"/>
  <c r="AV89" i="275" s="1"/>
  <c r="AN89" i="275"/>
  <c r="AI89" i="275"/>
  <c r="AH89" i="275"/>
  <c r="AF89" i="275"/>
  <c r="AE89" i="275"/>
  <c r="AD89" i="275"/>
  <c r="AC89" i="275"/>
  <c r="AA89" i="275"/>
  <c r="Z89" i="275"/>
  <c r="Y89" i="275"/>
  <c r="X89" i="275"/>
  <c r="W89" i="275"/>
  <c r="P89" i="275"/>
  <c r="O89" i="275"/>
  <c r="N89" i="275"/>
  <c r="M89" i="275"/>
  <c r="AI88" i="275"/>
  <c r="AH88" i="275"/>
  <c r="W88" i="275"/>
  <c r="AU87" i="275"/>
  <c r="AT87" i="275"/>
  <c r="AP87" i="275"/>
  <c r="AO87" i="275"/>
  <c r="AV87" i="275" s="1"/>
  <c r="AI87" i="275"/>
  <c r="AH87" i="275"/>
  <c r="AF87" i="275"/>
  <c r="AE87" i="275"/>
  <c r="AC87" i="275"/>
  <c r="AB87" i="275"/>
  <c r="AA87" i="275"/>
  <c r="Z87" i="275"/>
  <c r="Y87" i="275"/>
  <c r="X87" i="275"/>
  <c r="W87" i="275"/>
  <c r="P87" i="275"/>
  <c r="O87" i="275"/>
  <c r="AD87" i="275" s="1"/>
  <c r="N87" i="275"/>
  <c r="M87" i="275"/>
  <c r="AU86" i="275"/>
  <c r="AP86" i="275"/>
  <c r="AJ86" i="275"/>
  <c r="AI86" i="275"/>
  <c r="AH86" i="275"/>
  <c r="AF86" i="275"/>
  <c r="AE86" i="275"/>
  <c r="AD86" i="275"/>
  <c r="AC86" i="275"/>
  <c r="AB86" i="275"/>
  <c r="AA86" i="275"/>
  <c r="Z86" i="275"/>
  <c r="Y86" i="275"/>
  <c r="X86" i="275"/>
  <c r="W86" i="275"/>
  <c r="P86" i="275"/>
  <c r="O86" i="275"/>
  <c r="AQ86" i="275" s="1"/>
  <c r="N86" i="275"/>
  <c r="AO86" i="275" s="1"/>
  <c r="AV86" i="275" s="1"/>
  <c r="M86" i="275"/>
  <c r="AU85" i="275"/>
  <c r="AT85" i="275"/>
  <c r="AQ85" i="275"/>
  <c r="AP85" i="275"/>
  <c r="AI85" i="275"/>
  <c r="AH85" i="275"/>
  <c r="AF85" i="275"/>
  <c r="AE85" i="275"/>
  <c r="AC85" i="275"/>
  <c r="AA85" i="275"/>
  <c r="Z85" i="275"/>
  <c r="Y85" i="275"/>
  <c r="X85" i="275"/>
  <c r="W85" i="275"/>
  <c r="P85" i="275"/>
  <c r="O85" i="275"/>
  <c r="AD85" i="275" s="1"/>
  <c r="N85" i="275"/>
  <c r="AO85" i="275" s="1"/>
  <c r="AV85" i="275" s="1"/>
  <c r="M85" i="275"/>
  <c r="AI84" i="275"/>
  <c r="AH84" i="275"/>
  <c r="W84" i="275"/>
  <c r="AU83" i="275"/>
  <c r="AT83" i="275"/>
  <c r="AP83" i="275"/>
  <c r="AO83" i="275"/>
  <c r="AV83" i="275" s="1"/>
  <c r="AN83" i="275"/>
  <c r="AI83" i="275"/>
  <c r="AH83" i="275"/>
  <c r="AF83" i="275"/>
  <c r="AE83" i="275"/>
  <c r="AD83" i="275"/>
  <c r="AC83" i="275"/>
  <c r="AA83" i="275"/>
  <c r="Z83" i="275"/>
  <c r="Y83" i="275"/>
  <c r="X83" i="275"/>
  <c r="W83" i="275"/>
  <c r="P83" i="275"/>
  <c r="O83" i="275"/>
  <c r="N83" i="275"/>
  <c r="M83" i="275"/>
  <c r="AU82" i="275"/>
  <c r="AP82" i="275"/>
  <c r="AJ82" i="275"/>
  <c r="AI82" i="275"/>
  <c r="AT82" i="275" s="1"/>
  <c r="AH82" i="275"/>
  <c r="AF82" i="275"/>
  <c r="AE82" i="275"/>
  <c r="AD82" i="275"/>
  <c r="AC82" i="275"/>
  <c r="AA82" i="275"/>
  <c r="Z82" i="275"/>
  <c r="Y82" i="275"/>
  <c r="X82" i="275"/>
  <c r="W82" i="275"/>
  <c r="P82" i="275"/>
  <c r="O82" i="275"/>
  <c r="N82" i="275"/>
  <c r="AO82" i="275" s="1"/>
  <c r="AV82" i="275" s="1"/>
  <c r="M82" i="275"/>
  <c r="AI81" i="275"/>
  <c r="AH81" i="275"/>
  <c r="W81" i="275"/>
  <c r="AU80" i="275"/>
  <c r="AP80" i="275"/>
  <c r="AI80" i="275"/>
  <c r="AH80" i="275"/>
  <c r="AF80" i="275"/>
  <c r="AE80" i="275"/>
  <c r="AB80" i="275"/>
  <c r="AA80" i="275"/>
  <c r="Z80" i="275"/>
  <c r="Y80" i="275"/>
  <c r="X80" i="275"/>
  <c r="W80" i="275"/>
  <c r="P80" i="275"/>
  <c r="O80" i="275"/>
  <c r="N80" i="275"/>
  <c r="M80" i="275"/>
  <c r="AU79" i="275"/>
  <c r="AP79" i="275"/>
  <c r="AO79" i="275"/>
  <c r="AV79" i="275" s="1"/>
  <c r="AJ79" i="275"/>
  <c r="AI79" i="275"/>
  <c r="AH79" i="275"/>
  <c r="AF79" i="275"/>
  <c r="AE79" i="275"/>
  <c r="AC79" i="275"/>
  <c r="AB79" i="275"/>
  <c r="AA79" i="275"/>
  <c r="Z79" i="275"/>
  <c r="Y79" i="275"/>
  <c r="X79" i="275"/>
  <c r="W79" i="275"/>
  <c r="P79" i="275"/>
  <c r="O79" i="275"/>
  <c r="AD79" i="275" s="1"/>
  <c r="N79" i="275"/>
  <c r="M79" i="275"/>
  <c r="AU78" i="275"/>
  <c r="AP78" i="275"/>
  <c r="AI78" i="275"/>
  <c r="AH78" i="275"/>
  <c r="AF78" i="275"/>
  <c r="AE78" i="275"/>
  <c r="AD78" i="275"/>
  <c r="AB78" i="275"/>
  <c r="AA78" i="275"/>
  <c r="Z78" i="275"/>
  <c r="Y78" i="275"/>
  <c r="X78" i="275"/>
  <c r="W78" i="275"/>
  <c r="P78" i="275"/>
  <c r="O78" i="275"/>
  <c r="AQ78" i="275" s="1"/>
  <c r="N78" i="275"/>
  <c r="M78" i="275"/>
  <c r="AI77" i="275"/>
  <c r="AH77" i="275"/>
  <c r="W77" i="275"/>
  <c r="AU76" i="275"/>
  <c r="AP76" i="275"/>
  <c r="AI76" i="275"/>
  <c r="AH76" i="275"/>
  <c r="AF76" i="275"/>
  <c r="AE76" i="275"/>
  <c r="AD76" i="275"/>
  <c r="AC76" i="275"/>
  <c r="AB76" i="275"/>
  <c r="AA76" i="275"/>
  <c r="Z76" i="275"/>
  <c r="Y76" i="275"/>
  <c r="X76" i="275"/>
  <c r="W76" i="275"/>
  <c r="P76" i="275"/>
  <c r="O76" i="275"/>
  <c r="AQ76" i="275" s="1"/>
  <c r="N76" i="275"/>
  <c r="AO76" i="275" s="1"/>
  <c r="AV76" i="275" s="1"/>
  <c r="M76" i="275"/>
  <c r="AU75" i="275"/>
  <c r="AT75" i="275"/>
  <c r="AP75" i="275"/>
  <c r="AO75" i="275"/>
  <c r="AV75" i="275" s="1"/>
  <c r="AI75" i="275"/>
  <c r="AH75" i="275"/>
  <c r="AF75" i="275"/>
  <c r="AE75" i="275"/>
  <c r="AD75" i="275"/>
  <c r="AC75" i="275"/>
  <c r="AA75" i="275"/>
  <c r="Z75" i="275"/>
  <c r="Y75" i="275"/>
  <c r="X75" i="275"/>
  <c r="W75" i="275"/>
  <c r="P75" i="275"/>
  <c r="O75" i="275"/>
  <c r="N75" i="275"/>
  <c r="M75" i="275"/>
  <c r="AU74" i="275"/>
  <c r="AP74" i="275"/>
  <c r="AN74" i="275"/>
  <c r="AI74" i="275"/>
  <c r="AT74" i="275" s="1"/>
  <c r="AH74" i="275"/>
  <c r="AF74" i="275"/>
  <c r="AE74" i="275"/>
  <c r="AD74" i="275"/>
  <c r="AA74" i="275"/>
  <c r="Z74" i="275"/>
  <c r="Y74" i="275"/>
  <c r="X74" i="275"/>
  <c r="W74" i="275"/>
  <c r="P74" i="275"/>
  <c r="O74" i="275"/>
  <c r="N74" i="275"/>
  <c r="AO74" i="275" s="1"/>
  <c r="AV74" i="275" s="1"/>
  <c r="M74" i="275"/>
  <c r="AI73" i="275"/>
  <c r="AH73" i="275"/>
  <c r="W73" i="275"/>
  <c r="AU72" i="275"/>
  <c r="AT72" i="275"/>
  <c r="AP72" i="275"/>
  <c r="AI72" i="275"/>
  <c r="AH72" i="275"/>
  <c r="AF72" i="275"/>
  <c r="AE72" i="275"/>
  <c r="AB72" i="275"/>
  <c r="AA72" i="275"/>
  <c r="Z72" i="275"/>
  <c r="Y72" i="275"/>
  <c r="X72" i="275"/>
  <c r="W72" i="275"/>
  <c r="P72" i="275"/>
  <c r="O72" i="275"/>
  <c r="N72" i="275"/>
  <c r="M72" i="275"/>
  <c r="AU71" i="275"/>
  <c r="AP71" i="275"/>
  <c r="AO71" i="275"/>
  <c r="AV71" i="275" s="1"/>
  <c r="AJ71" i="275"/>
  <c r="AI71" i="275"/>
  <c r="AH71" i="275"/>
  <c r="AF71" i="275"/>
  <c r="AE71" i="275"/>
  <c r="AC71" i="275"/>
  <c r="AB71" i="275"/>
  <c r="AA71" i="275"/>
  <c r="Z71" i="275"/>
  <c r="Y71" i="275"/>
  <c r="X71" i="275"/>
  <c r="W71" i="275"/>
  <c r="P71" i="275"/>
  <c r="O71" i="275"/>
  <c r="AD71" i="275" s="1"/>
  <c r="N71" i="275"/>
  <c r="M71" i="275"/>
  <c r="AU70" i="275"/>
  <c r="AT70" i="275"/>
  <c r="AP70" i="275"/>
  <c r="AI70" i="275"/>
  <c r="AH70" i="275"/>
  <c r="AF70" i="275"/>
  <c r="AE70" i="275"/>
  <c r="AD70" i="275"/>
  <c r="AB70" i="275"/>
  <c r="AA70" i="275"/>
  <c r="Z70" i="275"/>
  <c r="Y70" i="275"/>
  <c r="X70" i="275"/>
  <c r="W70" i="275"/>
  <c r="P70" i="275"/>
  <c r="O70" i="275"/>
  <c r="N70" i="275"/>
  <c r="M70" i="275"/>
  <c r="AU69" i="275"/>
  <c r="AT69" i="275"/>
  <c r="AQ69" i="275"/>
  <c r="AP69" i="275"/>
  <c r="AI69" i="275"/>
  <c r="AH69" i="275"/>
  <c r="AF69" i="275"/>
  <c r="AE69" i="275"/>
  <c r="AA69" i="275"/>
  <c r="Z69" i="275"/>
  <c r="Y69" i="275"/>
  <c r="X69" i="275"/>
  <c r="W69" i="275"/>
  <c r="P69" i="275"/>
  <c r="O69" i="275"/>
  <c r="AD69" i="275" s="1"/>
  <c r="N69" i="275"/>
  <c r="AO69" i="275" s="1"/>
  <c r="AV69" i="275" s="1"/>
  <c r="M69" i="275"/>
  <c r="AI68" i="275"/>
  <c r="AH68" i="275"/>
  <c r="W68" i="275"/>
  <c r="AU67" i="275"/>
  <c r="AT67" i="275"/>
  <c r="AP67" i="275"/>
  <c r="AO67" i="275"/>
  <c r="AV67" i="275" s="1"/>
  <c r="AI67" i="275"/>
  <c r="AH67" i="275"/>
  <c r="AF67" i="275"/>
  <c r="AE67" i="275"/>
  <c r="AD67" i="275"/>
  <c r="AC67" i="275"/>
  <c r="AA67" i="275"/>
  <c r="Z67" i="275"/>
  <c r="Y67" i="275"/>
  <c r="X67" i="275"/>
  <c r="W67" i="275"/>
  <c r="P67" i="275"/>
  <c r="O67" i="275"/>
  <c r="AQ67" i="275" s="1"/>
  <c r="N67" i="275"/>
  <c r="M67" i="275"/>
  <c r="AU66" i="275"/>
  <c r="AP66" i="275"/>
  <c r="AI66" i="275"/>
  <c r="AT66" i="275" s="1"/>
  <c r="AH66" i="275"/>
  <c r="AF66" i="275"/>
  <c r="AE66" i="275"/>
  <c r="AD66" i="275"/>
  <c r="AA66" i="275"/>
  <c r="Z66" i="275"/>
  <c r="Y66" i="275"/>
  <c r="X66" i="275"/>
  <c r="W66" i="275"/>
  <c r="P66" i="275"/>
  <c r="O66" i="275"/>
  <c r="N66" i="275"/>
  <c r="M66" i="275"/>
  <c r="AU65" i="275"/>
  <c r="AT65" i="275"/>
  <c r="AP65" i="275"/>
  <c r="AO65" i="275"/>
  <c r="AV65" i="275" s="1"/>
  <c r="AJ65" i="275"/>
  <c r="AI65" i="275"/>
  <c r="AH65" i="275"/>
  <c r="AF65" i="275"/>
  <c r="AE65" i="275"/>
  <c r="AD65" i="275"/>
  <c r="AC65" i="275"/>
  <c r="AA65" i="275"/>
  <c r="Z65" i="275"/>
  <c r="Y65" i="275"/>
  <c r="X65" i="275"/>
  <c r="W65" i="275"/>
  <c r="P65" i="275"/>
  <c r="O65" i="275"/>
  <c r="N65" i="275"/>
  <c r="M65" i="275"/>
  <c r="AI64" i="275"/>
  <c r="AH64" i="275"/>
  <c r="W64" i="275"/>
  <c r="AU63" i="275"/>
  <c r="AQ63" i="275"/>
  <c r="AP63" i="275"/>
  <c r="AO63" i="275"/>
  <c r="AV63" i="275" s="1"/>
  <c r="AI63" i="275"/>
  <c r="AH63" i="275"/>
  <c r="AF63" i="275"/>
  <c r="AE63" i="275"/>
  <c r="AC63" i="275"/>
  <c r="AB63" i="275"/>
  <c r="AA63" i="275"/>
  <c r="Z63" i="275"/>
  <c r="Y63" i="275"/>
  <c r="X63" i="275"/>
  <c r="W63" i="275"/>
  <c r="P63" i="275"/>
  <c r="O63" i="275"/>
  <c r="AD63" i="275" s="1"/>
  <c r="N63" i="275"/>
  <c r="M63" i="275"/>
  <c r="AU62" i="275"/>
  <c r="AT62" i="275"/>
  <c r="AP62" i="275"/>
  <c r="AJ62" i="275"/>
  <c r="AI62" i="275"/>
  <c r="AH62" i="275"/>
  <c r="AF62" i="275"/>
  <c r="AE62" i="275"/>
  <c r="AD62" i="275"/>
  <c r="AC62" i="275"/>
  <c r="AB62" i="275"/>
  <c r="AA62" i="275"/>
  <c r="Z62" i="275"/>
  <c r="Y62" i="275"/>
  <c r="X62" i="275"/>
  <c r="W62" i="275"/>
  <c r="P62" i="275"/>
  <c r="O62" i="275"/>
  <c r="N62" i="275"/>
  <c r="AO62" i="275" s="1"/>
  <c r="AV62" i="275" s="1"/>
  <c r="M62" i="275"/>
  <c r="AI61" i="275"/>
  <c r="AH61" i="275"/>
  <c r="W61" i="275"/>
  <c r="AU60" i="275"/>
  <c r="AP60" i="275"/>
  <c r="AI60" i="275"/>
  <c r="AH60" i="275"/>
  <c r="AF60" i="275"/>
  <c r="AE60" i="275"/>
  <c r="AD60" i="275"/>
  <c r="AC60" i="275"/>
  <c r="AB60" i="275"/>
  <c r="AA60" i="275"/>
  <c r="Z60" i="275"/>
  <c r="Y60" i="275"/>
  <c r="X60" i="275"/>
  <c r="W60" i="275"/>
  <c r="P60" i="275"/>
  <c r="O60" i="275"/>
  <c r="N60" i="275"/>
  <c r="AO60" i="275" s="1"/>
  <c r="AV60" i="275" s="1"/>
  <c r="M60" i="275"/>
  <c r="AU59" i="275"/>
  <c r="AT59" i="275"/>
  <c r="AP59" i="275"/>
  <c r="AO59" i="275"/>
  <c r="AV59" i="275" s="1"/>
  <c r="AI59" i="275"/>
  <c r="AH59" i="275"/>
  <c r="AF59" i="275"/>
  <c r="AE59" i="275"/>
  <c r="AD59" i="275"/>
  <c r="AC59" i="275"/>
  <c r="AA59" i="275"/>
  <c r="Z59" i="275"/>
  <c r="Y59" i="275"/>
  <c r="X59" i="275"/>
  <c r="W59" i="275"/>
  <c r="P59" i="275"/>
  <c r="O59" i="275"/>
  <c r="N59" i="275"/>
  <c r="M59" i="275"/>
  <c r="AV58" i="275"/>
  <c r="AU58" i="275"/>
  <c r="AP58" i="275"/>
  <c r="AO58" i="275"/>
  <c r="AJ58" i="275"/>
  <c r="AI58" i="275"/>
  <c r="AT58" i="275" s="1"/>
  <c r="AH58" i="275"/>
  <c r="AF58" i="275"/>
  <c r="AE58" i="275"/>
  <c r="AD58" i="275"/>
  <c r="AC58" i="275"/>
  <c r="AA58" i="275"/>
  <c r="Z58" i="275"/>
  <c r="Y58" i="275"/>
  <c r="X58" i="275"/>
  <c r="W58" i="275"/>
  <c r="P58" i="275"/>
  <c r="O58" i="275"/>
  <c r="N58" i="275"/>
  <c r="M58" i="275"/>
  <c r="AV57" i="275"/>
  <c r="AU57" i="275"/>
  <c r="AT57" i="275"/>
  <c r="AP57" i="275"/>
  <c r="AO57" i="275"/>
  <c r="AI57" i="275"/>
  <c r="AH57" i="275"/>
  <c r="AF57" i="275"/>
  <c r="AE57" i="275"/>
  <c r="AD57" i="275"/>
  <c r="AC57" i="275"/>
  <c r="AA57" i="275"/>
  <c r="Z57" i="275"/>
  <c r="Y57" i="275"/>
  <c r="X57" i="275"/>
  <c r="W57" i="275"/>
  <c r="P57" i="275"/>
  <c r="O57" i="275"/>
  <c r="N57" i="275"/>
  <c r="M57" i="275"/>
  <c r="AU56" i="275"/>
  <c r="AP56" i="275"/>
  <c r="AO56" i="275"/>
  <c r="AV56" i="275" s="1"/>
  <c r="AI56" i="275"/>
  <c r="AH56" i="275"/>
  <c r="AF56" i="275"/>
  <c r="AE56" i="275"/>
  <c r="AD56" i="275"/>
  <c r="AB56" i="275"/>
  <c r="AA56" i="275"/>
  <c r="Z56" i="275"/>
  <c r="Y56" i="275"/>
  <c r="X56" i="275"/>
  <c r="W56" i="275"/>
  <c r="P56" i="275"/>
  <c r="O56" i="275"/>
  <c r="N56" i="275"/>
  <c r="AC56" i="275" s="1"/>
  <c r="M56" i="275"/>
  <c r="AI55" i="275"/>
  <c r="AH55" i="275"/>
  <c r="W55" i="275"/>
  <c r="AU54" i="275"/>
  <c r="AP54" i="275"/>
  <c r="AO54" i="275"/>
  <c r="AV54" i="275" s="1"/>
  <c r="AI54" i="275"/>
  <c r="AT54" i="275" s="1"/>
  <c r="AH54" i="275"/>
  <c r="AF54" i="275"/>
  <c r="AE54" i="275"/>
  <c r="AD54" i="275"/>
  <c r="AC54" i="275"/>
  <c r="AA54" i="275"/>
  <c r="Z54" i="275"/>
  <c r="Y54" i="275"/>
  <c r="X54" i="275"/>
  <c r="W54" i="275"/>
  <c r="P54" i="275"/>
  <c r="O54" i="275"/>
  <c r="N54" i="275"/>
  <c r="M54" i="275"/>
  <c r="AV53" i="275"/>
  <c r="AU53" i="275"/>
  <c r="AT53" i="275"/>
  <c r="AP53" i="275"/>
  <c r="AO53" i="275"/>
  <c r="AJ53" i="275"/>
  <c r="AI53" i="275"/>
  <c r="AH53" i="275"/>
  <c r="AF53" i="275"/>
  <c r="AE53" i="275"/>
  <c r="AD53" i="275"/>
  <c r="AC53" i="275"/>
  <c r="AA53" i="275"/>
  <c r="Z53" i="275"/>
  <c r="Y53" i="275"/>
  <c r="X53" i="275"/>
  <c r="W53" i="275"/>
  <c r="P53" i="275"/>
  <c r="O53" i="275"/>
  <c r="N53" i="275"/>
  <c r="M53" i="275"/>
  <c r="AI52" i="275"/>
  <c r="AH52" i="275"/>
  <c r="W52" i="275"/>
  <c r="AU51" i="275"/>
  <c r="AP51" i="275"/>
  <c r="AO51" i="275"/>
  <c r="AV51" i="275" s="1"/>
  <c r="AI51" i="275"/>
  <c r="AH51" i="275"/>
  <c r="AF51" i="275"/>
  <c r="AE51" i="275"/>
  <c r="AC51" i="275"/>
  <c r="AB51" i="275"/>
  <c r="AA51" i="275"/>
  <c r="Z51" i="275"/>
  <c r="Y51" i="275"/>
  <c r="X51" i="275"/>
  <c r="W51" i="275"/>
  <c r="P51" i="275"/>
  <c r="O51" i="275"/>
  <c r="N51" i="275"/>
  <c r="M51" i="275"/>
  <c r="AU50" i="275"/>
  <c r="AT50" i="275"/>
  <c r="AP50" i="275"/>
  <c r="AI50" i="275"/>
  <c r="AH50" i="275"/>
  <c r="AF50" i="275"/>
  <c r="AE50" i="275"/>
  <c r="AD50" i="275"/>
  <c r="AB50" i="275"/>
  <c r="AA50" i="275"/>
  <c r="Z50" i="275"/>
  <c r="Y50" i="275"/>
  <c r="X50" i="275"/>
  <c r="W50" i="275"/>
  <c r="P50" i="275"/>
  <c r="O50" i="275"/>
  <c r="N50" i="275"/>
  <c r="M50" i="275"/>
  <c r="AI49" i="275"/>
  <c r="AH49" i="275"/>
  <c r="W49" i="275"/>
  <c r="AU48" i="275"/>
  <c r="AT48" i="275"/>
  <c r="AP48" i="275"/>
  <c r="AN48" i="275"/>
  <c r="AI48" i="275"/>
  <c r="AH48" i="275"/>
  <c r="AF48" i="275"/>
  <c r="AE48" i="275"/>
  <c r="AD48" i="275"/>
  <c r="AC48" i="275"/>
  <c r="AB48" i="275"/>
  <c r="AA48" i="275"/>
  <c r="Z48" i="275"/>
  <c r="Y48" i="275"/>
  <c r="X48" i="275"/>
  <c r="W48" i="275"/>
  <c r="P48" i="275"/>
  <c r="O48" i="275"/>
  <c r="AQ48" i="275" s="1"/>
  <c r="N48" i="275"/>
  <c r="AO48" i="275" s="1"/>
  <c r="AV48" i="275" s="1"/>
  <c r="M48" i="275"/>
  <c r="AV47" i="275"/>
  <c r="AU47" i="275"/>
  <c r="AT47" i="275"/>
  <c r="AP47" i="275"/>
  <c r="AO47" i="275"/>
  <c r="AJ47" i="275"/>
  <c r="AI47" i="275"/>
  <c r="AH47" i="275"/>
  <c r="AF47" i="275"/>
  <c r="AE47" i="275"/>
  <c r="AD47" i="275"/>
  <c r="AC47" i="275"/>
  <c r="AA47" i="275"/>
  <c r="Z47" i="275"/>
  <c r="Y47" i="275"/>
  <c r="X47" i="275"/>
  <c r="W47" i="275"/>
  <c r="P47" i="275"/>
  <c r="O47" i="275"/>
  <c r="N47" i="275"/>
  <c r="M47" i="275"/>
  <c r="AU46" i="275"/>
  <c r="AP46" i="275"/>
  <c r="AJ46" i="275"/>
  <c r="AI46" i="275"/>
  <c r="AT46" i="275" s="1"/>
  <c r="AH46" i="275"/>
  <c r="AF46" i="275"/>
  <c r="AE46" i="275"/>
  <c r="AD46" i="275"/>
  <c r="AA46" i="275"/>
  <c r="Z46" i="275"/>
  <c r="Y46" i="275"/>
  <c r="X46" i="275"/>
  <c r="W46" i="275"/>
  <c r="P46" i="275"/>
  <c r="O46" i="275"/>
  <c r="N46" i="275"/>
  <c r="AO46" i="275" s="1"/>
  <c r="AV46" i="275" s="1"/>
  <c r="M46" i="275"/>
  <c r="AI45" i="275"/>
  <c r="AH45" i="275"/>
  <c r="W45" i="275"/>
  <c r="AU44" i="275"/>
  <c r="AT44" i="275"/>
  <c r="AP44" i="275"/>
  <c r="AI44" i="275"/>
  <c r="AH44" i="275"/>
  <c r="AF44" i="275"/>
  <c r="AE44" i="275"/>
  <c r="AB44" i="275"/>
  <c r="AA44" i="275"/>
  <c r="Z44" i="275"/>
  <c r="Y44" i="275"/>
  <c r="X44" i="275"/>
  <c r="W44" i="275"/>
  <c r="P44" i="275"/>
  <c r="O44" i="275"/>
  <c r="AD44" i="275" s="1"/>
  <c r="N44" i="275"/>
  <c r="M44" i="275"/>
  <c r="AU43" i="275"/>
  <c r="AP43" i="275"/>
  <c r="AO43" i="275"/>
  <c r="AV43" i="275" s="1"/>
  <c r="AI43" i="275"/>
  <c r="AH43" i="275"/>
  <c r="AF43" i="275"/>
  <c r="AE43" i="275"/>
  <c r="AC43" i="275"/>
  <c r="AB43" i="275"/>
  <c r="AA43" i="275"/>
  <c r="Z43" i="275"/>
  <c r="Y43" i="275"/>
  <c r="X43" i="275"/>
  <c r="W43" i="275"/>
  <c r="P43" i="275"/>
  <c r="O43" i="275"/>
  <c r="N43" i="275"/>
  <c r="M43" i="275"/>
  <c r="AU42" i="275"/>
  <c r="AT42" i="275"/>
  <c r="AP42" i="275"/>
  <c r="AI42" i="275"/>
  <c r="AH42" i="275"/>
  <c r="AF42" i="275"/>
  <c r="AE42" i="275"/>
  <c r="AD42" i="275"/>
  <c r="AB42" i="275"/>
  <c r="AA42" i="275"/>
  <c r="Z42" i="275"/>
  <c r="Y42" i="275"/>
  <c r="X42" i="275"/>
  <c r="W42" i="275"/>
  <c r="P42" i="275"/>
  <c r="O42" i="275"/>
  <c r="AQ42" i="275" s="1"/>
  <c r="N42" i="275"/>
  <c r="M42" i="275"/>
  <c r="AI41" i="275"/>
  <c r="AH41" i="275"/>
  <c r="W41" i="275"/>
  <c r="AU40" i="275"/>
  <c r="AT40" i="275"/>
  <c r="AP40" i="275"/>
  <c r="AI40" i="275"/>
  <c r="AH40" i="275"/>
  <c r="AF40" i="275"/>
  <c r="AE40" i="275"/>
  <c r="AD40" i="275"/>
  <c r="AC40" i="275"/>
  <c r="AB40" i="275"/>
  <c r="AA40" i="275"/>
  <c r="Z40" i="275"/>
  <c r="Y40" i="275"/>
  <c r="X40" i="275"/>
  <c r="W40" i="275"/>
  <c r="P40" i="275"/>
  <c r="O40" i="275"/>
  <c r="AQ40" i="275" s="1"/>
  <c r="N40" i="275"/>
  <c r="AO40" i="275" s="1"/>
  <c r="AV40" i="275" s="1"/>
  <c r="M40" i="275"/>
  <c r="AU39" i="275"/>
  <c r="AT39" i="275"/>
  <c r="AP39" i="275"/>
  <c r="AO39" i="275"/>
  <c r="AV39" i="275" s="1"/>
  <c r="AN39" i="275"/>
  <c r="AI39" i="275"/>
  <c r="AH39" i="275"/>
  <c r="AF39" i="275"/>
  <c r="AE39" i="275"/>
  <c r="AD39" i="275"/>
  <c r="AC39" i="275"/>
  <c r="AA39" i="275"/>
  <c r="Z39" i="275"/>
  <c r="Y39" i="275"/>
  <c r="X39" i="275"/>
  <c r="W39" i="275"/>
  <c r="P39" i="275"/>
  <c r="O39" i="275"/>
  <c r="N39" i="275"/>
  <c r="M39" i="275"/>
  <c r="AI38" i="275"/>
  <c r="AH38" i="275"/>
  <c r="W38" i="275"/>
  <c r="AP37" i="275"/>
  <c r="AI37" i="275"/>
  <c r="AH37" i="275"/>
  <c r="AF37" i="275"/>
  <c r="AE37" i="275"/>
  <c r="AA37" i="275"/>
  <c r="Z37" i="275"/>
  <c r="Y37" i="275"/>
  <c r="X37" i="275"/>
  <c r="W37" i="275"/>
  <c r="P37" i="275"/>
  <c r="O37" i="275"/>
  <c r="AD37" i="275" s="1"/>
  <c r="N37" i="275"/>
  <c r="M37" i="275"/>
  <c r="AU36" i="275"/>
  <c r="AP36" i="275"/>
  <c r="AI36" i="275"/>
  <c r="AT36" i="275" s="1"/>
  <c r="AH36" i="275"/>
  <c r="AF36" i="275"/>
  <c r="AE36" i="275"/>
  <c r="AD36" i="275"/>
  <c r="AC36" i="275"/>
  <c r="AB36" i="275"/>
  <c r="AA36" i="275"/>
  <c r="Z36" i="275"/>
  <c r="Y36" i="275"/>
  <c r="X36" i="275"/>
  <c r="W36" i="275"/>
  <c r="P36" i="275"/>
  <c r="O36" i="275"/>
  <c r="N36" i="275"/>
  <c r="AO36" i="275" s="1"/>
  <c r="AV36" i="275" s="1"/>
  <c r="M36" i="275"/>
  <c r="AI35" i="275"/>
  <c r="AH35" i="275"/>
  <c r="W35" i="275"/>
  <c r="AU34" i="275"/>
  <c r="AP34" i="275"/>
  <c r="AI34" i="275"/>
  <c r="AH34" i="275"/>
  <c r="AF34" i="275"/>
  <c r="AE34" i="275"/>
  <c r="AA34" i="275"/>
  <c r="Z34" i="275"/>
  <c r="Y34" i="275"/>
  <c r="X34" i="275"/>
  <c r="W34" i="275"/>
  <c r="P34" i="275"/>
  <c r="O34" i="275"/>
  <c r="AD34" i="275" s="1"/>
  <c r="N34" i="275"/>
  <c r="M34" i="275"/>
  <c r="AV33" i="275"/>
  <c r="AP33" i="275"/>
  <c r="AO33" i="275"/>
  <c r="AJ33" i="275"/>
  <c r="AI33" i="275"/>
  <c r="AH33" i="275"/>
  <c r="AF33" i="275"/>
  <c r="AE33" i="275"/>
  <c r="AC33" i="275"/>
  <c r="AB33" i="275"/>
  <c r="AA33" i="275"/>
  <c r="Z33" i="275"/>
  <c r="Y33" i="275"/>
  <c r="X33" i="275"/>
  <c r="W33" i="275"/>
  <c r="P33" i="275"/>
  <c r="O33" i="275"/>
  <c r="AD33" i="275" s="1"/>
  <c r="N33" i="275"/>
  <c r="M33" i="275"/>
  <c r="AI32" i="275"/>
  <c r="AH32" i="275"/>
  <c r="W32" i="275"/>
  <c r="AU31" i="275"/>
  <c r="AT31" i="275"/>
  <c r="AP31" i="275"/>
  <c r="AI31" i="275"/>
  <c r="AH31" i="275"/>
  <c r="AF31" i="275"/>
  <c r="AE31" i="275"/>
  <c r="AA31" i="275"/>
  <c r="Z31" i="275"/>
  <c r="Y31" i="275"/>
  <c r="X31" i="275"/>
  <c r="W31" i="275"/>
  <c r="P31" i="275"/>
  <c r="O31" i="275"/>
  <c r="AD31" i="275" s="1"/>
  <c r="N31" i="275"/>
  <c r="AC31" i="275" s="1"/>
  <c r="M31" i="275"/>
  <c r="AV30" i="275"/>
  <c r="AU30" i="275"/>
  <c r="AP30" i="275"/>
  <c r="AO30" i="275"/>
  <c r="AN30" i="275"/>
  <c r="AI30" i="275"/>
  <c r="AH30" i="275"/>
  <c r="AF30" i="275"/>
  <c r="AE30" i="275"/>
  <c r="AD30" i="275"/>
  <c r="AB30" i="275"/>
  <c r="AA30" i="275"/>
  <c r="Z30" i="275"/>
  <c r="Y30" i="275"/>
  <c r="X30" i="275"/>
  <c r="W30" i="275"/>
  <c r="P30" i="275"/>
  <c r="O30" i="275"/>
  <c r="N30" i="275"/>
  <c r="AC30" i="275" s="1"/>
  <c r="M30" i="275"/>
  <c r="AI29" i="275"/>
  <c r="AH29" i="275"/>
  <c r="W29" i="275"/>
  <c r="AU28" i="275"/>
  <c r="AT28" i="275"/>
  <c r="AP28" i="275"/>
  <c r="AI28" i="275"/>
  <c r="AH28" i="275"/>
  <c r="AF28" i="275"/>
  <c r="AE28" i="275"/>
  <c r="AD28" i="275"/>
  <c r="AA28" i="275"/>
  <c r="Z28" i="275"/>
  <c r="Y28" i="275"/>
  <c r="X28" i="275"/>
  <c r="W28" i="275"/>
  <c r="P28" i="275"/>
  <c r="O28" i="275"/>
  <c r="N28" i="275"/>
  <c r="M28" i="275"/>
  <c r="AU27" i="275"/>
  <c r="AT27" i="275"/>
  <c r="AP27" i="275"/>
  <c r="AI27" i="275"/>
  <c r="AH27" i="275"/>
  <c r="AF27" i="275"/>
  <c r="AE27" i="275"/>
  <c r="AA27" i="275"/>
  <c r="Z27" i="275"/>
  <c r="Y27" i="275"/>
  <c r="X27" i="275"/>
  <c r="W27" i="275"/>
  <c r="P27" i="275"/>
  <c r="O27" i="275"/>
  <c r="N27" i="275"/>
  <c r="AC27" i="275" s="1"/>
  <c r="M27" i="275"/>
  <c r="AI26" i="275"/>
  <c r="AH26" i="275"/>
  <c r="W26" i="275"/>
  <c r="AV25" i="275"/>
  <c r="AU25" i="275"/>
  <c r="AR25" i="275"/>
  <c r="AP25" i="275"/>
  <c r="AO25" i="275"/>
  <c r="AI25" i="275"/>
  <c r="AN25" i="275" s="1"/>
  <c r="AH25" i="275"/>
  <c r="AF25" i="275"/>
  <c r="AE25" i="275"/>
  <c r="AD25" i="275"/>
  <c r="AC25" i="275"/>
  <c r="AB25" i="275"/>
  <c r="AA25" i="275"/>
  <c r="Z25" i="275"/>
  <c r="Y25" i="275"/>
  <c r="X25" i="275"/>
  <c r="W25" i="275"/>
  <c r="P25" i="275"/>
  <c r="O25" i="275"/>
  <c r="AQ25" i="275" s="1"/>
  <c r="N25" i="275"/>
  <c r="M25" i="275"/>
  <c r="AV24" i="275"/>
  <c r="AU24" i="275"/>
  <c r="AT24" i="275"/>
  <c r="AP24" i="275"/>
  <c r="AO24" i="275"/>
  <c r="AJ24" i="275"/>
  <c r="AI24" i="275"/>
  <c r="AH24" i="275"/>
  <c r="AF24" i="275"/>
  <c r="AE24" i="275"/>
  <c r="AD24" i="275"/>
  <c r="AC24" i="275"/>
  <c r="AB24" i="275"/>
  <c r="AA24" i="275"/>
  <c r="Z24" i="275"/>
  <c r="Y24" i="275"/>
  <c r="X24" i="275"/>
  <c r="W24" i="275"/>
  <c r="P24" i="275"/>
  <c r="O24" i="275"/>
  <c r="N24" i="275"/>
  <c r="M24" i="275"/>
  <c r="AU23" i="275"/>
  <c r="AT23" i="275"/>
  <c r="AP23" i="275"/>
  <c r="AO23" i="275"/>
  <c r="AV23" i="275" s="1"/>
  <c r="AI23" i="275"/>
  <c r="AH23" i="275"/>
  <c r="AF23" i="275"/>
  <c r="AE23" i="275"/>
  <c r="AC23" i="275"/>
  <c r="AA23" i="275"/>
  <c r="Z23" i="275"/>
  <c r="Y23" i="275"/>
  <c r="X23" i="275"/>
  <c r="W23" i="275"/>
  <c r="P23" i="275"/>
  <c r="O23" i="275"/>
  <c r="N23" i="275"/>
  <c r="M23" i="275"/>
  <c r="AU22" i="275"/>
  <c r="AP22" i="275"/>
  <c r="AI22" i="275"/>
  <c r="AH22" i="275"/>
  <c r="AF22" i="275"/>
  <c r="AE22" i="275"/>
  <c r="AB22" i="275"/>
  <c r="AA22" i="275"/>
  <c r="Z22" i="275"/>
  <c r="Y22" i="275"/>
  <c r="X22" i="275"/>
  <c r="W22" i="275"/>
  <c r="P22" i="275"/>
  <c r="O22" i="275"/>
  <c r="AD22" i="275" s="1"/>
  <c r="N22" i="275"/>
  <c r="M22" i="275"/>
  <c r="AI21" i="275"/>
  <c r="AH21" i="275"/>
  <c r="W21" i="275"/>
  <c r="AU20" i="275"/>
  <c r="AP20" i="275"/>
  <c r="AO20" i="275"/>
  <c r="AV20" i="275" s="1"/>
  <c r="AI20" i="275"/>
  <c r="AT20" i="275" s="1"/>
  <c r="AH20" i="275"/>
  <c r="AF20" i="275"/>
  <c r="AE20" i="275"/>
  <c r="AD20" i="275"/>
  <c r="AC20" i="275"/>
  <c r="AA20" i="275"/>
  <c r="Z20" i="275"/>
  <c r="Y20" i="275"/>
  <c r="X20" i="275"/>
  <c r="W20" i="275"/>
  <c r="P20" i="275"/>
  <c r="O20" i="275"/>
  <c r="N20" i="275"/>
  <c r="M20" i="275"/>
  <c r="AV19" i="275"/>
  <c r="AU19" i="275"/>
  <c r="AT19" i="275"/>
  <c r="AP19" i="275"/>
  <c r="AO19" i="275"/>
  <c r="AN19" i="275"/>
  <c r="AI19" i="275"/>
  <c r="AH19" i="275"/>
  <c r="AF19" i="275"/>
  <c r="AE19" i="275"/>
  <c r="AD19" i="275"/>
  <c r="AC19" i="275"/>
  <c r="AA19" i="275"/>
  <c r="Z19" i="275"/>
  <c r="Y19" i="275"/>
  <c r="X19" i="275"/>
  <c r="W19" i="275"/>
  <c r="P19" i="275"/>
  <c r="O19" i="275"/>
  <c r="N19" i="275"/>
  <c r="M19" i="275"/>
  <c r="AI18" i="275"/>
  <c r="AH18" i="275"/>
  <c r="W18" i="275"/>
  <c r="AU17" i="275"/>
  <c r="AP17" i="275"/>
  <c r="AO17" i="275"/>
  <c r="AV17" i="275" s="1"/>
  <c r="AI17" i="275"/>
  <c r="AH17" i="275"/>
  <c r="AF17" i="275"/>
  <c r="AE17" i="275"/>
  <c r="AC17" i="275"/>
  <c r="AB17" i="275"/>
  <c r="AA17" i="275"/>
  <c r="Z17" i="275"/>
  <c r="Y17" i="275"/>
  <c r="X17" i="275"/>
  <c r="W17" i="275"/>
  <c r="P17" i="275"/>
  <c r="O17" i="275"/>
  <c r="N17" i="275"/>
  <c r="M17" i="275"/>
  <c r="AU16" i="275"/>
  <c r="AT16" i="275"/>
  <c r="AP16" i="275"/>
  <c r="AO16" i="275"/>
  <c r="AV16" i="275" s="1"/>
  <c r="AI16" i="275"/>
  <c r="AH16" i="275"/>
  <c r="AF16" i="275"/>
  <c r="AE16" i="275"/>
  <c r="AD16" i="275"/>
  <c r="AA16" i="275"/>
  <c r="Z16" i="275"/>
  <c r="Y16" i="275"/>
  <c r="X16" i="275"/>
  <c r="W16" i="275"/>
  <c r="P16" i="275"/>
  <c r="O16" i="275"/>
  <c r="N16" i="275"/>
  <c r="AC16" i="275" s="1"/>
  <c r="M16" i="275"/>
  <c r="AU15" i="275"/>
  <c r="AT15" i="275"/>
  <c r="AP15" i="275"/>
  <c r="AI15" i="275"/>
  <c r="AH15" i="275"/>
  <c r="AF15" i="275"/>
  <c r="AE15" i="275"/>
  <c r="AA15" i="275"/>
  <c r="Z15" i="275"/>
  <c r="Y15" i="275"/>
  <c r="X15" i="275"/>
  <c r="W15" i="275"/>
  <c r="P15" i="275"/>
  <c r="O15" i="275"/>
  <c r="AD15" i="275" s="1"/>
  <c r="N15" i="275"/>
  <c r="AC15" i="275" s="1"/>
  <c r="M15" i="275"/>
  <c r="AV14" i="275"/>
  <c r="AU14" i="275"/>
  <c r="AQ14" i="275"/>
  <c r="AP14" i="275"/>
  <c r="AO14" i="275"/>
  <c r="AI14" i="275"/>
  <c r="AH14" i="275"/>
  <c r="AF14" i="275"/>
  <c r="AE14" i="275"/>
  <c r="AD14" i="275"/>
  <c r="AA14" i="275"/>
  <c r="Z14" i="275"/>
  <c r="Y14" i="275"/>
  <c r="X14" i="275"/>
  <c r="W14" i="275"/>
  <c r="P14" i="275"/>
  <c r="O14" i="275"/>
  <c r="N14" i="275"/>
  <c r="AC14" i="275" s="1"/>
  <c r="M14" i="275"/>
  <c r="AI13" i="275"/>
  <c r="AH13" i="275"/>
  <c r="W13" i="275"/>
  <c r="AU12" i="275"/>
  <c r="AT12" i="275"/>
  <c r="AP12" i="275"/>
  <c r="AI12" i="275"/>
  <c r="AH12" i="275"/>
  <c r="AF12" i="275"/>
  <c r="AE12" i="275"/>
  <c r="AD12" i="275"/>
  <c r="AA12" i="275"/>
  <c r="Z12" i="275"/>
  <c r="Y12" i="275"/>
  <c r="X12" i="275"/>
  <c r="W12" i="275"/>
  <c r="P12" i="275"/>
  <c r="O12" i="275"/>
  <c r="N12" i="275"/>
  <c r="M12" i="275"/>
  <c r="AB12" i="275" s="1"/>
  <c r="AU11" i="275"/>
  <c r="AT11" i="275"/>
  <c r="AP11" i="275"/>
  <c r="AI11" i="275"/>
  <c r="AH11" i="275"/>
  <c r="AF11" i="275"/>
  <c r="AE11" i="275"/>
  <c r="AA11" i="275"/>
  <c r="Z11" i="275"/>
  <c r="Y11" i="275"/>
  <c r="X11" i="275"/>
  <c r="W11" i="275"/>
  <c r="P11" i="275"/>
  <c r="O11" i="275"/>
  <c r="N11" i="275"/>
  <c r="AC11" i="275" s="1"/>
  <c r="M11" i="275"/>
  <c r="AU10" i="275"/>
  <c r="AP10" i="275"/>
  <c r="AO10" i="275"/>
  <c r="AV10" i="275" s="1"/>
  <c r="AI10" i="275"/>
  <c r="AH10" i="275"/>
  <c r="AF10" i="275"/>
  <c r="AE10" i="275"/>
  <c r="AD10" i="275"/>
  <c r="AB10" i="275"/>
  <c r="AA10" i="275"/>
  <c r="Z10" i="275"/>
  <c r="Y10" i="275"/>
  <c r="X10" i="275"/>
  <c r="W10" i="275"/>
  <c r="P10" i="275"/>
  <c r="O10" i="275"/>
  <c r="N10" i="275"/>
  <c r="AC10" i="275" s="1"/>
  <c r="M10" i="275"/>
  <c r="AT9" i="275"/>
  <c r="AP9" i="275"/>
  <c r="AI9" i="275"/>
  <c r="AH9" i="275"/>
  <c r="AF9" i="275"/>
  <c r="AE9" i="275"/>
  <c r="AB9" i="275"/>
  <c r="AA9" i="275"/>
  <c r="Z9" i="275"/>
  <c r="Y9" i="275"/>
  <c r="X9" i="275"/>
  <c r="W9" i="275"/>
  <c r="P9" i="275"/>
  <c r="O9" i="275"/>
  <c r="N9" i="275"/>
  <c r="M9" i="275"/>
  <c r="AI8" i="275"/>
  <c r="AH8" i="275"/>
  <c r="W8" i="275"/>
  <c r="AV7" i="275"/>
  <c r="AU7" i="275"/>
  <c r="AT7" i="275"/>
  <c r="AP7" i="275"/>
  <c r="AO7" i="275"/>
  <c r="AI7" i="275"/>
  <c r="AH7" i="275"/>
  <c r="AF7" i="275"/>
  <c r="AE7" i="275"/>
  <c r="AD7" i="275"/>
  <c r="AC7" i="275"/>
  <c r="AA7" i="275"/>
  <c r="Z7" i="275"/>
  <c r="Y7" i="275"/>
  <c r="X7" i="275"/>
  <c r="W7" i="275"/>
  <c r="P7" i="275"/>
  <c r="O7" i="275"/>
  <c r="N7" i="275"/>
  <c r="M7" i="275"/>
  <c r="AU6" i="275"/>
  <c r="AP6" i="275"/>
  <c r="AO6" i="275"/>
  <c r="AV6" i="275" s="1"/>
  <c r="AI6" i="275"/>
  <c r="AH6" i="275"/>
  <c r="AF6" i="275"/>
  <c r="AE6" i="275"/>
  <c r="AD6" i="275"/>
  <c r="AB6" i="275"/>
  <c r="AA6" i="275"/>
  <c r="Z6" i="275"/>
  <c r="Y6" i="275"/>
  <c r="X6" i="275"/>
  <c r="W6" i="275"/>
  <c r="P6" i="275"/>
  <c r="O6" i="275"/>
  <c r="N6" i="275"/>
  <c r="AC6" i="275" s="1"/>
  <c r="M6" i="275"/>
  <c r="AI5" i="275"/>
  <c r="AH5" i="275"/>
  <c r="W5" i="275"/>
  <c r="AI4" i="275"/>
  <c r="AU3" i="275"/>
  <c r="AO3" i="275"/>
  <c r="AI3" i="275"/>
  <c r="AH3" i="275"/>
  <c r="AN2" i="275"/>
  <c r="AN115" i="275" s="1"/>
  <c r="AM2" i="275"/>
  <c r="AL2" i="275"/>
  <c r="AK2" i="275"/>
  <c r="AJ2" i="275"/>
  <c r="AJ108" i="275" s="1"/>
  <c r="AA2" i="275"/>
  <c r="A2" i="275"/>
  <c r="AU1" i="275"/>
  <c r="AU120" i="275" s="1"/>
  <c r="AR1" i="275"/>
  <c r="AR129" i="275" s="1"/>
  <c r="AQ1" i="275"/>
  <c r="AQ130" i="275" s="1"/>
  <c r="AP1" i="275"/>
  <c r="AP3" i="275" s="1"/>
  <c r="AO1" i="275"/>
  <c r="AA1" i="275"/>
  <c r="A1" i="275"/>
  <c r="AV10" i="274"/>
  <c r="AT10" i="274"/>
  <c r="AP10" i="274"/>
  <c r="AJ10" i="274"/>
  <c r="AI10" i="274"/>
  <c r="AH10" i="274"/>
  <c r="AF10" i="274"/>
  <c r="AE10" i="274"/>
  <c r="AC10" i="274"/>
  <c r="AA10" i="274"/>
  <c r="Z10" i="274"/>
  <c r="Y10" i="274"/>
  <c r="X10" i="274"/>
  <c r="W10" i="274"/>
  <c r="P10" i="274"/>
  <c r="O10" i="274"/>
  <c r="N10" i="274"/>
  <c r="AO10" i="274" s="1"/>
  <c r="M10" i="274"/>
  <c r="AP9" i="274"/>
  <c r="AN9" i="274"/>
  <c r="AI9" i="274"/>
  <c r="AH9" i="274"/>
  <c r="AF9" i="274"/>
  <c r="AE9" i="274"/>
  <c r="AB9" i="274"/>
  <c r="AA9" i="274"/>
  <c r="Z9" i="274"/>
  <c r="Y9" i="274"/>
  <c r="X9" i="274"/>
  <c r="W9" i="274"/>
  <c r="P9" i="274"/>
  <c r="O9" i="274"/>
  <c r="N9" i="274"/>
  <c r="M9" i="274"/>
  <c r="AQ8" i="274"/>
  <c r="AP8" i="274"/>
  <c r="AI8" i="274"/>
  <c r="AH8" i="274"/>
  <c r="AF8" i="274"/>
  <c r="AE8" i="274"/>
  <c r="AA8" i="274"/>
  <c r="Z8" i="274"/>
  <c r="Y8" i="274"/>
  <c r="X8" i="274"/>
  <c r="W8" i="274"/>
  <c r="P8" i="274"/>
  <c r="O8" i="274"/>
  <c r="AD8" i="274" s="1"/>
  <c r="N8" i="274"/>
  <c r="M8" i="274"/>
  <c r="AB8" i="274" s="1"/>
  <c r="AU7" i="274"/>
  <c r="AP7" i="274"/>
  <c r="AI7" i="274"/>
  <c r="AH7" i="274"/>
  <c r="AF7" i="274"/>
  <c r="AE7" i="274"/>
  <c r="AD7" i="274"/>
  <c r="AC7" i="274"/>
  <c r="AB7" i="274"/>
  <c r="AA7" i="274"/>
  <c r="Z7" i="274"/>
  <c r="Y7" i="274"/>
  <c r="X7" i="274"/>
  <c r="W7" i="274"/>
  <c r="P7" i="274"/>
  <c r="O7" i="274"/>
  <c r="N7" i="274"/>
  <c r="AO7" i="274" s="1"/>
  <c r="AV7" i="274" s="1"/>
  <c r="M7" i="274"/>
  <c r="AU6" i="274"/>
  <c r="AT6" i="274"/>
  <c r="AP6" i="274"/>
  <c r="AO6" i="274"/>
  <c r="AV6" i="274" s="1"/>
  <c r="AI6" i="274"/>
  <c r="AN6" i="274" s="1"/>
  <c r="AH6" i="274"/>
  <c r="AF6" i="274"/>
  <c r="AE6" i="274"/>
  <c r="AD6" i="274"/>
  <c r="AC6" i="274"/>
  <c r="AA6" i="274"/>
  <c r="Z6" i="274"/>
  <c r="Y6" i="274"/>
  <c r="X6" i="274"/>
  <c r="W6" i="274"/>
  <c r="P6" i="274"/>
  <c r="O6" i="274"/>
  <c r="N6" i="274"/>
  <c r="M6" i="274"/>
  <c r="AI5" i="274"/>
  <c r="AH5" i="274"/>
  <c r="W5" i="274"/>
  <c r="AI4" i="274"/>
  <c r="AQ3" i="274"/>
  <c r="AP3" i="274"/>
  <c r="AO3" i="274"/>
  <c r="AI3" i="274"/>
  <c r="AH3" i="274"/>
  <c r="AN2" i="274"/>
  <c r="AN10" i="274" s="1"/>
  <c r="AM2" i="274"/>
  <c r="AL2" i="274"/>
  <c r="AK2" i="274"/>
  <c r="AJ2" i="274"/>
  <c r="AJ8" i="274" s="1"/>
  <c r="AA2" i="274"/>
  <c r="A2" i="274"/>
  <c r="AU1" i="274"/>
  <c r="AR1" i="274"/>
  <c r="AQ1" i="274"/>
  <c r="AP1" i="274"/>
  <c r="AO1" i="274"/>
  <c r="AH1" i="274"/>
  <c r="AH2" i="274" s="1"/>
  <c r="AA1" i="274"/>
  <c r="A1" i="274"/>
  <c r="AJ1" i="274" s="1"/>
  <c r="AU30" i="273"/>
  <c r="AP30" i="273"/>
  <c r="AJ30" i="273"/>
  <c r="AI30" i="273"/>
  <c r="AT30" i="273" s="1"/>
  <c r="AH30" i="273"/>
  <c r="AF30" i="273"/>
  <c r="AE30" i="273"/>
  <c r="AD30" i="273"/>
  <c r="AC30" i="273"/>
  <c r="AB30" i="273"/>
  <c r="AA30" i="273"/>
  <c r="Z30" i="273"/>
  <c r="Y30" i="273"/>
  <c r="X30" i="273"/>
  <c r="W30" i="273"/>
  <c r="P30" i="273"/>
  <c r="O30" i="273"/>
  <c r="AQ30" i="273" s="1"/>
  <c r="N30" i="273"/>
  <c r="AO30" i="273" s="1"/>
  <c r="AV30" i="273" s="1"/>
  <c r="M30" i="273"/>
  <c r="AV29" i="273"/>
  <c r="AU29" i="273"/>
  <c r="AP29" i="273"/>
  <c r="AO29" i="273"/>
  <c r="AI29" i="273"/>
  <c r="AH29" i="273"/>
  <c r="AF29" i="273"/>
  <c r="AE29" i="273"/>
  <c r="AD29" i="273"/>
  <c r="AC29" i="273"/>
  <c r="AB29" i="273"/>
  <c r="AA29" i="273"/>
  <c r="Z29" i="273"/>
  <c r="Y29" i="273"/>
  <c r="X29" i="273"/>
  <c r="W29" i="273"/>
  <c r="P29" i="273"/>
  <c r="O29" i="273"/>
  <c r="AQ29" i="273" s="1"/>
  <c r="N29" i="273"/>
  <c r="M29" i="273"/>
  <c r="AI28" i="273"/>
  <c r="AH28" i="273"/>
  <c r="W28" i="273"/>
  <c r="AQ27" i="273"/>
  <c r="AP27" i="273"/>
  <c r="AI27" i="273"/>
  <c r="AH27" i="273"/>
  <c r="AF27" i="273"/>
  <c r="AE27" i="273"/>
  <c r="AA27" i="273"/>
  <c r="Z27" i="273"/>
  <c r="Y27" i="273"/>
  <c r="X27" i="273"/>
  <c r="W27" i="273"/>
  <c r="P27" i="273"/>
  <c r="O27" i="273"/>
  <c r="AD27" i="273" s="1"/>
  <c r="N27" i="273"/>
  <c r="AC27" i="273" s="1"/>
  <c r="M27" i="273"/>
  <c r="AU26" i="273"/>
  <c r="AT26" i="273"/>
  <c r="AP26" i="273"/>
  <c r="AI26" i="273"/>
  <c r="AH26" i="273"/>
  <c r="AF26" i="273"/>
  <c r="AE26" i="273"/>
  <c r="AD26" i="273"/>
  <c r="AC26" i="273"/>
  <c r="AB26" i="273"/>
  <c r="AA26" i="273"/>
  <c r="Z26" i="273"/>
  <c r="Y26" i="273"/>
  <c r="X26" i="273"/>
  <c r="W26" i="273"/>
  <c r="P26" i="273"/>
  <c r="O26" i="273"/>
  <c r="AQ26" i="273" s="1"/>
  <c r="N26" i="273"/>
  <c r="AO26" i="273" s="1"/>
  <c r="AV26" i="273" s="1"/>
  <c r="M26" i="273"/>
  <c r="AU25" i="273"/>
  <c r="AT25" i="273"/>
  <c r="AP25" i="273"/>
  <c r="AO25" i="273"/>
  <c r="AV25" i="273" s="1"/>
  <c r="AI25" i="273"/>
  <c r="AH25" i="273"/>
  <c r="AF25" i="273"/>
  <c r="AE25" i="273"/>
  <c r="AD25" i="273"/>
  <c r="AC25" i="273"/>
  <c r="AA25" i="273"/>
  <c r="Z25" i="273"/>
  <c r="Y25" i="273"/>
  <c r="X25" i="273"/>
  <c r="W25" i="273"/>
  <c r="P25" i="273"/>
  <c r="O25" i="273"/>
  <c r="AQ25" i="273" s="1"/>
  <c r="N25" i="273"/>
  <c r="M25" i="273"/>
  <c r="AV24" i="273"/>
  <c r="AU24" i="273"/>
  <c r="AP24" i="273"/>
  <c r="AO24" i="273"/>
  <c r="AN24" i="273"/>
  <c r="AJ24" i="273"/>
  <c r="AI24" i="273"/>
  <c r="AT24" i="273" s="1"/>
  <c r="AH24" i="273"/>
  <c r="AF24" i="273"/>
  <c r="AE24" i="273"/>
  <c r="AD24" i="273"/>
  <c r="AC24" i="273"/>
  <c r="AA24" i="273"/>
  <c r="Z24" i="273"/>
  <c r="Y24" i="273"/>
  <c r="X24" i="273"/>
  <c r="W24" i="273"/>
  <c r="P24" i="273"/>
  <c r="O24" i="273"/>
  <c r="N24" i="273"/>
  <c r="M24" i="273"/>
  <c r="AV23" i="273"/>
  <c r="AU23" i="273"/>
  <c r="AT23" i="273"/>
  <c r="AP23" i="273"/>
  <c r="AO23" i="273"/>
  <c r="AJ23" i="273"/>
  <c r="AI23" i="273"/>
  <c r="AH23" i="273"/>
  <c r="AF23" i="273"/>
  <c r="AE23" i="273"/>
  <c r="AD23" i="273"/>
  <c r="AC23" i="273"/>
  <c r="AA23" i="273"/>
  <c r="Z23" i="273"/>
  <c r="Y23" i="273"/>
  <c r="X23" i="273"/>
  <c r="W23" i="273"/>
  <c r="P23" i="273"/>
  <c r="O23" i="273"/>
  <c r="AQ23" i="273" s="1"/>
  <c r="N23" i="273"/>
  <c r="M23" i="273"/>
  <c r="AU22" i="273"/>
  <c r="AP22" i="273"/>
  <c r="AO22" i="273"/>
  <c r="AV22" i="273" s="1"/>
  <c r="AN22" i="273"/>
  <c r="AI22" i="273"/>
  <c r="AH22" i="273"/>
  <c r="AF22" i="273"/>
  <c r="AE22" i="273"/>
  <c r="AD22" i="273"/>
  <c r="AB22" i="273"/>
  <c r="AA22" i="273"/>
  <c r="Z22" i="273"/>
  <c r="Y22" i="273"/>
  <c r="X22" i="273"/>
  <c r="W22" i="273"/>
  <c r="P22" i="273"/>
  <c r="O22" i="273"/>
  <c r="N22" i="273"/>
  <c r="AC22" i="273" s="1"/>
  <c r="M22" i="273"/>
  <c r="AT21" i="273"/>
  <c r="AP21" i="273"/>
  <c r="AI21" i="273"/>
  <c r="AH21" i="273"/>
  <c r="AF21" i="273"/>
  <c r="AE21" i="273"/>
  <c r="AA21" i="273"/>
  <c r="Z21" i="273"/>
  <c r="Y21" i="273"/>
  <c r="X21" i="273"/>
  <c r="W21" i="273"/>
  <c r="P21" i="273"/>
  <c r="O21" i="273"/>
  <c r="AD21" i="273" s="1"/>
  <c r="N21" i="273"/>
  <c r="M21" i="273"/>
  <c r="AB21" i="273" s="1"/>
  <c r="AU20" i="273"/>
  <c r="AQ20" i="273"/>
  <c r="AP20" i="273"/>
  <c r="AN20" i="273"/>
  <c r="AI20" i="273"/>
  <c r="AT20" i="273" s="1"/>
  <c r="AH20" i="273"/>
  <c r="AF20" i="273"/>
  <c r="AE20" i="273"/>
  <c r="AD20" i="273"/>
  <c r="AB20" i="273"/>
  <c r="AA20" i="273"/>
  <c r="Z20" i="273"/>
  <c r="Y20" i="273"/>
  <c r="X20" i="273"/>
  <c r="W20" i="273"/>
  <c r="P20" i="273"/>
  <c r="O20" i="273"/>
  <c r="N20" i="273"/>
  <c r="M20" i="273"/>
  <c r="AI19" i="273"/>
  <c r="AH19" i="273"/>
  <c r="W19" i="273"/>
  <c r="AU18" i="273"/>
  <c r="AP18" i="273"/>
  <c r="AI18" i="273"/>
  <c r="AH18" i="273"/>
  <c r="AF18" i="273"/>
  <c r="AE18" i="273"/>
  <c r="AA18" i="273"/>
  <c r="Z18" i="273"/>
  <c r="Y18" i="273"/>
  <c r="X18" i="273"/>
  <c r="W18" i="273"/>
  <c r="P18" i="273"/>
  <c r="O18" i="273"/>
  <c r="AD18" i="273" s="1"/>
  <c r="N18" i="273"/>
  <c r="M18" i="273"/>
  <c r="AB18" i="273" s="1"/>
  <c r="AQ17" i="273"/>
  <c r="AP17" i="273"/>
  <c r="AO17" i="273"/>
  <c r="AV17" i="273" s="1"/>
  <c r="AJ17" i="273"/>
  <c r="AI17" i="273"/>
  <c r="AH17" i="273"/>
  <c r="AF17" i="273"/>
  <c r="AE17" i="273"/>
  <c r="AC17" i="273"/>
  <c r="AB17" i="273"/>
  <c r="AA17" i="273"/>
  <c r="Z17" i="273"/>
  <c r="Y17" i="273"/>
  <c r="X17" i="273"/>
  <c r="W17" i="273"/>
  <c r="P17" i="273"/>
  <c r="O17" i="273"/>
  <c r="AD17" i="273" s="1"/>
  <c r="N17" i="273"/>
  <c r="M17" i="273"/>
  <c r="AI16" i="273"/>
  <c r="AH16" i="273"/>
  <c r="W16" i="273"/>
  <c r="AU15" i="273"/>
  <c r="AT15" i="273"/>
  <c r="AP15" i="273"/>
  <c r="AI15" i="273"/>
  <c r="AH15" i="273"/>
  <c r="AF15" i="273"/>
  <c r="AE15" i="273"/>
  <c r="AA15" i="273"/>
  <c r="Z15" i="273"/>
  <c r="Y15" i="273"/>
  <c r="X15" i="273"/>
  <c r="W15" i="273"/>
  <c r="P15" i="273"/>
  <c r="O15" i="273"/>
  <c r="N15" i="273"/>
  <c r="AC15" i="273" s="1"/>
  <c r="M15" i="273"/>
  <c r="AU14" i="273"/>
  <c r="AQ14" i="273"/>
  <c r="AP14" i="273"/>
  <c r="AO14" i="273"/>
  <c r="AV14" i="273" s="1"/>
  <c r="AN14" i="273"/>
  <c r="AI14" i="273"/>
  <c r="AH14" i="273"/>
  <c r="AF14" i="273"/>
  <c r="AE14" i="273"/>
  <c r="AD14" i="273"/>
  <c r="AB14" i="273"/>
  <c r="AA14" i="273"/>
  <c r="Z14" i="273"/>
  <c r="Y14" i="273"/>
  <c r="X14" i="273"/>
  <c r="W14" i="273"/>
  <c r="P14" i="273"/>
  <c r="O14" i="273"/>
  <c r="N14" i="273"/>
  <c r="AC14" i="273" s="1"/>
  <c r="M14" i="273"/>
  <c r="AI13" i="273"/>
  <c r="AH13" i="273"/>
  <c r="W13" i="273"/>
  <c r="AU12" i="273"/>
  <c r="AP12" i="273"/>
  <c r="AO12" i="273"/>
  <c r="AV12" i="273" s="1"/>
  <c r="AI12" i="273"/>
  <c r="AH12" i="273"/>
  <c r="AF12" i="273"/>
  <c r="AE12" i="273"/>
  <c r="AD12" i="273"/>
  <c r="AB12" i="273"/>
  <c r="AA12" i="273"/>
  <c r="Z12" i="273"/>
  <c r="Y12" i="273"/>
  <c r="X12" i="273"/>
  <c r="W12" i="273"/>
  <c r="P12" i="273"/>
  <c r="O12" i="273"/>
  <c r="AQ12" i="273" s="1"/>
  <c r="N12" i="273"/>
  <c r="AC12" i="273" s="1"/>
  <c r="M12" i="273"/>
  <c r="AU11" i="273"/>
  <c r="AT11" i="273"/>
  <c r="AP11" i="273"/>
  <c r="AI11" i="273"/>
  <c r="AH11" i="273"/>
  <c r="AF11" i="273"/>
  <c r="AE11" i="273"/>
  <c r="AA11" i="273"/>
  <c r="Z11" i="273"/>
  <c r="Y11" i="273"/>
  <c r="X11" i="273"/>
  <c r="W11" i="273"/>
  <c r="P11" i="273"/>
  <c r="O11" i="273"/>
  <c r="N11" i="273"/>
  <c r="AC11" i="273" s="1"/>
  <c r="M11" i="273"/>
  <c r="AV10" i="273"/>
  <c r="AU10" i="273"/>
  <c r="AQ10" i="273"/>
  <c r="AP10" i="273"/>
  <c r="AO10" i="273"/>
  <c r="AI10" i="273"/>
  <c r="AH10" i="273"/>
  <c r="AF10" i="273"/>
  <c r="AE10" i="273"/>
  <c r="AD10" i="273"/>
  <c r="AA10" i="273"/>
  <c r="Z10" i="273"/>
  <c r="Y10" i="273"/>
  <c r="X10" i="273"/>
  <c r="W10" i="273"/>
  <c r="P10" i="273"/>
  <c r="O10" i="273"/>
  <c r="N10" i="273"/>
  <c r="AC10" i="273" s="1"/>
  <c r="M10" i="273"/>
  <c r="AP9" i="273"/>
  <c r="AO9" i="273"/>
  <c r="AV9" i="273" s="1"/>
  <c r="AI9" i="273"/>
  <c r="AH9" i="273"/>
  <c r="AF9" i="273"/>
  <c r="AE9" i="273"/>
  <c r="AC9" i="273"/>
  <c r="AB9" i="273"/>
  <c r="AA9" i="273"/>
  <c r="Z9" i="273"/>
  <c r="Y9" i="273"/>
  <c r="X9" i="273"/>
  <c r="W9" i="273"/>
  <c r="P9" i="273"/>
  <c r="O9" i="273"/>
  <c r="N9" i="273"/>
  <c r="M9" i="273"/>
  <c r="AI8" i="273"/>
  <c r="AH8" i="273"/>
  <c r="W8" i="273"/>
  <c r="AU7" i="273"/>
  <c r="AT7" i="273"/>
  <c r="AP7" i="273"/>
  <c r="AO7" i="273"/>
  <c r="AV7" i="273" s="1"/>
  <c r="AJ7" i="273"/>
  <c r="AI7" i="273"/>
  <c r="AH7" i="273"/>
  <c r="AF7" i="273"/>
  <c r="AE7" i="273"/>
  <c r="AD7" i="273"/>
  <c r="AC7" i="273"/>
  <c r="AA7" i="273"/>
  <c r="Z7" i="273"/>
  <c r="Y7" i="273"/>
  <c r="X7" i="273"/>
  <c r="W7" i="273"/>
  <c r="P7" i="273"/>
  <c r="O7" i="273"/>
  <c r="N7" i="273"/>
  <c r="M7" i="273"/>
  <c r="AU6" i="273"/>
  <c r="AR6" i="273"/>
  <c r="AP6" i="273"/>
  <c r="AI6" i="273"/>
  <c r="AH6" i="273"/>
  <c r="AF6" i="273"/>
  <c r="AE6" i="273"/>
  <c r="AB6" i="273"/>
  <c r="AA6" i="273"/>
  <c r="Z6" i="273"/>
  <c r="Y6" i="273"/>
  <c r="X6" i="273"/>
  <c r="W6" i="273"/>
  <c r="P6" i="273"/>
  <c r="O6" i="273"/>
  <c r="N6" i="273"/>
  <c r="AC6" i="273" s="1"/>
  <c r="M6" i="273"/>
  <c r="AI5" i="273"/>
  <c r="AH5" i="273"/>
  <c r="W5" i="273"/>
  <c r="AI4" i="273"/>
  <c r="AU3" i="273"/>
  <c r="AO3" i="273"/>
  <c r="AI3" i="273"/>
  <c r="AH3" i="273"/>
  <c r="AN2" i="273"/>
  <c r="AN7" i="273" s="1"/>
  <c r="AM2" i="273"/>
  <c r="AL2" i="273"/>
  <c r="AK2" i="273"/>
  <c r="AJ2" i="273"/>
  <c r="AJ25" i="273" s="1"/>
  <c r="AA2" i="273"/>
  <c r="A2" i="273"/>
  <c r="AU1" i="273"/>
  <c r="AU27" i="273" s="1"/>
  <c r="AR1" i="273"/>
  <c r="AQ1" i="273"/>
  <c r="AQ3" i="273" s="1"/>
  <c r="AP1" i="273"/>
  <c r="AP3" i="273" s="1"/>
  <c r="AO1" i="273"/>
  <c r="AA1" i="273"/>
  <c r="A1" i="273"/>
  <c r="AV8" i="272"/>
  <c r="AT8" i="272"/>
  <c r="AP8" i="272"/>
  <c r="AO8" i="272"/>
  <c r="AJ8" i="272"/>
  <c r="AI8" i="272"/>
  <c r="AH8" i="272"/>
  <c r="AF8" i="272"/>
  <c r="AE8" i="272"/>
  <c r="AD8" i="272"/>
  <c r="AC8" i="272"/>
  <c r="AA8" i="272"/>
  <c r="Z8" i="272"/>
  <c r="Y8" i="272"/>
  <c r="X8" i="272"/>
  <c r="W8" i="272"/>
  <c r="P8" i="272"/>
  <c r="O8" i="272"/>
  <c r="AQ8" i="272" s="1"/>
  <c r="N8" i="272"/>
  <c r="M8" i="272"/>
  <c r="AR7" i="272"/>
  <c r="AP7" i="272"/>
  <c r="AI7" i="272"/>
  <c r="AH7" i="272"/>
  <c r="AF7" i="272"/>
  <c r="AE7" i="272"/>
  <c r="AA7" i="272"/>
  <c r="Z7" i="272"/>
  <c r="Y7" i="272"/>
  <c r="X7" i="272"/>
  <c r="W7" i="272"/>
  <c r="P7" i="272"/>
  <c r="O7" i="272"/>
  <c r="AD7" i="272" s="1"/>
  <c r="N7" i="272"/>
  <c r="M7" i="272"/>
  <c r="AB7" i="272" s="1"/>
  <c r="AR6" i="272"/>
  <c r="AQ6" i="272"/>
  <c r="AP6" i="272"/>
  <c r="AI6" i="272"/>
  <c r="AH6" i="272"/>
  <c r="AF6" i="272"/>
  <c r="AE6" i="272"/>
  <c r="AA6" i="272"/>
  <c r="Z6" i="272"/>
  <c r="Y6" i="272"/>
  <c r="X6" i="272"/>
  <c r="W6" i="272"/>
  <c r="P6" i="272"/>
  <c r="O6" i="272"/>
  <c r="AD6" i="272" s="1"/>
  <c r="N6" i="272"/>
  <c r="M6" i="272"/>
  <c r="AB6" i="272" s="1"/>
  <c r="AI5" i="272"/>
  <c r="AH5" i="272"/>
  <c r="W5" i="272"/>
  <c r="AI4" i="272"/>
  <c r="AU3" i="272"/>
  <c r="AP3" i="272"/>
  <c r="AI3" i="272"/>
  <c r="AH3" i="272"/>
  <c r="AN2" i="272"/>
  <c r="AN8" i="272" s="1"/>
  <c r="AM2" i="272"/>
  <c r="AL2" i="272"/>
  <c r="AK2" i="272"/>
  <c r="AJ2" i="272"/>
  <c r="AJ6" i="272" s="1"/>
  <c r="AA2" i="272"/>
  <c r="A2" i="272"/>
  <c r="AU1" i="272"/>
  <c r="AU6" i="272" s="1"/>
  <c r="AR1" i="272"/>
  <c r="AR3" i="272" s="1"/>
  <c r="AQ1" i="272"/>
  <c r="AQ3" i="272" s="1"/>
  <c r="AP1" i="272"/>
  <c r="AO1" i="272"/>
  <c r="AO3" i="272" s="1"/>
  <c r="AH1" i="272"/>
  <c r="AH2" i="272" s="1"/>
  <c r="AA1" i="272"/>
  <c r="A1" i="272"/>
  <c r="AJ1" i="272" s="1"/>
  <c r="AP22" i="271"/>
  <c r="AO22" i="271"/>
  <c r="AV22" i="271" s="1"/>
  <c r="AN22" i="271"/>
  <c r="AI22" i="271"/>
  <c r="AH22" i="271"/>
  <c r="AF22" i="271"/>
  <c r="AE22" i="271"/>
  <c r="AD22" i="271"/>
  <c r="AA22" i="271"/>
  <c r="Z22" i="271"/>
  <c r="Y22" i="271"/>
  <c r="X22" i="271"/>
  <c r="W22" i="271"/>
  <c r="P22" i="271"/>
  <c r="O22" i="271"/>
  <c r="N22" i="271"/>
  <c r="AC22" i="271" s="1"/>
  <c r="M22" i="271"/>
  <c r="AB22" i="271" s="1"/>
  <c r="AT21" i="271"/>
  <c r="AP21" i="271"/>
  <c r="AO21" i="271"/>
  <c r="AV21" i="271" s="1"/>
  <c r="AJ21" i="271"/>
  <c r="AI21" i="271"/>
  <c r="AN21" i="271" s="1"/>
  <c r="AH21" i="271"/>
  <c r="AF21" i="271"/>
  <c r="AE21" i="271"/>
  <c r="AC21" i="271"/>
  <c r="AB21" i="271"/>
  <c r="AA21" i="271"/>
  <c r="Z21" i="271"/>
  <c r="Y21" i="271"/>
  <c r="X21" i="271"/>
  <c r="W21" i="271"/>
  <c r="P21" i="271"/>
  <c r="O21" i="271"/>
  <c r="N21" i="271"/>
  <c r="M21" i="271"/>
  <c r="AI20" i="271"/>
  <c r="AH20" i="271"/>
  <c r="W20" i="271"/>
  <c r="AT19" i="271"/>
  <c r="AQ19" i="271"/>
  <c r="AP19" i="271"/>
  <c r="AO19" i="271"/>
  <c r="AV19" i="271" s="1"/>
  <c r="AN19" i="271"/>
  <c r="AI19" i="271"/>
  <c r="AH19" i="271"/>
  <c r="AF19" i="271"/>
  <c r="AE19" i="271"/>
  <c r="AD19" i="271"/>
  <c r="AA19" i="271"/>
  <c r="Z19" i="271"/>
  <c r="Y19" i="271"/>
  <c r="X19" i="271"/>
  <c r="W19" i="271"/>
  <c r="P19" i="271"/>
  <c r="O19" i="271"/>
  <c r="N19" i="271"/>
  <c r="AC19" i="271" s="1"/>
  <c r="M19" i="271"/>
  <c r="AU18" i="271"/>
  <c r="AP18" i="271"/>
  <c r="AO18" i="271"/>
  <c r="AV18" i="271" s="1"/>
  <c r="AN18" i="271"/>
  <c r="AI18" i="271"/>
  <c r="AH18" i="271"/>
  <c r="AF18" i="271"/>
  <c r="AE18" i="271"/>
  <c r="AD18" i="271"/>
  <c r="AB18" i="271"/>
  <c r="AA18" i="271"/>
  <c r="Z18" i="271"/>
  <c r="Y18" i="271"/>
  <c r="X18" i="271"/>
  <c r="W18" i="271"/>
  <c r="P18" i="271"/>
  <c r="O18" i="271"/>
  <c r="N18" i="271"/>
  <c r="AC18" i="271" s="1"/>
  <c r="M18" i="271"/>
  <c r="AT17" i="271"/>
  <c r="AP17" i="271"/>
  <c r="AJ17" i="271"/>
  <c r="AI17" i="271"/>
  <c r="AN17" i="271" s="1"/>
  <c r="AH17" i="271"/>
  <c r="AF17" i="271"/>
  <c r="AE17" i="271"/>
  <c r="AA17" i="271"/>
  <c r="Z17" i="271"/>
  <c r="Y17" i="271"/>
  <c r="X17" i="271"/>
  <c r="W17" i="271"/>
  <c r="P17" i="271"/>
  <c r="O17" i="271"/>
  <c r="N17" i="271"/>
  <c r="M17" i="271"/>
  <c r="AR16" i="271"/>
  <c r="AP16" i="271"/>
  <c r="AN16" i="271"/>
  <c r="AI16" i="271"/>
  <c r="AT16" i="271" s="1"/>
  <c r="AH16" i="271"/>
  <c r="AF16" i="271"/>
  <c r="AE16" i="271"/>
  <c r="AD16" i="271"/>
  <c r="AB16" i="271"/>
  <c r="AA16" i="271"/>
  <c r="Z16" i="271"/>
  <c r="Y16" i="271"/>
  <c r="X16" i="271"/>
  <c r="W16" i="271"/>
  <c r="P16" i="271"/>
  <c r="O16" i="271"/>
  <c r="AQ16" i="271" s="1"/>
  <c r="N16" i="271"/>
  <c r="M16" i="271"/>
  <c r="AQ15" i="271"/>
  <c r="AP15" i="271"/>
  <c r="AO15" i="271"/>
  <c r="AV15" i="271" s="1"/>
  <c r="AI15" i="271"/>
  <c r="AH15" i="271"/>
  <c r="AF15" i="271"/>
  <c r="AE15" i="271"/>
  <c r="AC15" i="271"/>
  <c r="AB15" i="271"/>
  <c r="AA15" i="271"/>
  <c r="Z15" i="271"/>
  <c r="Y15" i="271"/>
  <c r="X15" i="271"/>
  <c r="W15" i="271"/>
  <c r="P15" i="271"/>
  <c r="O15" i="271"/>
  <c r="AD15" i="271" s="1"/>
  <c r="N15" i="271"/>
  <c r="M15" i="271"/>
  <c r="AR15" i="271" s="1"/>
  <c r="AT14" i="271"/>
  <c r="AP14" i="271"/>
  <c r="AI14" i="271"/>
  <c r="AH14" i="271"/>
  <c r="AF14" i="271"/>
  <c r="AE14" i="271"/>
  <c r="AD14" i="271"/>
  <c r="AA14" i="271"/>
  <c r="Z14" i="271"/>
  <c r="Y14" i="271"/>
  <c r="X14" i="271"/>
  <c r="W14" i="271"/>
  <c r="P14" i="271"/>
  <c r="O14" i="271"/>
  <c r="N14" i="271"/>
  <c r="AC14" i="271" s="1"/>
  <c r="M14" i="271"/>
  <c r="AT13" i="271"/>
  <c r="AQ13" i="271"/>
  <c r="AP13" i="271"/>
  <c r="AN13" i="271"/>
  <c r="AI13" i="271"/>
  <c r="AH13" i="271"/>
  <c r="AF13" i="271"/>
  <c r="AE13" i="271"/>
  <c r="AA13" i="271"/>
  <c r="Z13" i="271"/>
  <c r="Y13" i="271"/>
  <c r="X13" i="271"/>
  <c r="W13" i="271"/>
  <c r="P13" i="271"/>
  <c r="O13" i="271"/>
  <c r="AD13" i="271" s="1"/>
  <c r="N13" i="271"/>
  <c r="AC13" i="271" s="1"/>
  <c r="M13" i="271"/>
  <c r="AV12" i="271"/>
  <c r="AQ12" i="271"/>
  <c r="AP12" i="271"/>
  <c r="AO12" i="271"/>
  <c r="AN12" i="271"/>
  <c r="AI12" i="271"/>
  <c r="AH12" i="271"/>
  <c r="AF12" i="271"/>
  <c r="AE12" i="271"/>
  <c r="AD12" i="271"/>
  <c r="AA12" i="271"/>
  <c r="Z12" i="271"/>
  <c r="Y12" i="271"/>
  <c r="X12" i="271"/>
  <c r="W12" i="271"/>
  <c r="P12" i="271"/>
  <c r="O12" i="271"/>
  <c r="N12" i="271"/>
  <c r="AC12" i="271" s="1"/>
  <c r="M12" i="271"/>
  <c r="AI11" i="271"/>
  <c r="AH11" i="271"/>
  <c r="W11" i="271"/>
  <c r="AT10" i="271"/>
  <c r="AP10" i="271"/>
  <c r="AI10" i="271"/>
  <c r="AH10" i="271"/>
  <c r="AF10" i="271"/>
  <c r="AE10" i="271"/>
  <c r="AD10" i="271"/>
  <c r="AA10" i="271"/>
  <c r="Z10" i="271"/>
  <c r="Y10" i="271"/>
  <c r="X10" i="271"/>
  <c r="W10" i="271"/>
  <c r="P10" i="271"/>
  <c r="O10" i="271"/>
  <c r="N10" i="271"/>
  <c r="AC10" i="271" s="1"/>
  <c r="M10" i="271"/>
  <c r="AT9" i="271"/>
  <c r="AQ9" i="271"/>
  <c r="AP9" i="271"/>
  <c r="AN9" i="271"/>
  <c r="AI9" i="271"/>
  <c r="AH9" i="271"/>
  <c r="AF9" i="271"/>
  <c r="AE9" i="271"/>
  <c r="AA9" i="271"/>
  <c r="Z9" i="271"/>
  <c r="Y9" i="271"/>
  <c r="X9" i="271"/>
  <c r="W9" i="271"/>
  <c r="P9" i="271"/>
  <c r="O9" i="271"/>
  <c r="AD9" i="271" s="1"/>
  <c r="N9" i="271"/>
  <c r="AC9" i="271" s="1"/>
  <c r="M9" i="271"/>
  <c r="AV8" i="271"/>
  <c r="AQ8" i="271"/>
  <c r="AP8" i="271"/>
  <c r="AO8" i="271"/>
  <c r="AN8" i="271"/>
  <c r="AI8" i="271"/>
  <c r="AH8" i="271"/>
  <c r="AF8" i="271"/>
  <c r="AE8" i="271"/>
  <c r="AD8" i="271"/>
  <c r="AA8" i="271"/>
  <c r="Z8" i="271"/>
  <c r="Y8" i="271"/>
  <c r="X8" i="271"/>
  <c r="W8" i="271"/>
  <c r="P8" i="271"/>
  <c r="O8" i="271"/>
  <c r="N8" i="271"/>
  <c r="AC8" i="271" s="1"/>
  <c r="M8" i="271"/>
  <c r="AR7" i="271"/>
  <c r="AP7" i="271"/>
  <c r="AO7" i="271"/>
  <c r="AV7" i="271" s="1"/>
  <c r="AJ7" i="271"/>
  <c r="AI7" i="271"/>
  <c r="AN7" i="271" s="1"/>
  <c r="AH7" i="271"/>
  <c r="AF7" i="271"/>
  <c r="AE7" i="271"/>
  <c r="AC7" i="271"/>
  <c r="AB7" i="271"/>
  <c r="AA7" i="271"/>
  <c r="Z7" i="271"/>
  <c r="Y7" i="271"/>
  <c r="X7" i="271"/>
  <c r="W7" i="271"/>
  <c r="P7" i="271"/>
  <c r="O7" i="271"/>
  <c r="N7" i="271"/>
  <c r="M7" i="271"/>
  <c r="AT6" i="271"/>
  <c r="AR6" i="271"/>
  <c r="AQ6" i="271"/>
  <c r="AP6" i="271"/>
  <c r="AI6" i="271"/>
  <c r="AH6" i="271"/>
  <c r="AF6" i="271"/>
  <c r="AE6" i="271"/>
  <c r="AB6" i="271"/>
  <c r="AA6" i="271"/>
  <c r="Z6" i="271"/>
  <c r="Y6" i="271"/>
  <c r="X6" i="271"/>
  <c r="W6" i="271"/>
  <c r="P6" i="271"/>
  <c r="O6" i="271"/>
  <c r="AD6" i="271" s="1"/>
  <c r="N6" i="271"/>
  <c r="M6" i="271"/>
  <c r="AI5" i="271"/>
  <c r="AH5" i="271"/>
  <c r="W5" i="271"/>
  <c r="AI4" i="271"/>
  <c r="AU3" i="271"/>
  <c r="AQ3" i="271"/>
  <c r="AO3" i="271"/>
  <c r="AI3" i="271"/>
  <c r="AH3" i="271"/>
  <c r="AN2" i="271"/>
  <c r="AM2" i="271"/>
  <c r="AL2" i="271"/>
  <c r="AK2" i="271"/>
  <c r="AJ2" i="271"/>
  <c r="AA2" i="271"/>
  <c r="A2" i="271"/>
  <c r="AU1" i="271"/>
  <c r="AU22" i="271" s="1"/>
  <c r="AR1" i="271"/>
  <c r="AR3" i="271" s="1"/>
  <c r="AQ1" i="271"/>
  <c r="AQ22" i="271" s="1"/>
  <c r="AP1" i="271"/>
  <c r="AP3" i="271" s="1"/>
  <c r="AO1" i="271"/>
  <c r="AA1" i="271"/>
  <c r="A1" i="271"/>
  <c r="AT30" i="270"/>
  <c r="AP30" i="270"/>
  <c r="AJ30" i="270"/>
  <c r="AI30" i="270"/>
  <c r="AN30" i="270" s="1"/>
  <c r="AH30" i="270"/>
  <c r="AF30" i="270"/>
  <c r="AE30" i="270"/>
  <c r="AB30" i="270"/>
  <c r="AA30" i="270"/>
  <c r="Z30" i="270"/>
  <c r="Y30" i="270"/>
  <c r="X30" i="270"/>
  <c r="W30" i="270"/>
  <c r="P30" i="270"/>
  <c r="O30" i="270"/>
  <c r="N30" i="270"/>
  <c r="M30" i="270"/>
  <c r="AP29" i="270"/>
  <c r="AI29" i="270"/>
  <c r="AH29" i="270"/>
  <c r="AF29" i="270"/>
  <c r="AE29" i="270"/>
  <c r="AB29" i="270"/>
  <c r="AA29" i="270"/>
  <c r="Z29" i="270"/>
  <c r="Y29" i="270"/>
  <c r="X29" i="270"/>
  <c r="W29" i="270"/>
  <c r="P29" i="270"/>
  <c r="O29" i="270"/>
  <c r="AD29" i="270" s="1"/>
  <c r="N29" i="270"/>
  <c r="M29" i="270"/>
  <c r="AP28" i="270"/>
  <c r="AO28" i="270"/>
  <c r="AV28" i="270" s="1"/>
  <c r="AI28" i="270"/>
  <c r="AN28" i="270" s="1"/>
  <c r="AH28" i="270"/>
  <c r="AF28" i="270"/>
  <c r="AE28" i="270"/>
  <c r="AC28" i="270"/>
  <c r="AB28" i="270"/>
  <c r="AA28" i="270"/>
  <c r="Z28" i="270"/>
  <c r="Y28" i="270"/>
  <c r="X28" i="270"/>
  <c r="W28" i="270"/>
  <c r="P28" i="270"/>
  <c r="O28" i="270"/>
  <c r="AD28" i="270" s="1"/>
  <c r="N28" i="270"/>
  <c r="M28" i="270"/>
  <c r="AI27" i="270"/>
  <c r="AH27" i="270"/>
  <c r="W27" i="270"/>
  <c r="AT26" i="270"/>
  <c r="AP26" i="270"/>
  <c r="AO26" i="270"/>
  <c r="AV26" i="270" s="1"/>
  <c r="AJ26" i="270"/>
  <c r="AI26" i="270"/>
  <c r="AN26" i="270" s="1"/>
  <c r="AH26" i="270"/>
  <c r="AF26" i="270"/>
  <c r="AE26" i="270"/>
  <c r="AC26" i="270"/>
  <c r="AB26" i="270"/>
  <c r="AA26" i="270"/>
  <c r="Z26" i="270"/>
  <c r="Y26" i="270"/>
  <c r="X26" i="270"/>
  <c r="W26" i="270"/>
  <c r="P26" i="270"/>
  <c r="O26" i="270"/>
  <c r="N26" i="270"/>
  <c r="M26" i="270"/>
  <c r="AU25" i="270"/>
  <c r="AR25" i="270"/>
  <c r="AP25" i="270"/>
  <c r="AI25" i="270"/>
  <c r="AH25" i="270"/>
  <c r="AF25" i="270"/>
  <c r="AE25" i="270"/>
  <c r="AB25" i="270"/>
  <c r="AA25" i="270"/>
  <c r="Z25" i="270"/>
  <c r="Y25" i="270"/>
  <c r="X25" i="270"/>
  <c r="W25" i="270"/>
  <c r="P25" i="270"/>
  <c r="O25" i="270"/>
  <c r="N25" i="270"/>
  <c r="AO25" i="270" s="1"/>
  <c r="AV25" i="270" s="1"/>
  <c r="M25" i="270"/>
  <c r="AU24" i="270"/>
  <c r="AP24" i="270"/>
  <c r="AO24" i="270"/>
  <c r="AV24" i="270" s="1"/>
  <c r="AI24" i="270"/>
  <c r="AN24" i="270" s="1"/>
  <c r="AH24" i="270"/>
  <c r="AF24" i="270"/>
  <c r="AE24" i="270"/>
  <c r="AC24" i="270"/>
  <c r="AB24" i="270"/>
  <c r="AA24" i="270"/>
  <c r="Z24" i="270"/>
  <c r="Y24" i="270"/>
  <c r="X24" i="270"/>
  <c r="W24" i="270"/>
  <c r="P24" i="270"/>
  <c r="O24" i="270"/>
  <c r="AD24" i="270" s="1"/>
  <c r="N24" i="270"/>
  <c r="M24" i="270"/>
  <c r="AT23" i="270"/>
  <c r="AR23" i="270"/>
  <c r="AP23" i="270"/>
  <c r="AN23" i="270"/>
  <c r="AI23" i="270"/>
  <c r="AH23" i="270"/>
  <c r="AF23" i="270"/>
  <c r="AE23" i="270"/>
  <c r="AD23" i="270"/>
  <c r="AC23" i="270"/>
  <c r="AB23" i="270"/>
  <c r="AA23" i="270"/>
  <c r="Z23" i="270"/>
  <c r="Y23" i="270"/>
  <c r="X23" i="270"/>
  <c r="W23" i="270"/>
  <c r="P23" i="270"/>
  <c r="O23" i="270"/>
  <c r="N23" i="270"/>
  <c r="AO23" i="270" s="1"/>
  <c r="AV23" i="270" s="1"/>
  <c r="M23" i="270"/>
  <c r="AI22" i="270"/>
  <c r="AH22" i="270"/>
  <c r="W22" i="270"/>
  <c r="AU21" i="270"/>
  <c r="AP21" i="270"/>
  <c r="AN21" i="270"/>
  <c r="AI21" i="270"/>
  <c r="AT21" i="270" s="1"/>
  <c r="AH21" i="270"/>
  <c r="AF21" i="270"/>
  <c r="AE21" i="270"/>
  <c r="AD21" i="270"/>
  <c r="AB21" i="270"/>
  <c r="AA21" i="270"/>
  <c r="Z21" i="270"/>
  <c r="Y21" i="270"/>
  <c r="X21" i="270"/>
  <c r="W21" i="270"/>
  <c r="P21" i="270"/>
  <c r="O21" i="270"/>
  <c r="N21" i="270"/>
  <c r="M21" i="270"/>
  <c r="AV20" i="270"/>
  <c r="AU20" i="270"/>
  <c r="AT20" i="270"/>
  <c r="AP20" i="270"/>
  <c r="AO20" i="270"/>
  <c r="AN20" i="270"/>
  <c r="AI20" i="270"/>
  <c r="AH20" i="270"/>
  <c r="AF20" i="270"/>
  <c r="AE20" i="270"/>
  <c r="AD20" i="270"/>
  <c r="AC20" i="270"/>
  <c r="AA20" i="270"/>
  <c r="Z20" i="270"/>
  <c r="Y20" i="270"/>
  <c r="X20" i="270"/>
  <c r="W20" i="270"/>
  <c r="P20" i="270"/>
  <c r="O20" i="270"/>
  <c r="N20" i="270"/>
  <c r="M20" i="270"/>
  <c r="AP19" i="270"/>
  <c r="AN19" i="270"/>
  <c r="AI19" i="270"/>
  <c r="AT19" i="270" s="1"/>
  <c r="AH19" i="270"/>
  <c r="AF19" i="270"/>
  <c r="AE19" i="270"/>
  <c r="AD19" i="270"/>
  <c r="AA19" i="270"/>
  <c r="Z19" i="270"/>
  <c r="Y19" i="270"/>
  <c r="X19" i="270"/>
  <c r="W19" i="270"/>
  <c r="P19" i="270"/>
  <c r="O19" i="270"/>
  <c r="N19" i="270"/>
  <c r="AC19" i="270" s="1"/>
  <c r="M19" i="270"/>
  <c r="AI18" i="270"/>
  <c r="AH18" i="270"/>
  <c r="W18" i="270"/>
  <c r="AU17" i="270"/>
  <c r="AP17" i="270"/>
  <c r="AO17" i="270"/>
  <c r="AV17" i="270" s="1"/>
  <c r="AI17" i="270"/>
  <c r="AH17" i="270"/>
  <c r="AF17" i="270"/>
  <c r="AE17" i="270"/>
  <c r="AD17" i="270"/>
  <c r="AC17" i="270"/>
  <c r="AB17" i="270"/>
  <c r="AA17" i="270"/>
  <c r="Z17" i="270"/>
  <c r="Y17" i="270"/>
  <c r="X17" i="270"/>
  <c r="W17" i="270"/>
  <c r="P17" i="270"/>
  <c r="O17" i="270"/>
  <c r="N17" i="270"/>
  <c r="M17" i="270"/>
  <c r="AU16" i="270"/>
  <c r="AT16" i="270"/>
  <c r="AP16" i="270"/>
  <c r="AO16" i="270"/>
  <c r="AV16" i="270" s="1"/>
  <c r="AN16" i="270"/>
  <c r="AI16" i="270"/>
  <c r="AH16" i="270"/>
  <c r="AF16" i="270"/>
  <c r="AE16" i="270"/>
  <c r="AD16" i="270"/>
  <c r="AA16" i="270"/>
  <c r="Z16" i="270"/>
  <c r="Y16" i="270"/>
  <c r="X16" i="270"/>
  <c r="W16" i="270"/>
  <c r="P16" i="270"/>
  <c r="O16" i="270"/>
  <c r="N16" i="270"/>
  <c r="AC16" i="270" s="1"/>
  <c r="M16" i="270"/>
  <c r="AV15" i="270"/>
  <c r="AU15" i="270"/>
  <c r="AT15" i="270"/>
  <c r="AP15" i="270"/>
  <c r="AO15" i="270"/>
  <c r="AN15" i="270"/>
  <c r="AI15" i="270"/>
  <c r="AH15" i="270"/>
  <c r="AF15" i="270"/>
  <c r="AE15" i="270"/>
  <c r="AA15" i="270"/>
  <c r="Z15" i="270"/>
  <c r="Y15" i="270"/>
  <c r="X15" i="270"/>
  <c r="W15" i="270"/>
  <c r="P15" i="270"/>
  <c r="O15" i="270"/>
  <c r="N15" i="270"/>
  <c r="AC15" i="270" s="1"/>
  <c r="M15" i="270"/>
  <c r="AI14" i="270"/>
  <c r="AH14" i="270"/>
  <c r="W14" i="270"/>
  <c r="AV13" i="270"/>
  <c r="AU13" i="270"/>
  <c r="AP13" i="270"/>
  <c r="AO13" i="270"/>
  <c r="AN13" i="270"/>
  <c r="AI13" i="270"/>
  <c r="AT13" i="270" s="1"/>
  <c r="AH13" i="270"/>
  <c r="AF13" i="270"/>
  <c r="AE13" i="270"/>
  <c r="AD13" i="270"/>
  <c r="AC13" i="270"/>
  <c r="AA13" i="270"/>
  <c r="Z13" i="270"/>
  <c r="Y13" i="270"/>
  <c r="X13" i="270"/>
  <c r="W13" i="270"/>
  <c r="P13" i="270"/>
  <c r="O13" i="270"/>
  <c r="N13" i="270"/>
  <c r="M13" i="270"/>
  <c r="AB13" i="270" s="1"/>
  <c r="AV12" i="270"/>
  <c r="AU12" i="270"/>
  <c r="AT12" i="270"/>
  <c r="AP12" i="270"/>
  <c r="AO12" i="270"/>
  <c r="AN12" i="270"/>
  <c r="AJ12" i="270"/>
  <c r="AI12" i="270"/>
  <c r="AH12" i="270"/>
  <c r="AF12" i="270"/>
  <c r="AE12" i="270"/>
  <c r="AD12" i="270"/>
  <c r="AC12" i="270"/>
  <c r="AA12" i="270"/>
  <c r="Z12" i="270"/>
  <c r="Y12" i="270"/>
  <c r="X12" i="270"/>
  <c r="W12" i="270"/>
  <c r="P12" i="270"/>
  <c r="O12" i="270"/>
  <c r="N12" i="270"/>
  <c r="M12" i="270"/>
  <c r="AI11" i="270"/>
  <c r="AH11" i="270"/>
  <c r="W11" i="270"/>
  <c r="AU10" i="270"/>
  <c r="AP10" i="270"/>
  <c r="AN10" i="270"/>
  <c r="AI10" i="270"/>
  <c r="AT10" i="270" s="1"/>
  <c r="AH10" i="270"/>
  <c r="AF10" i="270"/>
  <c r="AE10" i="270"/>
  <c r="AD10" i="270"/>
  <c r="AC10" i="270"/>
  <c r="AB10" i="270"/>
  <c r="AA10" i="270"/>
  <c r="Z10" i="270"/>
  <c r="Y10" i="270"/>
  <c r="X10" i="270"/>
  <c r="W10" i="270"/>
  <c r="P10" i="270"/>
  <c r="O10" i="270"/>
  <c r="N10" i="270"/>
  <c r="AO10" i="270" s="1"/>
  <c r="AV10" i="270" s="1"/>
  <c r="M10" i="270"/>
  <c r="AV9" i="270"/>
  <c r="AU9" i="270"/>
  <c r="AP9" i="270"/>
  <c r="AO9" i="270"/>
  <c r="AN9" i="270"/>
  <c r="AI9" i="270"/>
  <c r="AT9" i="270" s="1"/>
  <c r="AH9" i="270"/>
  <c r="AF9" i="270"/>
  <c r="AE9" i="270"/>
  <c r="AD9" i="270"/>
  <c r="AC9" i="270"/>
  <c r="AA9" i="270"/>
  <c r="Z9" i="270"/>
  <c r="Y9" i="270"/>
  <c r="X9" i="270"/>
  <c r="W9" i="270"/>
  <c r="P9" i="270"/>
  <c r="O9" i="270"/>
  <c r="N9" i="270"/>
  <c r="M9" i="270"/>
  <c r="AB9" i="270" s="1"/>
  <c r="AI8" i="270"/>
  <c r="AH8" i="270"/>
  <c r="W8" i="270"/>
  <c r="AT7" i="270"/>
  <c r="AR7" i="270"/>
  <c r="AP7" i="270"/>
  <c r="AI7" i="270"/>
  <c r="AN7" i="270" s="1"/>
  <c r="AH7" i="270"/>
  <c r="AF7" i="270"/>
  <c r="AE7" i="270"/>
  <c r="AC7" i="270"/>
  <c r="AB7" i="270"/>
  <c r="AA7" i="270"/>
  <c r="Z7" i="270"/>
  <c r="Y7" i="270"/>
  <c r="X7" i="270"/>
  <c r="W7" i="270"/>
  <c r="P7" i="270"/>
  <c r="O7" i="270"/>
  <c r="AD7" i="270" s="1"/>
  <c r="N7" i="270"/>
  <c r="AO7" i="270" s="1"/>
  <c r="AV7" i="270" s="1"/>
  <c r="M7" i="270"/>
  <c r="AU6" i="270"/>
  <c r="AT6" i="270"/>
  <c r="AP6" i="270"/>
  <c r="AI6" i="270"/>
  <c r="AJ6" i="270" s="1"/>
  <c r="AH6" i="270"/>
  <c r="AF6" i="270"/>
  <c r="AE6" i="270"/>
  <c r="AD6" i="270"/>
  <c r="AC6" i="270"/>
  <c r="AB6" i="270"/>
  <c r="AA6" i="270"/>
  <c r="Z6" i="270"/>
  <c r="Y6" i="270"/>
  <c r="X6" i="270"/>
  <c r="W6" i="270"/>
  <c r="P6" i="270"/>
  <c r="O6" i="270"/>
  <c r="AQ6" i="270" s="1"/>
  <c r="N6" i="270"/>
  <c r="AO6" i="270" s="1"/>
  <c r="AV6" i="270" s="1"/>
  <c r="M6" i="270"/>
  <c r="AI5" i="270"/>
  <c r="AH5" i="270"/>
  <c r="W5" i="270"/>
  <c r="AI4" i="270"/>
  <c r="AP3" i="270"/>
  <c r="AO3" i="270"/>
  <c r="AI3" i="270"/>
  <c r="AH3" i="270"/>
  <c r="AN2" i="270"/>
  <c r="AM2" i="270"/>
  <c r="AL2" i="270"/>
  <c r="AK2" i="270"/>
  <c r="AJ2" i="270"/>
  <c r="AA2" i="270"/>
  <c r="A2" i="270"/>
  <c r="AU1" i="270"/>
  <c r="AR1" i="270"/>
  <c r="AR28" i="270" s="1"/>
  <c r="AQ1" i="270"/>
  <c r="AP1" i="270"/>
  <c r="AO1" i="270"/>
  <c r="AA1" i="270"/>
  <c r="A1" i="270"/>
  <c r="AR18" i="269"/>
  <c r="AP18" i="269"/>
  <c r="AI18" i="269"/>
  <c r="AH18" i="269"/>
  <c r="AF18" i="269"/>
  <c r="AE18" i="269"/>
  <c r="AB18" i="269"/>
  <c r="AA18" i="269"/>
  <c r="Z18" i="269"/>
  <c r="Y18" i="269"/>
  <c r="X18" i="269"/>
  <c r="W18" i="269"/>
  <c r="P18" i="269"/>
  <c r="O18" i="269"/>
  <c r="N18" i="269"/>
  <c r="AO18" i="269" s="1"/>
  <c r="AV18" i="269" s="1"/>
  <c r="M18" i="269"/>
  <c r="AU17" i="269"/>
  <c r="AR17" i="269"/>
  <c r="AQ17" i="269"/>
  <c r="AP17" i="269"/>
  <c r="AN17" i="269"/>
  <c r="AI17" i="269"/>
  <c r="AT17" i="269" s="1"/>
  <c r="AH17" i="269"/>
  <c r="AF17" i="269"/>
  <c r="AE17" i="269"/>
  <c r="AD17" i="269"/>
  <c r="AC17" i="269"/>
  <c r="AB17" i="269"/>
  <c r="AA17" i="269"/>
  <c r="Z17" i="269"/>
  <c r="Y17" i="269"/>
  <c r="X17" i="269"/>
  <c r="W17" i="269"/>
  <c r="P17" i="269"/>
  <c r="O17" i="269"/>
  <c r="N17" i="269"/>
  <c r="AO17" i="269" s="1"/>
  <c r="AV17" i="269" s="1"/>
  <c r="M17" i="269"/>
  <c r="AV16" i="269"/>
  <c r="AU16" i="269"/>
  <c r="AR16" i="269"/>
  <c r="AP16" i="269"/>
  <c r="AO16" i="269"/>
  <c r="AN16" i="269"/>
  <c r="AI16" i="269"/>
  <c r="AT16" i="269" s="1"/>
  <c r="AH16" i="269"/>
  <c r="AF16" i="269"/>
  <c r="AE16" i="269"/>
  <c r="AD16" i="269"/>
  <c r="AC16" i="269"/>
  <c r="AA16" i="269"/>
  <c r="Z16" i="269"/>
  <c r="Y16" i="269"/>
  <c r="X16" i="269"/>
  <c r="W16" i="269"/>
  <c r="P16" i="269"/>
  <c r="O16" i="269"/>
  <c r="AQ16" i="269" s="1"/>
  <c r="N16" i="269"/>
  <c r="M16" i="269"/>
  <c r="AB16" i="269" s="1"/>
  <c r="AI15" i="269"/>
  <c r="AH15" i="269"/>
  <c r="W15" i="269"/>
  <c r="AT14" i="269"/>
  <c r="AR14" i="269"/>
  <c r="AP14" i="269"/>
  <c r="AI14" i="269"/>
  <c r="AH14" i="269"/>
  <c r="AF14" i="269"/>
  <c r="AE14" i="269"/>
  <c r="AC14" i="269"/>
  <c r="AB14" i="269"/>
  <c r="AA14" i="269"/>
  <c r="Z14" i="269"/>
  <c r="Y14" i="269"/>
  <c r="X14" i="269"/>
  <c r="W14" i="269"/>
  <c r="P14" i="269"/>
  <c r="O14" i="269"/>
  <c r="AD14" i="269" s="1"/>
  <c r="N14" i="269"/>
  <c r="AO14" i="269" s="1"/>
  <c r="AV14" i="269" s="1"/>
  <c r="M14" i="269"/>
  <c r="AU13" i="269"/>
  <c r="AR13" i="269"/>
  <c r="AP13" i="269"/>
  <c r="AN13" i="269"/>
  <c r="AI13" i="269"/>
  <c r="AJ13" i="269" s="1"/>
  <c r="AH13" i="269"/>
  <c r="AF13" i="269"/>
  <c r="AE13" i="269"/>
  <c r="AD13" i="269"/>
  <c r="AC13" i="269"/>
  <c r="AB13" i="269"/>
  <c r="AA13" i="269"/>
  <c r="Z13" i="269"/>
  <c r="Y13" i="269"/>
  <c r="X13" i="269"/>
  <c r="W13" i="269"/>
  <c r="P13" i="269"/>
  <c r="O13" i="269"/>
  <c r="AQ13" i="269" s="1"/>
  <c r="N13" i="269"/>
  <c r="AO13" i="269" s="1"/>
  <c r="AV13" i="269" s="1"/>
  <c r="M13" i="269"/>
  <c r="AI12" i="269"/>
  <c r="AH12" i="269"/>
  <c r="W12" i="269"/>
  <c r="AQ11" i="269"/>
  <c r="AP11" i="269"/>
  <c r="AI11" i="269"/>
  <c r="AH11" i="269"/>
  <c r="AF11" i="269"/>
  <c r="AE11" i="269"/>
  <c r="AB11" i="269"/>
  <c r="AA11" i="269"/>
  <c r="Z11" i="269"/>
  <c r="Y11" i="269"/>
  <c r="X11" i="269"/>
  <c r="W11" i="269"/>
  <c r="P11" i="269"/>
  <c r="O11" i="269"/>
  <c r="AD11" i="269" s="1"/>
  <c r="N11" i="269"/>
  <c r="M11" i="269"/>
  <c r="AR11" i="269" s="1"/>
  <c r="AR10" i="269"/>
  <c r="AQ10" i="269"/>
  <c r="AP10" i="269"/>
  <c r="AJ10" i="269"/>
  <c r="AI10" i="269"/>
  <c r="AT10" i="269" s="1"/>
  <c r="AH10" i="269"/>
  <c r="AF10" i="269"/>
  <c r="AE10" i="269"/>
  <c r="AC10" i="269"/>
  <c r="AB10" i="269"/>
  <c r="AA10" i="269"/>
  <c r="Z10" i="269"/>
  <c r="Y10" i="269"/>
  <c r="X10" i="269"/>
  <c r="W10" i="269"/>
  <c r="P10" i="269"/>
  <c r="O10" i="269"/>
  <c r="AD10" i="269" s="1"/>
  <c r="N10" i="269"/>
  <c r="AO10" i="269" s="1"/>
  <c r="AV10" i="269" s="1"/>
  <c r="M10" i="269"/>
  <c r="AU9" i="269"/>
  <c r="AR9" i="269"/>
  <c r="AP9" i="269"/>
  <c r="AN9" i="269"/>
  <c r="AJ9" i="269"/>
  <c r="AI9" i="269"/>
  <c r="AT9" i="269" s="1"/>
  <c r="AH9" i="269"/>
  <c r="AF9" i="269"/>
  <c r="AE9" i="269"/>
  <c r="AC9" i="269"/>
  <c r="AB9" i="269"/>
  <c r="AA9" i="269"/>
  <c r="Z9" i="269"/>
  <c r="Y9" i="269"/>
  <c r="X9" i="269"/>
  <c r="W9" i="269"/>
  <c r="P9" i="269"/>
  <c r="O9" i="269"/>
  <c r="N9" i="269"/>
  <c r="AO9" i="269" s="1"/>
  <c r="AV9" i="269" s="1"/>
  <c r="M9" i="269"/>
  <c r="AV8" i="269"/>
  <c r="AU8" i="269"/>
  <c r="AR8" i="269"/>
  <c r="AP8" i="269"/>
  <c r="AO8" i="269"/>
  <c r="AN8" i="269"/>
  <c r="AJ8" i="269"/>
  <c r="AI8" i="269"/>
  <c r="AT8" i="269" s="1"/>
  <c r="AH8" i="269"/>
  <c r="AF8" i="269"/>
  <c r="AE8" i="269"/>
  <c r="AD8" i="269"/>
  <c r="AC8" i="269"/>
  <c r="AB8" i="269"/>
  <c r="AA8" i="269"/>
  <c r="Z8" i="269"/>
  <c r="Y8" i="269"/>
  <c r="X8" i="269"/>
  <c r="W8" i="269"/>
  <c r="P8" i="269"/>
  <c r="O8" i="269"/>
  <c r="AQ8" i="269" s="1"/>
  <c r="N8" i="269"/>
  <c r="M8" i="269"/>
  <c r="AU7" i="269"/>
  <c r="AT7" i="269"/>
  <c r="AP7" i="269"/>
  <c r="AJ7" i="269"/>
  <c r="AI7" i="269"/>
  <c r="AH7" i="269"/>
  <c r="AF7" i="269"/>
  <c r="AE7" i="269"/>
  <c r="AD7" i="269"/>
  <c r="AC7" i="269"/>
  <c r="AA7" i="269"/>
  <c r="Z7" i="269"/>
  <c r="Y7" i="269"/>
  <c r="X7" i="269"/>
  <c r="W7" i="269"/>
  <c r="P7" i="269"/>
  <c r="O7" i="269"/>
  <c r="AQ7" i="269" s="1"/>
  <c r="N7" i="269"/>
  <c r="AO7" i="269" s="1"/>
  <c r="AV7" i="269" s="1"/>
  <c r="M7" i="269"/>
  <c r="AU6" i="269"/>
  <c r="AT6" i="269"/>
  <c r="AQ6" i="269"/>
  <c r="AP6" i="269"/>
  <c r="AO6" i="269"/>
  <c r="AV6" i="269" s="1"/>
  <c r="AI6" i="269"/>
  <c r="AH6" i="269"/>
  <c r="AF6" i="269"/>
  <c r="AE6" i="269"/>
  <c r="AD6" i="269"/>
  <c r="AA6" i="269"/>
  <c r="Z6" i="269"/>
  <c r="Y6" i="269"/>
  <c r="X6" i="269"/>
  <c r="W6" i="269"/>
  <c r="P6" i="269"/>
  <c r="O6" i="269"/>
  <c r="N6" i="269"/>
  <c r="AC6" i="269" s="1"/>
  <c r="M6" i="269"/>
  <c r="AI5" i="269"/>
  <c r="AH5" i="269"/>
  <c r="W5" i="269"/>
  <c r="AI4" i="269"/>
  <c r="AU3" i="269"/>
  <c r="AR3" i="269"/>
  <c r="AQ3" i="269"/>
  <c r="AI3" i="269"/>
  <c r="AH3" i="269"/>
  <c r="AN2" i="269"/>
  <c r="AN6" i="269" s="1"/>
  <c r="AM2" i="269"/>
  <c r="AL2" i="269"/>
  <c r="AK2" i="269"/>
  <c r="AJ2" i="269"/>
  <c r="AJ6" i="269" s="1"/>
  <c r="AA2" i="269"/>
  <c r="A2" i="269"/>
  <c r="AU1" i="269"/>
  <c r="AU11" i="269" s="1"/>
  <c r="AR1" i="269"/>
  <c r="AQ1" i="269"/>
  <c r="AQ14" i="269" s="1"/>
  <c r="AP1" i="269"/>
  <c r="AP3" i="269" s="1"/>
  <c r="AO1" i="269"/>
  <c r="AO3" i="269" s="1"/>
  <c r="AA1" i="269"/>
  <c r="A1" i="269"/>
  <c r="AU22" i="268"/>
  <c r="AT22" i="268"/>
  <c r="AP22" i="268"/>
  <c r="AO22" i="268"/>
  <c r="AV22" i="268" s="1"/>
  <c r="AN22" i="268"/>
  <c r="AI22" i="268"/>
  <c r="AH22" i="268"/>
  <c r="AF22" i="268"/>
  <c r="AE22" i="268"/>
  <c r="AD22" i="268"/>
  <c r="AC22" i="268"/>
  <c r="AA22" i="268"/>
  <c r="Z22" i="268"/>
  <c r="Y22" i="268"/>
  <c r="X22" i="268"/>
  <c r="W22" i="268"/>
  <c r="P22" i="268"/>
  <c r="O22" i="268"/>
  <c r="AQ22" i="268" s="1"/>
  <c r="N22" i="268"/>
  <c r="M22" i="268"/>
  <c r="AU21" i="268"/>
  <c r="AP21" i="268"/>
  <c r="AN21" i="268"/>
  <c r="AI21" i="268"/>
  <c r="AT21" i="268" s="1"/>
  <c r="AH21" i="268"/>
  <c r="AF21" i="268"/>
  <c r="AE21" i="268"/>
  <c r="AD21" i="268"/>
  <c r="AA21" i="268"/>
  <c r="Z21" i="268"/>
  <c r="Y21" i="268"/>
  <c r="X21" i="268"/>
  <c r="W21" i="268"/>
  <c r="P21" i="268"/>
  <c r="O21" i="268"/>
  <c r="N21" i="268"/>
  <c r="AC21" i="268" s="1"/>
  <c r="M21" i="268"/>
  <c r="AR20" i="268"/>
  <c r="AP20" i="268"/>
  <c r="AI20" i="268"/>
  <c r="AH20" i="268"/>
  <c r="AF20" i="268"/>
  <c r="AE20" i="268"/>
  <c r="AA20" i="268"/>
  <c r="Z20" i="268"/>
  <c r="Y20" i="268"/>
  <c r="X20" i="268"/>
  <c r="W20" i="268"/>
  <c r="P20" i="268"/>
  <c r="O20" i="268"/>
  <c r="AD20" i="268" s="1"/>
  <c r="N20" i="268"/>
  <c r="M20" i="268"/>
  <c r="AB20" i="268" s="1"/>
  <c r="AT19" i="268"/>
  <c r="AP19" i="268"/>
  <c r="AI19" i="268"/>
  <c r="AN19" i="268" s="1"/>
  <c r="AH19" i="268"/>
  <c r="AF19" i="268"/>
  <c r="AE19" i="268"/>
  <c r="AB19" i="268"/>
  <c r="AA19" i="268"/>
  <c r="Z19" i="268"/>
  <c r="Y19" i="268"/>
  <c r="X19" i="268"/>
  <c r="W19" i="268"/>
  <c r="P19" i="268"/>
  <c r="O19" i="268"/>
  <c r="AD19" i="268" s="1"/>
  <c r="N19" i="268"/>
  <c r="M19" i="268"/>
  <c r="AI18" i="268"/>
  <c r="AH18" i="268"/>
  <c r="W18" i="268"/>
  <c r="AU17" i="268"/>
  <c r="AP17" i="268"/>
  <c r="AO17" i="268"/>
  <c r="AV17" i="268" s="1"/>
  <c r="AN17" i="268"/>
  <c r="AI17" i="268"/>
  <c r="AT17" i="268" s="1"/>
  <c r="AH17" i="268"/>
  <c r="AF17" i="268"/>
  <c r="AE17" i="268"/>
  <c r="AA17" i="268"/>
  <c r="Z17" i="268"/>
  <c r="Y17" i="268"/>
  <c r="X17" i="268"/>
  <c r="W17" i="268"/>
  <c r="P17" i="268"/>
  <c r="O17" i="268"/>
  <c r="N17" i="268"/>
  <c r="AC17" i="268" s="1"/>
  <c r="M17" i="268"/>
  <c r="AQ16" i="268"/>
  <c r="AP16" i="268"/>
  <c r="AI16" i="268"/>
  <c r="AH16" i="268"/>
  <c r="AF16" i="268"/>
  <c r="AE16" i="268"/>
  <c r="AB16" i="268"/>
  <c r="AA16" i="268"/>
  <c r="Z16" i="268"/>
  <c r="Y16" i="268"/>
  <c r="X16" i="268"/>
  <c r="W16" i="268"/>
  <c r="P16" i="268"/>
  <c r="O16" i="268"/>
  <c r="AD16" i="268" s="1"/>
  <c r="N16" i="268"/>
  <c r="M16" i="268"/>
  <c r="AR16" i="268" s="1"/>
  <c r="AI15" i="268"/>
  <c r="AH15" i="268"/>
  <c r="W15" i="268"/>
  <c r="AU14" i="268"/>
  <c r="AT14" i="268"/>
  <c r="AP14" i="268"/>
  <c r="AO14" i="268"/>
  <c r="AV14" i="268" s="1"/>
  <c r="AN14" i="268"/>
  <c r="AI14" i="268"/>
  <c r="AH14" i="268"/>
  <c r="AF14" i="268"/>
  <c r="AE14" i="268"/>
  <c r="AD14" i="268"/>
  <c r="AC14" i="268"/>
  <c r="AA14" i="268"/>
  <c r="Z14" i="268"/>
  <c r="Y14" i="268"/>
  <c r="X14" i="268"/>
  <c r="W14" i="268"/>
  <c r="P14" i="268"/>
  <c r="O14" i="268"/>
  <c r="AQ14" i="268" s="1"/>
  <c r="N14" i="268"/>
  <c r="M14" i="268"/>
  <c r="AU13" i="268"/>
  <c r="AP13" i="268"/>
  <c r="AN13" i="268"/>
  <c r="AI13" i="268"/>
  <c r="AT13" i="268" s="1"/>
  <c r="AH13" i="268"/>
  <c r="AF13" i="268"/>
  <c r="AE13" i="268"/>
  <c r="AD13" i="268"/>
  <c r="AA13" i="268"/>
  <c r="Z13" i="268"/>
  <c r="Y13" i="268"/>
  <c r="X13" i="268"/>
  <c r="W13" i="268"/>
  <c r="P13" i="268"/>
  <c r="O13" i="268"/>
  <c r="N13" i="268"/>
  <c r="AC13" i="268" s="1"/>
  <c r="M13" i="268"/>
  <c r="AI12" i="268"/>
  <c r="AH12" i="268"/>
  <c r="W12" i="268"/>
  <c r="AT11" i="268"/>
  <c r="AP11" i="268"/>
  <c r="AO11" i="268"/>
  <c r="AV11" i="268" s="1"/>
  <c r="AI11" i="268"/>
  <c r="AH11" i="268"/>
  <c r="AF11" i="268"/>
  <c r="AE11" i="268"/>
  <c r="AD11" i="268"/>
  <c r="AC11" i="268"/>
  <c r="AB11" i="268"/>
  <c r="AA11" i="268"/>
  <c r="Z11" i="268"/>
  <c r="Y11" i="268"/>
  <c r="X11" i="268"/>
  <c r="W11" i="268"/>
  <c r="P11" i="268"/>
  <c r="O11" i="268"/>
  <c r="N11" i="268"/>
  <c r="M11" i="268"/>
  <c r="AT10" i="268"/>
  <c r="AP10" i="268"/>
  <c r="AO10" i="268"/>
  <c r="AV10" i="268" s="1"/>
  <c r="AN10" i="268"/>
  <c r="AI10" i="268"/>
  <c r="AH10" i="268"/>
  <c r="AF10" i="268"/>
  <c r="AE10" i="268"/>
  <c r="AD10" i="268"/>
  <c r="AA10" i="268"/>
  <c r="Z10" i="268"/>
  <c r="Y10" i="268"/>
  <c r="X10" i="268"/>
  <c r="W10" i="268"/>
  <c r="P10" i="268"/>
  <c r="O10" i="268"/>
  <c r="AQ10" i="268" s="1"/>
  <c r="N10" i="268"/>
  <c r="AC10" i="268" s="1"/>
  <c r="M10" i="268"/>
  <c r="AP9" i="268"/>
  <c r="AO9" i="268"/>
  <c r="AV9" i="268" s="1"/>
  <c r="AN9" i="268"/>
  <c r="AI9" i="268"/>
  <c r="AT9" i="268" s="1"/>
  <c r="AH9" i="268"/>
  <c r="AF9" i="268"/>
  <c r="AE9" i="268"/>
  <c r="AD9" i="268"/>
  <c r="AA9" i="268"/>
  <c r="Z9" i="268"/>
  <c r="Y9" i="268"/>
  <c r="X9" i="268"/>
  <c r="W9" i="268"/>
  <c r="P9" i="268"/>
  <c r="O9" i="268"/>
  <c r="AQ9" i="268" s="1"/>
  <c r="N9" i="268"/>
  <c r="AC9" i="268" s="1"/>
  <c r="M9" i="268"/>
  <c r="AP8" i="268"/>
  <c r="AO8" i="268"/>
  <c r="AV8" i="268" s="1"/>
  <c r="AI8" i="268"/>
  <c r="AH8" i="268"/>
  <c r="AF8" i="268"/>
  <c r="AE8" i="268"/>
  <c r="AB8" i="268"/>
  <c r="AA8" i="268"/>
  <c r="Z8" i="268"/>
  <c r="Y8" i="268"/>
  <c r="X8" i="268"/>
  <c r="W8" i="268"/>
  <c r="P8" i="268"/>
  <c r="O8" i="268"/>
  <c r="AD8" i="268" s="1"/>
  <c r="N8" i="268"/>
  <c r="AC8" i="268" s="1"/>
  <c r="M8" i="268"/>
  <c r="AT7" i="268"/>
  <c r="AR7" i="268"/>
  <c r="AP7" i="268"/>
  <c r="AI7" i="268"/>
  <c r="AN7" i="268" s="1"/>
  <c r="AH7" i="268"/>
  <c r="AF7" i="268"/>
  <c r="AE7" i="268"/>
  <c r="AC7" i="268"/>
  <c r="AB7" i="268"/>
  <c r="AA7" i="268"/>
  <c r="Z7" i="268"/>
  <c r="Y7" i="268"/>
  <c r="X7" i="268"/>
  <c r="W7" i="268"/>
  <c r="P7" i="268"/>
  <c r="O7" i="268"/>
  <c r="AD7" i="268" s="1"/>
  <c r="N7" i="268"/>
  <c r="AO7" i="268" s="1"/>
  <c r="AV7" i="268" s="1"/>
  <c r="M7" i="268"/>
  <c r="AT6" i="268"/>
  <c r="AP6" i="268"/>
  <c r="AO6" i="268"/>
  <c r="AV6" i="268" s="1"/>
  <c r="AN6" i="268"/>
  <c r="AI6" i="268"/>
  <c r="AH6" i="268"/>
  <c r="AF6" i="268"/>
  <c r="AE6" i="268"/>
  <c r="AD6" i="268"/>
  <c r="AC6" i="268"/>
  <c r="AB6" i="268"/>
  <c r="AA6" i="268"/>
  <c r="Z6" i="268"/>
  <c r="Y6" i="268"/>
  <c r="X6" i="268"/>
  <c r="W6" i="268"/>
  <c r="P6" i="268"/>
  <c r="O6" i="268"/>
  <c r="AQ6" i="268" s="1"/>
  <c r="N6" i="268"/>
  <c r="M6" i="268"/>
  <c r="AI5" i="268"/>
  <c r="AH5" i="268"/>
  <c r="W5" i="268"/>
  <c r="AI4" i="268"/>
  <c r="AQ3" i="268"/>
  <c r="AP3" i="268"/>
  <c r="AO3" i="268"/>
  <c r="AI3" i="268"/>
  <c r="AH3" i="268"/>
  <c r="AN2" i="268"/>
  <c r="AM2" i="268"/>
  <c r="AL2" i="268"/>
  <c r="AK2" i="268"/>
  <c r="AJ2" i="268"/>
  <c r="AJ19" i="268" s="1"/>
  <c r="AA2" i="268"/>
  <c r="A2" i="268"/>
  <c r="AU1" i="268"/>
  <c r="AU6" i="268" s="1"/>
  <c r="AR1" i="268"/>
  <c r="AQ1" i="268"/>
  <c r="AQ21" i="268" s="1"/>
  <c r="AP1" i="268"/>
  <c r="AO1" i="268"/>
  <c r="AH1" i="268"/>
  <c r="AH2" i="268" s="1"/>
  <c r="AA1" i="268"/>
  <c r="A1" i="268"/>
  <c r="AJ1" i="268" s="1"/>
  <c r="AT9" i="267"/>
  <c r="AR9" i="267"/>
  <c r="AP9" i="267"/>
  <c r="AJ9" i="267"/>
  <c r="AI9" i="267"/>
  <c r="AH9" i="267"/>
  <c r="AF9" i="267"/>
  <c r="AE9" i="267"/>
  <c r="AB9" i="267"/>
  <c r="AA9" i="267"/>
  <c r="Z9" i="267"/>
  <c r="Y9" i="267"/>
  <c r="X9" i="267"/>
  <c r="W9" i="267"/>
  <c r="P9" i="267"/>
  <c r="O9" i="267"/>
  <c r="AD9" i="267" s="1"/>
  <c r="N9" i="267"/>
  <c r="M9" i="267"/>
  <c r="AI8" i="267"/>
  <c r="AH8" i="267"/>
  <c r="W8" i="267"/>
  <c r="AU7" i="267"/>
  <c r="AP7" i="267"/>
  <c r="AO7" i="267"/>
  <c r="AV7" i="267" s="1"/>
  <c r="AN7" i="267"/>
  <c r="AI7" i="267"/>
  <c r="AT7" i="267" s="1"/>
  <c r="AH7" i="267"/>
  <c r="AF7" i="267"/>
  <c r="AE7" i="267"/>
  <c r="AA7" i="267"/>
  <c r="Z7" i="267"/>
  <c r="Y7" i="267"/>
  <c r="X7" i="267"/>
  <c r="W7" i="267"/>
  <c r="P7" i="267"/>
  <c r="O7" i="267"/>
  <c r="N7" i="267"/>
  <c r="AC7" i="267" s="1"/>
  <c r="M7" i="267"/>
  <c r="AP6" i="267"/>
  <c r="AI6" i="267"/>
  <c r="AH6" i="267"/>
  <c r="AF6" i="267"/>
  <c r="AE6" i="267"/>
  <c r="AB6" i="267"/>
  <c r="AA6" i="267"/>
  <c r="Z6" i="267"/>
  <c r="Y6" i="267"/>
  <c r="X6" i="267"/>
  <c r="W6" i="267"/>
  <c r="P6" i="267"/>
  <c r="O6" i="267"/>
  <c r="AD6" i="267" s="1"/>
  <c r="N6" i="267"/>
  <c r="M6" i="267"/>
  <c r="AR6" i="267" s="1"/>
  <c r="AI5" i="267"/>
  <c r="AH5" i="267"/>
  <c r="W5" i="267"/>
  <c r="AI4" i="267"/>
  <c r="AU3" i="267"/>
  <c r="AR3" i="267"/>
  <c r="AI3" i="267"/>
  <c r="AH3" i="267"/>
  <c r="AN2" i="267"/>
  <c r="AM2" i="267"/>
  <c r="AL2" i="267"/>
  <c r="AK2" i="267"/>
  <c r="AJ2" i="267"/>
  <c r="AA2" i="267"/>
  <c r="A2" i="267"/>
  <c r="AU1" i="267"/>
  <c r="AU6" i="267" s="1"/>
  <c r="AR1" i="267"/>
  <c r="AQ1" i="267"/>
  <c r="AQ3" i="267" s="1"/>
  <c r="AP1" i="267"/>
  <c r="AP3" i="267" s="1"/>
  <c r="AO1" i="267"/>
  <c r="AO3" i="267" s="1"/>
  <c r="AA1" i="267"/>
  <c r="A1" i="267"/>
  <c r="AU29" i="266"/>
  <c r="AQ29" i="266"/>
  <c r="AP29" i="266"/>
  <c r="AO29" i="266"/>
  <c r="AV29" i="266" s="1"/>
  <c r="AI29" i="266"/>
  <c r="AT29" i="266" s="1"/>
  <c r="AH29" i="266"/>
  <c r="AF29" i="266"/>
  <c r="AE29" i="266"/>
  <c r="AD29" i="266"/>
  <c r="AA29" i="266"/>
  <c r="Z29" i="266"/>
  <c r="Y29" i="266"/>
  <c r="X29" i="266"/>
  <c r="W29" i="266"/>
  <c r="P29" i="266"/>
  <c r="O29" i="266"/>
  <c r="N29" i="266"/>
  <c r="AC29" i="266" s="1"/>
  <c r="M29" i="266"/>
  <c r="AQ28" i="266"/>
  <c r="AP28" i="266"/>
  <c r="AI28" i="266"/>
  <c r="AH28" i="266"/>
  <c r="AF28" i="266"/>
  <c r="AE28" i="266"/>
  <c r="AA28" i="266"/>
  <c r="Z28" i="266"/>
  <c r="Y28" i="266"/>
  <c r="X28" i="266"/>
  <c r="W28" i="266"/>
  <c r="P28" i="266"/>
  <c r="O28" i="266"/>
  <c r="AD28" i="266" s="1"/>
  <c r="N28" i="266"/>
  <c r="AC28" i="266" s="1"/>
  <c r="M28" i="266"/>
  <c r="AR27" i="266"/>
  <c r="AP27" i="266"/>
  <c r="AI27" i="266"/>
  <c r="AH27" i="266"/>
  <c r="AF27" i="266"/>
  <c r="AE27" i="266"/>
  <c r="AB27" i="266"/>
  <c r="AA27" i="266"/>
  <c r="Z27" i="266"/>
  <c r="Y27" i="266"/>
  <c r="X27" i="266"/>
  <c r="W27" i="266"/>
  <c r="P27" i="266"/>
  <c r="O27" i="266"/>
  <c r="N27" i="266"/>
  <c r="AO27" i="266" s="1"/>
  <c r="AV27" i="266" s="1"/>
  <c r="M27" i="266"/>
  <c r="AR26" i="266"/>
  <c r="AQ26" i="266"/>
  <c r="AP26" i="266"/>
  <c r="AN26" i="266"/>
  <c r="AJ26" i="266"/>
  <c r="AI26" i="266"/>
  <c r="AT26" i="266" s="1"/>
  <c r="AH26" i="266"/>
  <c r="AF26" i="266"/>
  <c r="AE26" i="266"/>
  <c r="AD26" i="266"/>
  <c r="AC26" i="266"/>
  <c r="AB26" i="266"/>
  <c r="AA26" i="266"/>
  <c r="Z26" i="266"/>
  <c r="Y26" i="266"/>
  <c r="X26" i="266"/>
  <c r="W26" i="266"/>
  <c r="P26" i="266"/>
  <c r="O26" i="266"/>
  <c r="N26" i="266"/>
  <c r="AO26" i="266" s="1"/>
  <c r="AV26" i="266" s="1"/>
  <c r="M26" i="266"/>
  <c r="AV25" i="266"/>
  <c r="AR25" i="266"/>
  <c r="AP25" i="266"/>
  <c r="AO25" i="266"/>
  <c r="AN25" i="266"/>
  <c r="AJ25" i="266"/>
  <c r="AI25" i="266"/>
  <c r="AT25" i="266" s="1"/>
  <c r="AH25" i="266"/>
  <c r="AF25" i="266"/>
  <c r="AE25" i="266"/>
  <c r="AD25" i="266"/>
  <c r="AC25" i="266"/>
  <c r="AA25" i="266"/>
  <c r="Z25" i="266"/>
  <c r="Y25" i="266"/>
  <c r="X25" i="266"/>
  <c r="W25" i="266"/>
  <c r="P25" i="266"/>
  <c r="O25" i="266"/>
  <c r="AQ25" i="266" s="1"/>
  <c r="N25" i="266"/>
  <c r="M25" i="266"/>
  <c r="AB25" i="266" s="1"/>
  <c r="AT24" i="266"/>
  <c r="AP24" i="266"/>
  <c r="AO24" i="266"/>
  <c r="AV24" i="266" s="1"/>
  <c r="AJ24" i="266"/>
  <c r="AI24" i="266"/>
  <c r="AH24" i="266"/>
  <c r="AF24" i="266"/>
  <c r="AE24" i="266"/>
  <c r="AD24" i="266"/>
  <c r="AC24" i="266"/>
  <c r="AA24" i="266"/>
  <c r="Z24" i="266"/>
  <c r="Y24" i="266"/>
  <c r="X24" i="266"/>
  <c r="W24" i="266"/>
  <c r="P24" i="266"/>
  <c r="O24" i="266"/>
  <c r="AQ24" i="266" s="1"/>
  <c r="N24" i="266"/>
  <c r="M24" i="266"/>
  <c r="AI23" i="266"/>
  <c r="AH23" i="266"/>
  <c r="W23" i="266"/>
  <c r="AR22" i="266"/>
  <c r="AQ22" i="266"/>
  <c r="AP22" i="266"/>
  <c r="AN22" i="266"/>
  <c r="AJ22" i="266"/>
  <c r="AI22" i="266"/>
  <c r="AT22" i="266" s="1"/>
  <c r="AH22" i="266"/>
  <c r="AF22" i="266"/>
  <c r="AE22" i="266"/>
  <c r="AD22" i="266"/>
  <c r="AC22" i="266"/>
  <c r="AB22" i="266"/>
  <c r="AA22" i="266"/>
  <c r="Z22" i="266"/>
  <c r="Y22" i="266"/>
  <c r="X22" i="266"/>
  <c r="W22" i="266"/>
  <c r="P22" i="266"/>
  <c r="O22" i="266"/>
  <c r="N22" i="266"/>
  <c r="AO22" i="266" s="1"/>
  <c r="AV22" i="266" s="1"/>
  <c r="M22" i="266"/>
  <c r="AV21" i="266"/>
  <c r="AR21" i="266"/>
  <c r="AP21" i="266"/>
  <c r="AO21" i="266"/>
  <c r="AN21" i="266"/>
  <c r="AJ21" i="266"/>
  <c r="AI21" i="266"/>
  <c r="AT21" i="266" s="1"/>
  <c r="AH21" i="266"/>
  <c r="AF21" i="266"/>
  <c r="AE21" i="266"/>
  <c r="AD21" i="266"/>
  <c r="AC21" i="266"/>
  <c r="AA21" i="266"/>
  <c r="Z21" i="266"/>
  <c r="Y21" i="266"/>
  <c r="X21" i="266"/>
  <c r="W21" i="266"/>
  <c r="P21" i="266"/>
  <c r="O21" i="266"/>
  <c r="AQ21" i="266" s="1"/>
  <c r="N21" i="266"/>
  <c r="M21" i="266"/>
  <c r="AB21" i="266" s="1"/>
  <c r="AT20" i="266"/>
  <c r="AP20" i="266"/>
  <c r="AO20" i="266"/>
  <c r="AV20" i="266" s="1"/>
  <c r="AJ20" i="266"/>
  <c r="AI20" i="266"/>
  <c r="AH20" i="266"/>
  <c r="AF20" i="266"/>
  <c r="AE20" i="266"/>
  <c r="AD20" i="266"/>
  <c r="AC20" i="266"/>
  <c r="AA20" i="266"/>
  <c r="Z20" i="266"/>
  <c r="Y20" i="266"/>
  <c r="X20" i="266"/>
  <c r="W20" i="266"/>
  <c r="P20" i="266"/>
  <c r="O20" i="266"/>
  <c r="AQ20" i="266" s="1"/>
  <c r="N20" i="266"/>
  <c r="M20" i="266"/>
  <c r="AQ19" i="266"/>
  <c r="AP19" i="266"/>
  <c r="AI19" i="266"/>
  <c r="AT19" i="266" s="1"/>
  <c r="AH19" i="266"/>
  <c r="AF19" i="266"/>
  <c r="AE19" i="266"/>
  <c r="AA19" i="266"/>
  <c r="Z19" i="266"/>
  <c r="Y19" i="266"/>
  <c r="X19" i="266"/>
  <c r="W19" i="266"/>
  <c r="P19" i="266"/>
  <c r="O19" i="266"/>
  <c r="AD19" i="266" s="1"/>
  <c r="N19" i="266"/>
  <c r="M19" i="266"/>
  <c r="AP18" i="266"/>
  <c r="AO18" i="266"/>
  <c r="AV18" i="266" s="1"/>
  <c r="AI18" i="266"/>
  <c r="AH18" i="266"/>
  <c r="AF18" i="266"/>
  <c r="AE18" i="266"/>
  <c r="AA18" i="266"/>
  <c r="Z18" i="266"/>
  <c r="Y18" i="266"/>
  <c r="X18" i="266"/>
  <c r="W18" i="266"/>
  <c r="P18" i="266"/>
  <c r="O18" i="266"/>
  <c r="N18" i="266"/>
  <c r="AC18" i="266" s="1"/>
  <c r="M18" i="266"/>
  <c r="AR17" i="266"/>
  <c r="AP17" i="266"/>
  <c r="AI17" i="266"/>
  <c r="AH17" i="266"/>
  <c r="AF17" i="266"/>
  <c r="AE17" i="266"/>
  <c r="AC17" i="266"/>
  <c r="AB17" i="266"/>
  <c r="AA17" i="266"/>
  <c r="Z17" i="266"/>
  <c r="Y17" i="266"/>
  <c r="X17" i="266"/>
  <c r="W17" i="266"/>
  <c r="P17" i="266"/>
  <c r="O17" i="266"/>
  <c r="N17" i="266"/>
  <c r="AO17" i="266" s="1"/>
  <c r="AV17" i="266" s="1"/>
  <c r="M17" i="266"/>
  <c r="AI16" i="266"/>
  <c r="AH16" i="266"/>
  <c r="W16" i="266"/>
  <c r="AP15" i="266"/>
  <c r="AO15" i="266"/>
  <c r="AV15" i="266" s="1"/>
  <c r="AI15" i="266"/>
  <c r="AT15" i="266" s="1"/>
  <c r="AH15" i="266"/>
  <c r="AF15" i="266"/>
  <c r="AE15" i="266"/>
  <c r="AD15" i="266"/>
  <c r="AA15" i="266"/>
  <c r="Z15" i="266"/>
  <c r="Y15" i="266"/>
  <c r="X15" i="266"/>
  <c r="W15" i="266"/>
  <c r="P15" i="266"/>
  <c r="O15" i="266"/>
  <c r="AQ15" i="266" s="1"/>
  <c r="N15" i="266"/>
  <c r="AC15" i="266" s="1"/>
  <c r="M15" i="266"/>
  <c r="AI14" i="266"/>
  <c r="AH14" i="266"/>
  <c r="W14" i="266"/>
  <c r="AU13" i="266"/>
  <c r="AP13" i="266"/>
  <c r="AO13" i="266"/>
  <c r="AV13" i="266" s="1"/>
  <c r="AJ13" i="266"/>
  <c r="AI13" i="266"/>
  <c r="AT13" i="266" s="1"/>
  <c r="AH13" i="266"/>
  <c r="AF13" i="266"/>
  <c r="AE13" i="266"/>
  <c r="AD13" i="266"/>
  <c r="AC13" i="266"/>
  <c r="AA13" i="266"/>
  <c r="Z13" i="266"/>
  <c r="Y13" i="266"/>
  <c r="X13" i="266"/>
  <c r="W13" i="266"/>
  <c r="P13" i="266"/>
  <c r="O13" i="266"/>
  <c r="AQ13" i="266" s="1"/>
  <c r="N13" i="266"/>
  <c r="M13" i="266"/>
  <c r="AU12" i="266"/>
  <c r="AT12" i="266"/>
  <c r="AP12" i="266"/>
  <c r="AO12" i="266"/>
  <c r="AV12" i="266" s="1"/>
  <c r="AN12" i="266"/>
  <c r="AJ12" i="266"/>
  <c r="AI12" i="266"/>
  <c r="AH12" i="266"/>
  <c r="AF12" i="266"/>
  <c r="AE12" i="266"/>
  <c r="AD12" i="266"/>
  <c r="AC12" i="266"/>
  <c r="AA12" i="266"/>
  <c r="Z12" i="266"/>
  <c r="Y12" i="266"/>
  <c r="X12" i="266"/>
  <c r="W12" i="266"/>
  <c r="P12" i="266"/>
  <c r="O12" i="266"/>
  <c r="AQ12" i="266" s="1"/>
  <c r="N12" i="266"/>
  <c r="M12" i="266"/>
  <c r="AU11" i="266"/>
  <c r="AQ11" i="266"/>
  <c r="AP11" i="266"/>
  <c r="AI11" i="266"/>
  <c r="AT11" i="266" s="1"/>
  <c r="AH11" i="266"/>
  <c r="AF11" i="266"/>
  <c r="AE11" i="266"/>
  <c r="AD11" i="266"/>
  <c r="AA11" i="266"/>
  <c r="Z11" i="266"/>
  <c r="Y11" i="266"/>
  <c r="X11" i="266"/>
  <c r="W11" i="266"/>
  <c r="P11" i="266"/>
  <c r="O11" i="266"/>
  <c r="N11" i="266"/>
  <c r="AC11" i="266" s="1"/>
  <c r="M11" i="266"/>
  <c r="AR10" i="266"/>
  <c r="AP10" i="266"/>
  <c r="AI10" i="266"/>
  <c r="AH10" i="266"/>
  <c r="AF10" i="266"/>
  <c r="AE10" i="266"/>
  <c r="AA10" i="266"/>
  <c r="Z10" i="266"/>
  <c r="Y10" i="266"/>
  <c r="X10" i="266"/>
  <c r="W10" i="266"/>
  <c r="P10" i="266"/>
  <c r="O10" i="266"/>
  <c r="AD10" i="266" s="1"/>
  <c r="N10" i="266"/>
  <c r="M10" i="266"/>
  <c r="AB10" i="266" s="1"/>
  <c r="AT9" i="266"/>
  <c r="AR9" i="266"/>
  <c r="AP9" i="266"/>
  <c r="AJ9" i="266"/>
  <c r="AI9" i="266"/>
  <c r="AH9" i="266"/>
  <c r="AF9" i="266"/>
  <c r="AE9" i="266"/>
  <c r="AB9" i="266"/>
  <c r="AA9" i="266"/>
  <c r="Z9" i="266"/>
  <c r="Y9" i="266"/>
  <c r="X9" i="266"/>
  <c r="W9" i="266"/>
  <c r="P9" i="266"/>
  <c r="O9" i="266"/>
  <c r="AD9" i="266" s="1"/>
  <c r="N9" i="266"/>
  <c r="M9" i="266"/>
  <c r="AR8" i="266"/>
  <c r="AP8" i="266"/>
  <c r="AI8" i="266"/>
  <c r="AN8" i="266" s="1"/>
  <c r="AH8" i="266"/>
  <c r="AF8" i="266"/>
  <c r="AE8" i="266"/>
  <c r="AC8" i="266"/>
  <c r="AB8" i="266"/>
  <c r="AA8" i="266"/>
  <c r="Z8" i="266"/>
  <c r="Y8" i="266"/>
  <c r="X8" i="266"/>
  <c r="W8" i="266"/>
  <c r="P8" i="266"/>
  <c r="O8" i="266"/>
  <c r="N8" i="266"/>
  <c r="AO8" i="266" s="1"/>
  <c r="AV8" i="266" s="1"/>
  <c r="M8" i="266"/>
  <c r="AR7" i="266"/>
  <c r="AP7" i="266"/>
  <c r="AO7" i="266"/>
  <c r="AV7" i="266" s="1"/>
  <c r="AI7" i="266"/>
  <c r="AN7" i="266" s="1"/>
  <c r="AH7" i="266"/>
  <c r="AF7" i="266"/>
  <c r="AE7" i="266"/>
  <c r="AD7" i="266"/>
  <c r="AC7" i="266"/>
  <c r="AA7" i="266"/>
  <c r="Z7" i="266"/>
  <c r="Y7" i="266"/>
  <c r="X7" i="266"/>
  <c r="W7" i="266"/>
  <c r="P7" i="266"/>
  <c r="O7" i="266"/>
  <c r="AQ7" i="266" s="1"/>
  <c r="N7" i="266"/>
  <c r="M7" i="266"/>
  <c r="AB7" i="266" s="1"/>
  <c r="AT6" i="266"/>
  <c r="AP6" i="266"/>
  <c r="AN6" i="266"/>
  <c r="AJ6" i="266"/>
  <c r="AI6" i="266"/>
  <c r="AH6" i="266"/>
  <c r="AF6" i="266"/>
  <c r="AE6" i="266"/>
  <c r="AD6" i="266"/>
  <c r="AA6" i="266"/>
  <c r="Z6" i="266"/>
  <c r="Y6" i="266"/>
  <c r="X6" i="266"/>
  <c r="W6" i="266"/>
  <c r="P6" i="266"/>
  <c r="O6" i="266"/>
  <c r="AQ6" i="266" s="1"/>
  <c r="N6" i="266"/>
  <c r="AC6" i="266" s="1"/>
  <c r="M6" i="266"/>
  <c r="AI5" i="266"/>
  <c r="AH5" i="266"/>
  <c r="W5" i="266"/>
  <c r="AI4" i="266"/>
  <c r="AU3" i="266"/>
  <c r="AR3" i="266"/>
  <c r="AQ3" i="266"/>
  <c r="AP3" i="266"/>
  <c r="AI3" i="266"/>
  <c r="AH3" i="266"/>
  <c r="AN2" i="266"/>
  <c r="AN29" i="266" s="1"/>
  <c r="AM2" i="266"/>
  <c r="AL2" i="266"/>
  <c r="AK2" i="266"/>
  <c r="AJ2" i="266"/>
  <c r="AA2" i="266"/>
  <c r="A2" i="266"/>
  <c r="AU1" i="266"/>
  <c r="AR1" i="266"/>
  <c r="AQ1" i="266"/>
  <c r="AP1" i="266"/>
  <c r="AO1" i="266"/>
  <c r="AO3" i="266" s="1"/>
  <c r="AJ1" i="266"/>
  <c r="AH1" i="266"/>
  <c r="AH2" i="266" s="1"/>
  <c r="AA1" i="266"/>
  <c r="A1" i="266"/>
  <c r="AT130" i="265"/>
  <c r="AP130" i="265"/>
  <c r="AO130" i="265"/>
  <c r="AV130" i="265" s="1"/>
  <c r="AI130" i="265"/>
  <c r="AH130" i="265"/>
  <c r="AF130" i="265"/>
  <c r="AE130" i="265"/>
  <c r="AD130" i="265"/>
  <c r="AC130" i="265"/>
  <c r="AB130" i="265"/>
  <c r="AA130" i="265"/>
  <c r="Z130" i="265"/>
  <c r="Y130" i="265"/>
  <c r="X130" i="265"/>
  <c r="W130" i="265"/>
  <c r="P130" i="265"/>
  <c r="O130" i="265"/>
  <c r="N130" i="265"/>
  <c r="M130" i="265"/>
  <c r="AI129" i="265"/>
  <c r="AH129" i="265"/>
  <c r="W129" i="265"/>
  <c r="AP128" i="265"/>
  <c r="AI128" i="265"/>
  <c r="AH128" i="265"/>
  <c r="AF128" i="265"/>
  <c r="AE128" i="265"/>
  <c r="AB128" i="265"/>
  <c r="AA128" i="265"/>
  <c r="Z128" i="265"/>
  <c r="Y128" i="265"/>
  <c r="X128" i="265"/>
  <c r="W128" i="265"/>
  <c r="P128" i="265"/>
  <c r="O128" i="265"/>
  <c r="N128" i="265"/>
  <c r="AO128" i="265" s="1"/>
  <c r="AV128" i="265" s="1"/>
  <c r="M128" i="265"/>
  <c r="AP127" i="265"/>
  <c r="AN127" i="265"/>
  <c r="AI127" i="265"/>
  <c r="AT127" i="265" s="1"/>
  <c r="AH127" i="265"/>
  <c r="AF127" i="265"/>
  <c r="AE127" i="265"/>
  <c r="AD127" i="265"/>
  <c r="AC127" i="265"/>
  <c r="AB127" i="265"/>
  <c r="AA127" i="265"/>
  <c r="Z127" i="265"/>
  <c r="Y127" i="265"/>
  <c r="X127" i="265"/>
  <c r="W127" i="265"/>
  <c r="P127" i="265"/>
  <c r="O127" i="265"/>
  <c r="N127" i="265"/>
  <c r="AO127" i="265" s="1"/>
  <c r="AV127" i="265" s="1"/>
  <c r="M127" i="265"/>
  <c r="AV126" i="265"/>
  <c r="AP126" i="265"/>
  <c r="AO126" i="265"/>
  <c r="AN126" i="265"/>
  <c r="AI126" i="265"/>
  <c r="AT126" i="265" s="1"/>
  <c r="AH126" i="265"/>
  <c r="AF126" i="265"/>
  <c r="AE126" i="265"/>
  <c r="AD126" i="265"/>
  <c r="AC126" i="265"/>
  <c r="AA126" i="265"/>
  <c r="Z126" i="265"/>
  <c r="Y126" i="265"/>
  <c r="X126" i="265"/>
  <c r="W126" i="265"/>
  <c r="P126" i="265"/>
  <c r="O126" i="265"/>
  <c r="N126" i="265"/>
  <c r="M126" i="265"/>
  <c r="AB126" i="265" s="1"/>
  <c r="AT125" i="265"/>
  <c r="AP125" i="265"/>
  <c r="AO125" i="265"/>
  <c r="AV125" i="265" s="1"/>
  <c r="AN125" i="265"/>
  <c r="AI125" i="265"/>
  <c r="AH125" i="265"/>
  <c r="AF125" i="265"/>
  <c r="AE125" i="265"/>
  <c r="AD125" i="265"/>
  <c r="AC125" i="265"/>
  <c r="AA125" i="265"/>
  <c r="Z125" i="265"/>
  <c r="Y125" i="265"/>
  <c r="X125" i="265"/>
  <c r="W125" i="265"/>
  <c r="P125" i="265"/>
  <c r="O125" i="265"/>
  <c r="N125" i="265"/>
  <c r="M125" i="265"/>
  <c r="AP124" i="265"/>
  <c r="AN124" i="265"/>
  <c r="AI124" i="265"/>
  <c r="AT124" i="265" s="1"/>
  <c r="AH124" i="265"/>
  <c r="AF124" i="265"/>
  <c r="AE124" i="265"/>
  <c r="AA124" i="265"/>
  <c r="Z124" i="265"/>
  <c r="Y124" i="265"/>
  <c r="X124" i="265"/>
  <c r="W124" i="265"/>
  <c r="P124" i="265"/>
  <c r="O124" i="265"/>
  <c r="AD124" i="265" s="1"/>
  <c r="N124" i="265"/>
  <c r="M124" i="265"/>
  <c r="AV123" i="265"/>
  <c r="AP123" i="265"/>
  <c r="AO123" i="265"/>
  <c r="AI123" i="265"/>
  <c r="AH123" i="265"/>
  <c r="AF123" i="265"/>
  <c r="AE123" i="265"/>
  <c r="AA123" i="265"/>
  <c r="Z123" i="265"/>
  <c r="Y123" i="265"/>
  <c r="X123" i="265"/>
  <c r="W123" i="265"/>
  <c r="P123" i="265"/>
  <c r="O123" i="265"/>
  <c r="N123" i="265"/>
  <c r="AC123" i="265" s="1"/>
  <c r="M123" i="265"/>
  <c r="AP122" i="265"/>
  <c r="AI122" i="265"/>
  <c r="AH122" i="265"/>
  <c r="AF122" i="265"/>
  <c r="AE122" i="265"/>
  <c r="AC122" i="265"/>
  <c r="AB122" i="265"/>
  <c r="AA122" i="265"/>
  <c r="Z122" i="265"/>
  <c r="Y122" i="265"/>
  <c r="X122" i="265"/>
  <c r="W122" i="265"/>
  <c r="P122" i="265"/>
  <c r="O122" i="265"/>
  <c r="N122" i="265"/>
  <c r="AO122" i="265" s="1"/>
  <c r="AV122" i="265" s="1"/>
  <c r="M122" i="265"/>
  <c r="AI121" i="265"/>
  <c r="AH121" i="265"/>
  <c r="W121" i="265"/>
  <c r="AV120" i="265"/>
  <c r="AP120" i="265"/>
  <c r="AO120" i="265"/>
  <c r="AN120" i="265"/>
  <c r="AI120" i="265"/>
  <c r="AT120" i="265" s="1"/>
  <c r="AH120" i="265"/>
  <c r="AF120" i="265"/>
  <c r="AE120" i="265"/>
  <c r="AD120" i="265"/>
  <c r="AA120" i="265"/>
  <c r="Z120" i="265"/>
  <c r="Y120" i="265"/>
  <c r="X120" i="265"/>
  <c r="W120" i="265"/>
  <c r="P120" i="265"/>
  <c r="O120" i="265"/>
  <c r="N120" i="265"/>
  <c r="AC120" i="265" s="1"/>
  <c r="M120" i="265"/>
  <c r="AP119" i="265"/>
  <c r="AO119" i="265"/>
  <c r="AV119" i="265" s="1"/>
  <c r="AI119" i="265"/>
  <c r="AH119" i="265"/>
  <c r="AF119" i="265"/>
  <c r="AE119" i="265"/>
  <c r="AB119" i="265"/>
  <c r="AA119" i="265"/>
  <c r="Z119" i="265"/>
  <c r="Y119" i="265"/>
  <c r="X119" i="265"/>
  <c r="W119" i="265"/>
  <c r="P119" i="265"/>
  <c r="O119" i="265"/>
  <c r="AD119" i="265" s="1"/>
  <c r="N119" i="265"/>
  <c r="AC119" i="265" s="1"/>
  <c r="M119" i="265"/>
  <c r="AT118" i="265"/>
  <c r="AR118" i="265"/>
  <c r="AP118" i="265"/>
  <c r="AI118" i="265"/>
  <c r="AH118" i="265"/>
  <c r="AF118" i="265"/>
  <c r="AE118" i="265"/>
  <c r="AC118" i="265"/>
  <c r="AB118" i="265"/>
  <c r="AA118" i="265"/>
  <c r="Z118" i="265"/>
  <c r="Y118" i="265"/>
  <c r="X118" i="265"/>
  <c r="W118" i="265"/>
  <c r="P118" i="265"/>
  <c r="O118" i="265"/>
  <c r="AD118" i="265" s="1"/>
  <c r="N118" i="265"/>
  <c r="AO118" i="265" s="1"/>
  <c r="AV118" i="265" s="1"/>
  <c r="M118" i="265"/>
  <c r="AI117" i="265"/>
  <c r="AH117" i="265"/>
  <c r="W117" i="265"/>
  <c r="AP116" i="265"/>
  <c r="AO116" i="265"/>
  <c r="AV116" i="265" s="1"/>
  <c r="AI116" i="265"/>
  <c r="AT116" i="265" s="1"/>
  <c r="AH116" i="265"/>
  <c r="AF116" i="265"/>
  <c r="AE116" i="265"/>
  <c r="AD116" i="265"/>
  <c r="AA116" i="265"/>
  <c r="Z116" i="265"/>
  <c r="Y116" i="265"/>
  <c r="X116" i="265"/>
  <c r="W116" i="265"/>
  <c r="P116" i="265"/>
  <c r="O116" i="265"/>
  <c r="N116" i="265"/>
  <c r="AC116" i="265" s="1"/>
  <c r="M116" i="265"/>
  <c r="AP115" i="265"/>
  <c r="AI115" i="265"/>
  <c r="AH115" i="265"/>
  <c r="AF115" i="265"/>
  <c r="AE115" i="265"/>
  <c r="AA115" i="265"/>
  <c r="Z115" i="265"/>
  <c r="Y115" i="265"/>
  <c r="X115" i="265"/>
  <c r="W115" i="265"/>
  <c r="P115" i="265"/>
  <c r="O115" i="265"/>
  <c r="AD115" i="265" s="1"/>
  <c r="N115" i="265"/>
  <c r="AC115" i="265" s="1"/>
  <c r="M115" i="265"/>
  <c r="AP114" i="265"/>
  <c r="AI114" i="265"/>
  <c r="AH114" i="265"/>
  <c r="AF114" i="265"/>
  <c r="AE114" i="265"/>
  <c r="AB114" i="265"/>
  <c r="AA114" i="265"/>
  <c r="Z114" i="265"/>
  <c r="Y114" i="265"/>
  <c r="X114" i="265"/>
  <c r="W114" i="265"/>
  <c r="P114" i="265"/>
  <c r="O114" i="265"/>
  <c r="N114" i="265"/>
  <c r="AO114" i="265" s="1"/>
  <c r="AV114" i="265" s="1"/>
  <c r="M114" i="265"/>
  <c r="AP113" i="265"/>
  <c r="AN113" i="265"/>
  <c r="AI113" i="265"/>
  <c r="AT113" i="265" s="1"/>
  <c r="AH113" i="265"/>
  <c r="AF113" i="265"/>
  <c r="AE113" i="265"/>
  <c r="AC113" i="265"/>
  <c r="AB113" i="265"/>
  <c r="AA113" i="265"/>
  <c r="Z113" i="265"/>
  <c r="Y113" i="265"/>
  <c r="X113" i="265"/>
  <c r="W113" i="265"/>
  <c r="P113" i="265"/>
  <c r="O113" i="265"/>
  <c r="AQ113" i="265" s="1"/>
  <c r="N113" i="265"/>
  <c r="AO113" i="265" s="1"/>
  <c r="AV113" i="265" s="1"/>
  <c r="M113" i="265"/>
  <c r="AV112" i="265"/>
  <c r="AR112" i="265"/>
  <c r="AP112" i="265"/>
  <c r="AO112" i="265"/>
  <c r="AN112" i="265"/>
  <c r="AI112" i="265"/>
  <c r="AT112" i="265" s="1"/>
  <c r="AH112" i="265"/>
  <c r="AF112" i="265"/>
  <c r="AE112" i="265"/>
  <c r="AD112" i="265"/>
  <c r="AC112" i="265"/>
  <c r="AA112" i="265"/>
  <c r="Z112" i="265"/>
  <c r="Y112" i="265"/>
  <c r="X112" i="265"/>
  <c r="W112" i="265"/>
  <c r="P112" i="265"/>
  <c r="O112" i="265"/>
  <c r="N112" i="265"/>
  <c r="M112" i="265"/>
  <c r="AB112" i="265" s="1"/>
  <c r="AI111" i="265"/>
  <c r="AH111" i="265"/>
  <c r="W111" i="265"/>
  <c r="AT110" i="265"/>
  <c r="AP110" i="265"/>
  <c r="AI110" i="265"/>
  <c r="AH110" i="265"/>
  <c r="AF110" i="265"/>
  <c r="AE110" i="265"/>
  <c r="AB110" i="265"/>
  <c r="AA110" i="265"/>
  <c r="Z110" i="265"/>
  <c r="Y110" i="265"/>
  <c r="X110" i="265"/>
  <c r="W110" i="265"/>
  <c r="P110" i="265"/>
  <c r="O110" i="265"/>
  <c r="AD110" i="265" s="1"/>
  <c r="N110" i="265"/>
  <c r="AO110" i="265" s="1"/>
  <c r="AV110" i="265" s="1"/>
  <c r="M110" i="265"/>
  <c r="AP109" i="265"/>
  <c r="AN109" i="265"/>
  <c r="AI109" i="265"/>
  <c r="AJ109" i="265" s="1"/>
  <c r="AH109" i="265"/>
  <c r="AF109" i="265"/>
  <c r="AE109" i="265"/>
  <c r="AD109" i="265"/>
  <c r="AC109" i="265"/>
  <c r="AB109" i="265"/>
  <c r="AA109" i="265"/>
  <c r="Z109" i="265"/>
  <c r="Y109" i="265"/>
  <c r="X109" i="265"/>
  <c r="W109" i="265"/>
  <c r="P109" i="265"/>
  <c r="O109" i="265"/>
  <c r="N109" i="265"/>
  <c r="AO109" i="265" s="1"/>
  <c r="AV109" i="265" s="1"/>
  <c r="M109" i="265"/>
  <c r="AT108" i="265"/>
  <c r="AP108" i="265"/>
  <c r="AO108" i="265"/>
  <c r="AV108" i="265" s="1"/>
  <c r="AI108" i="265"/>
  <c r="AH108" i="265"/>
  <c r="AF108" i="265"/>
  <c r="AE108" i="265"/>
  <c r="AD108" i="265"/>
  <c r="AC108" i="265"/>
  <c r="AA108" i="265"/>
  <c r="Z108" i="265"/>
  <c r="Y108" i="265"/>
  <c r="X108" i="265"/>
  <c r="W108" i="265"/>
  <c r="P108" i="265"/>
  <c r="O108" i="265"/>
  <c r="N108" i="265"/>
  <c r="M108" i="265"/>
  <c r="AT107" i="265"/>
  <c r="AP107" i="265"/>
  <c r="AN107" i="265"/>
  <c r="AJ107" i="265"/>
  <c r="AI107" i="265"/>
  <c r="AH107" i="265"/>
  <c r="AF107" i="265"/>
  <c r="AE107" i="265"/>
  <c r="AD107" i="265"/>
  <c r="AC107" i="265"/>
  <c r="AA107" i="265"/>
  <c r="Z107" i="265"/>
  <c r="Y107" i="265"/>
  <c r="X107" i="265"/>
  <c r="W107" i="265"/>
  <c r="P107" i="265"/>
  <c r="O107" i="265"/>
  <c r="N107" i="265"/>
  <c r="AO107" i="265" s="1"/>
  <c r="AV107" i="265" s="1"/>
  <c r="M107" i="265"/>
  <c r="AI106" i="265"/>
  <c r="AH106" i="265"/>
  <c r="W106" i="265"/>
  <c r="AT105" i="265"/>
  <c r="AP105" i="265"/>
  <c r="AI105" i="265"/>
  <c r="AH105" i="265"/>
  <c r="AF105" i="265"/>
  <c r="AE105" i="265"/>
  <c r="AD105" i="265"/>
  <c r="AC105" i="265"/>
  <c r="AB105" i="265"/>
  <c r="AA105" i="265"/>
  <c r="Z105" i="265"/>
  <c r="Y105" i="265"/>
  <c r="X105" i="265"/>
  <c r="W105" i="265"/>
  <c r="P105" i="265"/>
  <c r="O105" i="265"/>
  <c r="N105" i="265"/>
  <c r="AO105" i="265" s="1"/>
  <c r="AV105" i="265" s="1"/>
  <c r="M105" i="265"/>
  <c r="AV104" i="265"/>
  <c r="AP104" i="265"/>
  <c r="AO104" i="265"/>
  <c r="AN104" i="265"/>
  <c r="AI104" i="265"/>
  <c r="AJ104" i="265" s="1"/>
  <c r="AH104" i="265"/>
  <c r="AF104" i="265"/>
  <c r="AE104" i="265"/>
  <c r="AD104" i="265"/>
  <c r="AC104" i="265"/>
  <c r="AB104" i="265"/>
  <c r="AA104" i="265"/>
  <c r="Z104" i="265"/>
  <c r="Y104" i="265"/>
  <c r="X104" i="265"/>
  <c r="W104" i="265"/>
  <c r="P104" i="265"/>
  <c r="O104" i="265"/>
  <c r="N104" i="265"/>
  <c r="M104" i="265"/>
  <c r="AT103" i="265"/>
  <c r="AP103" i="265"/>
  <c r="AN103" i="265"/>
  <c r="AI103" i="265"/>
  <c r="AH103" i="265"/>
  <c r="AF103" i="265"/>
  <c r="AE103" i="265"/>
  <c r="AD103" i="265"/>
  <c r="AA103" i="265"/>
  <c r="Z103" i="265"/>
  <c r="Y103" i="265"/>
  <c r="X103" i="265"/>
  <c r="W103" i="265"/>
  <c r="P103" i="265"/>
  <c r="O103" i="265"/>
  <c r="N103" i="265"/>
  <c r="AO103" i="265" s="1"/>
  <c r="AV103" i="265" s="1"/>
  <c r="M103" i="265"/>
  <c r="AT102" i="265"/>
  <c r="AP102" i="265"/>
  <c r="AI102" i="265"/>
  <c r="AH102" i="265"/>
  <c r="AF102" i="265"/>
  <c r="AE102" i="265"/>
  <c r="AD102" i="265"/>
  <c r="AA102" i="265"/>
  <c r="Z102" i="265"/>
  <c r="Y102" i="265"/>
  <c r="X102" i="265"/>
  <c r="W102" i="265"/>
  <c r="P102" i="265"/>
  <c r="O102" i="265"/>
  <c r="N102" i="265"/>
  <c r="M102" i="265"/>
  <c r="AR101" i="265"/>
  <c r="AP101" i="265"/>
  <c r="AI101" i="265"/>
  <c r="AH101" i="265"/>
  <c r="AF101" i="265"/>
  <c r="AE101" i="265"/>
  <c r="AA101" i="265"/>
  <c r="Z101" i="265"/>
  <c r="Y101" i="265"/>
  <c r="X101" i="265"/>
  <c r="W101" i="265"/>
  <c r="P101" i="265"/>
  <c r="O101" i="265"/>
  <c r="N101" i="265"/>
  <c r="AC101" i="265" s="1"/>
  <c r="M101" i="265"/>
  <c r="AB101" i="265" s="1"/>
  <c r="AT100" i="265"/>
  <c r="AP100" i="265"/>
  <c r="AJ100" i="265"/>
  <c r="AI100" i="265"/>
  <c r="AN100" i="265" s="1"/>
  <c r="AH100" i="265"/>
  <c r="AF100" i="265"/>
  <c r="AE100" i="265"/>
  <c r="AB100" i="265"/>
  <c r="AA100" i="265"/>
  <c r="Z100" i="265"/>
  <c r="Y100" i="265"/>
  <c r="X100" i="265"/>
  <c r="W100" i="265"/>
  <c r="P100" i="265"/>
  <c r="O100" i="265"/>
  <c r="AD100" i="265" s="1"/>
  <c r="N100" i="265"/>
  <c r="AO100" i="265" s="1"/>
  <c r="AV100" i="265" s="1"/>
  <c r="M100" i="265"/>
  <c r="AP99" i="265"/>
  <c r="AI99" i="265"/>
  <c r="AH99" i="265"/>
  <c r="AF99" i="265"/>
  <c r="AE99" i="265"/>
  <c r="AC99" i="265"/>
  <c r="AB99" i="265"/>
  <c r="AA99" i="265"/>
  <c r="Z99" i="265"/>
  <c r="Y99" i="265"/>
  <c r="X99" i="265"/>
  <c r="W99" i="265"/>
  <c r="P99" i="265"/>
  <c r="O99" i="265"/>
  <c r="N99" i="265"/>
  <c r="AO99" i="265" s="1"/>
  <c r="AV99" i="265" s="1"/>
  <c r="M99" i="265"/>
  <c r="AP98" i="265"/>
  <c r="AO98" i="265"/>
  <c r="AV98" i="265" s="1"/>
  <c r="AI98" i="265"/>
  <c r="AH98" i="265"/>
  <c r="AF98" i="265"/>
  <c r="AE98" i="265"/>
  <c r="AD98" i="265"/>
  <c r="AC98" i="265"/>
  <c r="AB98" i="265"/>
  <c r="AA98" i="265"/>
  <c r="Z98" i="265"/>
  <c r="Y98" i="265"/>
  <c r="X98" i="265"/>
  <c r="W98" i="265"/>
  <c r="P98" i="265"/>
  <c r="O98" i="265"/>
  <c r="N98" i="265"/>
  <c r="M98" i="265"/>
  <c r="AR98" i="265" s="1"/>
  <c r="AI97" i="265"/>
  <c r="AH97" i="265"/>
  <c r="W97" i="265"/>
  <c r="AP96" i="265"/>
  <c r="AI96" i="265"/>
  <c r="AH96" i="265"/>
  <c r="AF96" i="265"/>
  <c r="AE96" i="265"/>
  <c r="AB96" i="265"/>
  <c r="AA96" i="265"/>
  <c r="Z96" i="265"/>
  <c r="Y96" i="265"/>
  <c r="X96" i="265"/>
  <c r="W96" i="265"/>
  <c r="P96" i="265"/>
  <c r="O96" i="265"/>
  <c r="AD96" i="265" s="1"/>
  <c r="N96" i="265"/>
  <c r="M96" i="265"/>
  <c r="AP95" i="265"/>
  <c r="AN95" i="265"/>
  <c r="AJ95" i="265"/>
  <c r="AI95" i="265"/>
  <c r="AT95" i="265" s="1"/>
  <c r="AH95" i="265"/>
  <c r="AF95" i="265"/>
  <c r="AE95" i="265"/>
  <c r="AD95" i="265"/>
  <c r="AC95" i="265"/>
  <c r="AB95" i="265"/>
  <c r="AA95" i="265"/>
  <c r="Z95" i="265"/>
  <c r="Y95" i="265"/>
  <c r="X95" i="265"/>
  <c r="W95" i="265"/>
  <c r="P95" i="265"/>
  <c r="O95" i="265"/>
  <c r="N95" i="265"/>
  <c r="AO95" i="265" s="1"/>
  <c r="AV95" i="265" s="1"/>
  <c r="M95" i="265"/>
  <c r="AP94" i="265"/>
  <c r="AO94" i="265"/>
  <c r="AV94" i="265" s="1"/>
  <c r="AN94" i="265"/>
  <c r="AI94" i="265"/>
  <c r="AT94" i="265" s="1"/>
  <c r="AH94" i="265"/>
  <c r="AF94" i="265"/>
  <c r="AE94" i="265"/>
  <c r="AD94" i="265"/>
  <c r="AC94" i="265"/>
  <c r="AA94" i="265"/>
  <c r="Z94" i="265"/>
  <c r="Y94" i="265"/>
  <c r="X94" i="265"/>
  <c r="W94" i="265"/>
  <c r="P94" i="265"/>
  <c r="O94" i="265"/>
  <c r="N94" i="265"/>
  <c r="M94" i="265"/>
  <c r="AI93" i="265"/>
  <c r="AH93" i="265"/>
  <c r="W93" i="265"/>
  <c r="AP92" i="265"/>
  <c r="AJ92" i="265"/>
  <c r="AI92" i="265"/>
  <c r="AT92" i="265" s="1"/>
  <c r="AH92" i="265"/>
  <c r="AF92" i="265"/>
  <c r="AE92" i="265"/>
  <c r="AC92" i="265"/>
  <c r="AB92" i="265"/>
  <c r="AA92" i="265"/>
  <c r="Z92" i="265"/>
  <c r="Y92" i="265"/>
  <c r="X92" i="265"/>
  <c r="W92" i="265"/>
  <c r="P92" i="265"/>
  <c r="O92" i="265"/>
  <c r="AD92" i="265" s="1"/>
  <c r="N92" i="265"/>
  <c r="AO92" i="265" s="1"/>
  <c r="AV92" i="265" s="1"/>
  <c r="M92" i="265"/>
  <c r="AR91" i="265"/>
  <c r="AP91" i="265"/>
  <c r="AN91" i="265"/>
  <c r="AI91" i="265"/>
  <c r="AT91" i="265" s="1"/>
  <c r="AH91" i="265"/>
  <c r="AF91" i="265"/>
  <c r="AE91" i="265"/>
  <c r="AD91" i="265"/>
  <c r="AC91" i="265"/>
  <c r="AB91" i="265"/>
  <c r="AA91" i="265"/>
  <c r="Z91" i="265"/>
  <c r="Y91" i="265"/>
  <c r="X91" i="265"/>
  <c r="W91" i="265"/>
  <c r="P91" i="265"/>
  <c r="O91" i="265"/>
  <c r="N91" i="265"/>
  <c r="AO91" i="265" s="1"/>
  <c r="AV91" i="265" s="1"/>
  <c r="M91" i="265"/>
  <c r="AV90" i="265"/>
  <c r="AP90" i="265"/>
  <c r="AO90" i="265"/>
  <c r="AN90" i="265"/>
  <c r="AJ90" i="265"/>
  <c r="AI90" i="265"/>
  <c r="AT90" i="265" s="1"/>
  <c r="AH90" i="265"/>
  <c r="AF90" i="265"/>
  <c r="AE90" i="265"/>
  <c r="AD90" i="265"/>
  <c r="AC90" i="265"/>
  <c r="AB90" i="265"/>
  <c r="AA90" i="265"/>
  <c r="Z90" i="265"/>
  <c r="Y90" i="265"/>
  <c r="X90" i="265"/>
  <c r="W90" i="265"/>
  <c r="P90" i="265"/>
  <c r="O90" i="265"/>
  <c r="N90" i="265"/>
  <c r="M90" i="265"/>
  <c r="AT89" i="265"/>
  <c r="AP89" i="265"/>
  <c r="AJ89" i="265"/>
  <c r="AI89" i="265"/>
  <c r="AH89" i="265"/>
  <c r="AF89" i="265"/>
  <c r="AE89" i="265"/>
  <c r="AD89" i="265"/>
  <c r="AC89" i="265"/>
  <c r="AA89" i="265"/>
  <c r="Z89" i="265"/>
  <c r="Y89" i="265"/>
  <c r="X89" i="265"/>
  <c r="W89" i="265"/>
  <c r="P89" i="265"/>
  <c r="O89" i="265"/>
  <c r="N89" i="265"/>
  <c r="AO89" i="265" s="1"/>
  <c r="AV89" i="265" s="1"/>
  <c r="M89" i="265"/>
  <c r="AI88" i="265"/>
  <c r="AH88" i="265"/>
  <c r="W88" i="265"/>
  <c r="AR87" i="265"/>
  <c r="AP87" i="265"/>
  <c r="AI87" i="265"/>
  <c r="AJ87" i="265" s="1"/>
  <c r="AH87" i="265"/>
  <c r="AF87" i="265"/>
  <c r="AE87" i="265"/>
  <c r="AC87" i="265"/>
  <c r="AB87" i="265"/>
  <c r="AA87" i="265"/>
  <c r="Z87" i="265"/>
  <c r="Y87" i="265"/>
  <c r="X87" i="265"/>
  <c r="W87" i="265"/>
  <c r="P87" i="265"/>
  <c r="O87" i="265"/>
  <c r="N87" i="265"/>
  <c r="AO87" i="265" s="1"/>
  <c r="AV87" i="265" s="1"/>
  <c r="M87" i="265"/>
  <c r="AI86" i="265"/>
  <c r="AH86" i="265"/>
  <c r="W86" i="265"/>
  <c r="AV85" i="265"/>
  <c r="AP85" i="265"/>
  <c r="AO85" i="265"/>
  <c r="AN85" i="265"/>
  <c r="AI85" i="265"/>
  <c r="AH85" i="265"/>
  <c r="AF85" i="265"/>
  <c r="AE85" i="265"/>
  <c r="AD85" i="265"/>
  <c r="AA85" i="265"/>
  <c r="Z85" i="265"/>
  <c r="Y85" i="265"/>
  <c r="X85" i="265"/>
  <c r="W85" i="265"/>
  <c r="P85" i="265"/>
  <c r="O85" i="265"/>
  <c r="N85" i="265"/>
  <c r="AC85" i="265" s="1"/>
  <c r="M85" i="265"/>
  <c r="AR85" i="265" s="1"/>
  <c r="AT84" i="265"/>
  <c r="AP84" i="265"/>
  <c r="AN84" i="265"/>
  <c r="AI84" i="265"/>
  <c r="AH84" i="265"/>
  <c r="AF84" i="265"/>
  <c r="AE84" i="265"/>
  <c r="AD84" i="265"/>
  <c r="AA84" i="265"/>
  <c r="Z84" i="265"/>
  <c r="Y84" i="265"/>
  <c r="X84" i="265"/>
  <c r="W84" i="265"/>
  <c r="P84" i="265"/>
  <c r="O84" i="265"/>
  <c r="N84" i="265"/>
  <c r="AC84" i="265" s="1"/>
  <c r="M84" i="265"/>
  <c r="AI83" i="265"/>
  <c r="AH83" i="265"/>
  <c r="W83" i="265"/>
  <c r="AR82" i="265"/>
  <c r="AP82" i="265"/>
  <c r="AI82" i="265"/>
  <c r="AN82" i="265" s="1"/>
  <c r="AH82" i="265"/>
  <c r="AF82" i="265"/>
  <c r="AE82" i="265"/>
  <c r="AC82" i="265"/>
  <c r="AB82" i="265"/>
  <c r="AA82" i="265"/>
  <c r="Z82" i="265"/>
  <c r="Y82" i="265"/>
  <c r="X82" i="265"/>
  <c r="W82" i="265"/>
  <c r="P82" i="265"/>
  <c r="O82" i="265"/>
  <c r="AD82" i="265" s="1"/>
  <c r="N82" i="265"/>
  <c r="AO82" i="265" s="1"/>
  <c r="AV82" i="265" s="1"/>
  <c r="M82" i="265"/>
  <c r="AR81" i="265"/>
  <c r="AP81" i="265"/>
  <c r="AO81" i="265"/>
  <c r="AV81" i="265" s="1"/>
  <c r="AI81" i="265"/>
  <c r="AN81" i="265" s="1"/>
  <c r="AH81" i="265"/>
  <c r="AF81" i="265"/>
  <c r="AE81" i="265"/>
  <c r="AD81" i="265"/>
  <c r="AC81" i="265"/>
  <c r="AA81" i="265"/>
  <c r="Z81" i="265"/>
  <c r="Y81" i="265"/>
  <c r="X81" i="265"/>
  <c r="W81" i="265"/>
  <c r="P81" i="265"/>
  <c r="O81" i="265"/>
  <c r="N81" i="265"/>
  <c r="M81" i="265"/>
  <c r="AB81" i="265" s="1"/>
  <c r="AT80" i="265"/>
  <c r="AP80" i="265"/>
  <c r="AN80" i="265"/>
  <c r="AI80" i="265"/>
  <c r="AH80" i="265"/>
  <c r="AF80" i="265"/>
  <c r="AE80" i="265"/>
  <c r="AD80" i="265"/>
  <c r="AA80" i="265"/>
  <c r="Z80" i="265"/>
  <c r="Y80" i="265"/>
  <c r="X80" i="265"/>
  <c r="W80" i="265"/>
  <c r="P80" i="265"/>
  <c r="O80" i="265"/>
  <c r="N80" i="265"/>
  <c r="AC80" i="265" s="1"/>
  <c r="M80" i="265"/>
  <c r="AI79" i="265"/>
  <c r="AH79" i="265"/>
  <c r="W79" i="265"/>
  <c r="AR78" i="265"/>
  <c r="AP78" i="265"/>
  <c r="AI78" i="265"/>
  <c r="AN78" i="265" s="1"/>
  <c r="AH78" i="265"/>
  <c r="AF78" i="265"/>
  <c r="AE78" i="265"/>
  <c r="AC78" i="265"/>
  <c r="AB78" i="265"/>
  <c r="AA78" i="265"/>
  <c r="Z78" i="265"/>
  <c r="Y78" i="265"/>
  <c r="X78" i="265"/>
  <c r="W78" i="265"/>
  <c r="P78" i="265"/>
  <c r="O78" i="265"/>
  <c r="AD78" i="265" s="1"/>
  <c r="N78" i="265"/>
  <c r="AO78" i="265" s="1"/>
  <c r="AV78" i="265" s="1"/>
  <c r="M78" i="265"/>
  <c r="AR77" i="265"/>
  <c r="AP77" i="265"/>
  <c r="AO77" i="265"/>
  <c r="AV77" i="265" s="1"/>
  <c r="AI77" i="265"/>
  <c r="AN77" i="265" s="1"/>
  <c r="AH77" i="265"/>
  <c r="AF77" i="265"/>
  <c r="AE77" i="265"/>
  <c r="AD77" i="265"/>
  <c r="AC77" i="265"/>
  <c r="AA77" i="265"/>
  <c r="Z77" i="265"/>
  <c r="Y77" i="265"/>
  <c r="X77" i="265"/>
  <c r="W77" i="265"/>
  <c r="P77" i="265"/>
  <c r="O77" i="265"/>
  <c r="N77" i="265"/>
  <c r="M77" i="265"/>
  <c r="AB77" i="265" s="1"/>
  <c r="AT76" i="265"/>
  <c r="AP76" i="265"/>
  <c r="AN76" i="265"/>
  <c r="AI76" i="265"/>
  <c r="AH76" i="265"/>
  <c r="AF76" i="265"/>
  <c r="AE76" i="265"/>
  <c r="AD76" i="265"/>
  <c r="AA76" i="265"/>
  <c r="Z76" i="265"/>
  <c r="Y76" i="265"/>
  <c r="X76" i="265"/>
  <c r="W76" i="265"/>
  <c r="P76" i="265"/>
  <c r="O76" i="265"/>
  <c r="N76" i="265"/>
  <c r="AC76" i="265" s="1"/>
  <c r="M76" i="265"/>
  <c r="AI75" i="265"/>
  <c r="AH75" i="265"/>
  <c r="W75" i="265"/>
  <c r="AR74" i="265"/>
  <c r="AP74" i="265"/>
  <c r="AI74" i="265"/>
  <c r="AN74" i="265" s="1"/>
  <c r="AH74" i="265"/>
  <c r="AF74" i="265"/>
  <c r="AE74" i="265"/>
  <c r="AC74" i="265"/>
  <c r="AB74" i="265"/>
  <c r="AA74" i="265"/>
  <c r="Z74" i="265"/>
  <c r="Y74" i="265"/>
  <c r="X74" i="265"/>
  <c r="W74" i="265"/>
  <c r="P74" i="265"/>
  <c r="O74" i="265"/>
  <c r="AD74" i="265" s="1"/>
  <c r="N74" i="265"/>
  <c r="AO74" i="265" s="1"/>
  <c r="AV74" i="265" s="1"/>
  <c r="M74" i="265"/>
  <c r="AR73" i="265"/>
  <c r="AP73" i="265"/>
  <c r="AO73" i="265"/>
  <c r="AV73" i="265" s="1"/>
  <c r="AI73" i="265"/>
  <c r="AN73" i="265" s="1"/>
  <c r="AH73" i="265"/>
  <c r="AF73" i="265"/>
  <c r="AE73" i="265"/>
  <c r="AD73" i="265"/>
  <c r="AC73" i="265"/>
  <c r="AA73" i="265"/>
  <c r="Z73" i="265"/>
  <c r="Y73" i="265"/>
  <c r="X73" i="265"/>
  <c r="W73" i="265"/>
  <c r="P73" i="265"/>
  <c r="O73" i="265"/>
  <c r="N73" i="265"/>
  <c r="M73" i="265"/>
  <c r="AB73" i="265" s="1"/>
  <c r="AT72" i="265"/>
  <c r="AP72" i="265"/>
  <c r="AN72" i="265"/>
  <c r="AI72" i="265"/>
  <c r="AH72" i="265"/>
  <c r="AF72" i="265"/>
  <c r="AE72" i="265"/>
  <c r="AD72" i="265"/>
  <c r="AA72" i="265"/>
  <c r="Z72" i="265"/>
  <c r="Y72" i="265"/>
  <c r="X72" i="265"/>
  <c r="W72" i="265"/>
  <c r="P72" i="265"/>
  <c r="O72" i="265"/>
  <c r="N72" i="265"/>
  <c r="AC72" i="265" s="1"/>
  <c r="M72" i="265"/>
  <c r="AT71" i="265"/>
  <c r="AP71" i="265"/>
  <c r="AO71" i="265"/>
  <c r="AV71" i="265" s="1"/>
  <c r="AN71" i="265"/>
  <c r="AI71" i="265"/>
  <c r="AH71" i="265"/>
  <c r="AF71" i="265"/>
  <c r="AE71" i="265"/>
  <c r="AD71" i="265"/>
  <c r="AA71" i="265"/>
  <c r="Z71" i="265"/>
  <c r="Y71" i="265"/>
  <c r="X71" i="265"/>
  <c r="W71" i="265"/>
  <c r="P71" i="265"/>
  <c r="O71" i="265"/>
  <c r="AQ71" i="265" s="1"/>
  <c r="N71" i="265"/>
  <c r="AC71" i="265" s="1"/>
  <c r="M71" i="265"/>
  <c r="AR70" i="265"/>
  <c r="AP70" i="265"/>
  <c r="AO70" i="265"/>
  <c r="AV70" i="265" s="1"/>
  <c r="AI70" i="265"/>
  <c r="AH70" i="265"/>
  <c r="AF70" i="265"/>
  <c r="AE70" i="265"/>
  <c r="AB70" i="265"/>
  <c r="AA70" i="265"/>
  <c r="Z70" i="265"/>
  <c r="Y70" i="265"/>
  <c r="X70" i="265"/>
  <c r="W70" i="265"/>
  <c r="P70" i="265"/>
  <c r="O70" i="265"/>
  <c r="AD70" i="265" s="1"/>
  <c r="N70" i="265"/>
  <c r="AC70" i="265" s="1"/>
  <c r="M70" i="265"/>
  <c r="AI69" i="265"/>
  <c r="AH69" i="265"/>
  <c r="W69" i="265"/>
  <c r="AT68" i="265"/>
  <c r="AP68" i="265"/>
  <c r="AO68" i="265"/>
  <c r="AV68" i="265" s="1"/>
  <c r="AN68" i="265"/>
  <c r="AJ68" i="265"/>
  <c r="AI68" i="265"/>
  <c r="AH68" i="265"/>
  <c r="AF68" i="265"/>
  <c r="AE68" i="265"/>
  <c r="AD68" i="265"/>
  <c r="AC68" i="265"/>
  <c r="AA68" i="265"/>
  <c r="Z68" i="265"/>
  <c r="Y68" i="265"/>
  <c r="X68" i="265"/>
  <c r="W68" i="265"/>
  <c r="P68" i="265"/>
  <c r="O68" i="265"/>
  <c r="N68" i="265"/>
  <c r="M68" i="265"/>
  <c r="AV67" i="265"/>
  <c r="AT67" i="265"/>
  <c r="AP67" i="265"/>
  <c r="AO67" i="265"/>
  <c r="AN67" i="265"/>
  <c r="AI67" i="265"/>
  <c r="AH67" i="265"/>
  <c r="AF67" i="265"/>
  <c r="AE67" i="265"/>
  <c r="AA67" i="265"/>
  <c r="Z67" i="265"/>
  <c r="Y67" i="265"/>
  <c r="X67" i="265"/>
  <c r="W67" i="265"/>
  <c r="P67" i="265"/>
  <c r="O67" i="265"/>
  <c r="AQ67" i="265" s="1"/>
  <c r="N67" i="265"/>
  <c r="AC67" i="265" s="1"/>
  <c r="M67" i="265"/>
  <c r="AP66" i="265"/>
  <c r="AI66" i="265"/>
  <c r="AH66" i="265"/>
  <c r="AF66" i="265"/>
  <c r="AE66" i="265"/>
  <c r="AB66" i="265"/>
  <c r="AA66" i="265"/>
  <c r="Z66" i="265"/>
  <c r="Y66" i="265"/>
  <c r="X66" i="265"/>
  <c r="W66" i="265"/>
  <c r="P66" i="265"/>
  <c r="O66" i="265"/>
  <c r="AD66" i="265" s="1"/>
  <c r="N66" i="265"/>
  <c r="AC66" i="265" s="1"/>
  <c r="M66" i="265"/>
  <c r="AT65" i="265"/>
  <c r="AR65" i="265"/>
  <c r="AP65" i="265"/>
  <c r="AJ65" i="265"/>
  <c r="AI65" i="265"/>
  <c r="AN65" i="265" s="1"/>
  <c r="AH65" i="265"/>
  <c r="AF65" i="265"/>
  <c r="AE65" i="265"/>
  <c r="AC65" i="265"/>
  <c r="AB65" i="265"/>
  <c r="AA65" i="265"/>
  <c r="Z65" i="265"/>
  <c r="Y65" i="265"/>
  <c r="X65" i="265"/>
  <c r="W65" i="265"/>
  <c r="P65" i="265"/>
  <c r="O65" i="265"/>
  <c r="AD65" i="265" s="1"/>
  <c r="N65" i="265"/>
  <c r="AO65" i="265" s="1"/>
  <c r="AV65" i="265" s="1"/>
  <c r="M65" i="265"/>
  <c r="AI64" i="265"/>
  <c r="AH64" i="265"/>
  <c r="W64" i="265"/>
  <c r="AT63" i="265"/>
  <c r="AP63" i="265"/>
  <c r="AO63" i="265"/>
  <c r="AV63" i="265" s="1"/>
  <c r="AN63" i="265"/>
  <c r="AI63" i="265"/>
  <c r="AH63" i="265"/>
  <c r="AF63" i="265"/>
  <c r="AE63" i="265"/>
  <c r="AD63" i="265"/>
  <c r="AA63" i="265"/>
  <c r="Z63" i="265"/>
  <c r="Y63" i="265"/>
  <c r="X63" i="265"/>
  <c r="W63" i="265"/>
  <c r="P63" i="265"/>
  <c r="O63" i="265"/>
  <c r="N63" i="265"/>
  <c r="AC63" i="265" s="1"/>
  <c r="M63" i="265"/>
  <c r="AP62" i="265"/>
  <c r="AI62" i="265"/>
  <c r="AH62" i="265"/>
  <c r="AF62" i="265"/>
  <c r="AE62" i="265"/>
  <c r="AA62" i="265"/>
  <c r="Z62" i="265"/>
  <c r="Y62" i="265"/>
  <c r="X62" i="265"/>
  <c r="W62" i="265"/>
  <c r="P62" i="265"/>
  <c r="O62" i="265"/>
  <c r="AD62" i="265" s="1"/>
  <c r="N62" i="265"/>
  <c r="AC62" i="265" s="1"/>
  <c r="M62" i="265"/>
  <c r="AB62" i="265" s="1"/>
  <c r="AR61" i="265"/>
  <c r="AP61" i="265"/>
  <c r="AI61" i="265"/>
  <c r="AN61" i="265" s="1"/>
  <c r="AH61" i="265"/>
  <c r="AF61" i="265"/>
  <c r="AE61" i="265"/>
  <c r="AB61" i="265"/>
  <c r="AA61" i="265"/>
  <c r="Z61" i="265"/>
  <c r="Y61" i="265"/>
  <c r="X61" i="265"/>
  <c r="W61" i="265"/>
  <c r="P61" i="265"/>
  <c r="O61" i="265"/>
  <c r="AD61" i="265" s="1"/>
  <c r="N61" i="265"/>
  <c r="AO61" i="265" s="1"/>
  <c r="AV61" i="265" s="1"/>
  <c r="M61" i="265"/>
  <c r="AR60" i="265"/>
  <c r="AP60" i="265"/>
  <c r="AN60" i="265"/>
  <c r="AI60" i="265"/>
  <c r="AJ60" i="265" s="1"/>
  <c r="AH60" i="265"/>
  <c r="AF60" i="265"/>
  <c r="AE60" i="265"/>
  <c r="AD60" i="265"/>
  <c r="AC60" i="265"/>
  <c r="AB60" i="265"/>
  <c r="AA60" i="265"/>
  <c r="Z60" i="265"/>
  <c r="Y60" i="265"/>
  <c r="X60" i="265"/>
  <c r="W60" i="265"/>
  <c r="P60" i="265"/>
  <c r="O60" i="265"/>
  <c r="N60" i="265"/>
  <c r="AO60" i="265" s="1"/>
  <c r="AV60" i="265" s="1"/>
  <c r="M60" i="265"/>
  <c r="AV59" i="265"/>
  <c r="AR59" i="265"/>
  <c r="AP59" i="265"/>
  <c r="AO59" i="265"/>
  <c r="AN59" i="265"/>
  <c r="AI59" i="265"/>
  <c r="AJ59" i="265" s="1"/>
  <c r="AH59" i="265"/>
  <c r="AF59" i="265"/>
  <c r="AE59" i="265"/>
  <c r="AD59" i="265"/>
  <c r="AC59" i="265"/>
  <c r="AA59" i="265"/>
  <c r="Z59" i="265"/>
  <c r="Y59" i="265"/>
  <c r="X59" i="265"/>
  <c r="W59" i="265"/>
  <c r="P59" i="265"/>
  <c r="O59" i="265"/>
  <c r="N59" i="265"/>
  <c r="M59" i="265"/>
  <c r="AB59" i="265" s="1"/>
  <c r="AT58" i="265"/>
  <c r="AP58" i="265"/>
  <c r="AO58" i="265"/>
  <c r="AV58" i="265" s="1"/>
  <c r="AN58" i="265"/>
  <c r="AJ58" i="265"/>
  <c r="AI58" i="265"/>
  <c r="AH58" i="265"/>
  <c r="AF58" i="265"/>
  <c r="AE58" i="265"/>
  <c r="AD58" i="265"/>
  <c r="AC58" i="265"/>
  <c r="AA58" i="265"/>
  <c r="Z58" i="265"/>
  <c r="Y58" i="265"/>
  <c r="X58" i="265"/>
  <c r="W58" i="265"/>
  <c r="P58" i="265"/>
  <c r="O58" i="265"/>
  <c r="N58" i="265"/>
  <c r="M58" i="265"/>
  <c r="AV57" i="265"/>
  <c r="AT57" i="265"/>
  <c r="AP57" i="265"/>
  <c r="AO57" i="265"/>
  <c r="AN57" i="265"/>
  <c r="AI57" i="265"/>
  <c r="AH57" i="265"/>
  <c r="AF57" i="265"/>
  <c r="AE57" i="265"/>
  <c r="AA57" i="265"/>
  <c r="Z57" i="265"/>
  <c r="Y57" i="265"/>
  <c r="X57" i="265"/>
  <c r="W57" i="265"/>
  <c r="P57" i="265"/>
  <c r="O57" i="265"/>
  <c r="AQ57" i="265" s="1"/>
  <c r="N57" i="265"/>
  <c r="AC57" i="265" s="1"/>
  <c r="M57" i="265"/>
  <c r="AI56" i="265"/>
  <c r="AH56" i="265"/>
  <c r="W56" i="265"/>
  <c r="AV55" i="265"/>
  <c r="AP55" i="265"/>
  <c r="AO55" i="265"/>
  <c r="AN55" i="265"/>
  <c r="AI55" i="265"/>
  <c r="AJ55" i="265" s="1"/>
  <c r="AH55" i="265"/>
  <c r="AF55" i="265"/>
  <c r="AE55" i="265"/>
  <c r="AD55" i="265"/>
  <c r="AC55" i="265"/>
  <c r="AB55" i="265"/>
  <c r="AA55" i="265"/>
  <c r="Z55" i="265"/>
  <c r="Y55" i="265"/>
  <c r="X55" i="265"/>
  <c r="W55" i="265"/>
  <c r="P55" i="265"/>
  <c r="O55" i="265"/>
  <c r="N55" i="265"/>
  <c r="M55" i="265"/>
  <c r="AR55" i="265" s="1"/>
  <c r="AT54" i="265"/>
  <c r="AP54" i="265"/>
  <c r="AN54" i="265"/>
  <c r="AJ54" i="265"/>
  <c r="AI54" i="265"/>
  <c r="AH54" i="265"/>
  <c r="AF54" i="265"/>
  <c r="AE54" i="265"/>
  <c r="AD54" i="265"/>
  <c r="AC54" i="265"/>
  <c r="AA54" i="265"/>
  <c r="Z54" i="265"/>
  <c r="Y54" i="265"/>
  <c r="X54" i="265"/>
  <c r="W54" i="265"/>
  <c r="P54" i="265"/>
  <c r="O54" i="265"/>
  <c r="N54" i="265"/>
  <c r="AO54" i="265" s="1"/>
  <c r="AV54" i="265" s="1"/>
  <c r="M54" i="265"/>
  <c r="AT53" i="265"/>
  <c r="AP53" i="265"/>
  <c r="AN53" i="265"/>
  <c r="AI53" i="265"/>
  <c r="AH53" i="265"/>
  <c r="AF53" i="265"/>
  <c r="AE53" i="265"/>
  <c r="AA53" i="265"/>
  <c r="Z53" i="265"/>
  <c r="Y53" i="265"/>
  <c r="X53" i="265"/>
  <c r="W53" i="265"/>
  <c r="P53" i="265"/>
  <c r="O53" i="265"/>
  <c r="AD53" i="265" s="1"/>
  <c r="N53" i="265"/>
  <c r="AC53" i="265" s="1"/>
  <c r="M53" i="265"/>
  <c r="AR52" i="265"/>
  <c r="AP52" i="265"/>
  <c r="AI52" i="265"/>
  <c r="AH52" i="265"/>
  <c r="AF52" i="265"/>
  <c r="AE52" i="265"/>
  <c r="AA52" i="265"/>
  <c r="Z52" i="265"/>
  <c r="Y52" i="265"/>
  <c r="X52" i="265"/>
  <c r="W52" i="265"/>
  <c r="P52" i="265"/>
  <c r="O52" i="265"/>
  <c r="AD52" i="265" s="1"/>
  <c r="N52" i="265"/>
  <c r="AC52" i="265" s="1"/>
  <c r="M52" i="265"/>
  <c r="AB52" i="265" s="1"/>
  <c r="AT51" i="265"/>
  <c r="AP51" i="265"/>
  <c r="AJ51" i="265"/>
  <c r="AI51" i="265"/>
  <c r="AN51" i="265" s="1"/>
  <c r="AH51" i="265"/>
  <c r="AF51" i="265"/>
  <c r="AE51" i="265"/>
  <c r="AB51" i="265"/>
  <c r="AA51" i="265"/>
  <c r="Z51" i="265"/>
  <c r="Y51" i="265"/>
  <c r="X51" i="265"/>
  <c r="W51" i="265"/>
  <c r="P51" i="265"/>
  <c r="O51" i="265"/>
  <c r="AD51" i="265" s="1"/>
  <c r="N51" i="265"/>
  <c r="AO51" i="265" s="1"/>
  <c r="AV51" i="265" s="1"/>
  <c r="M51" i="265"/>
  <c r="AR50" i="265"/>
  <c r="AP50" i="265"/>
  <c r="AI50" i="265"/>
  <c r="AN50" i="265" s="1"/>
  <c r="AH50" i="265"/>
  <c r="AF50" i="265"/>
  <c r="AE50" i="265"/>
  <c r="AC50" i="265"/>
  <c r="AB50" i="265"/>
  <c r="AA50" i="265"/>
  <c r="Z50" i="265"/>
  <c r="Y50" i="265"/>
  <c r="X50" i="265"/>
  <c r="W50" i="265"/>
  <c r="P50" i="265"/>
  <c r="O50" i="265"/>
  <c r="AD50" i="265" s="1"/>
  <c r="N50" i="265"/>
  <c r="AO50" i="265" s="1"/>
  <c r="AV50" i="265" s="1"/>
  <c r="M50" i="265"/>
  <c r="AI49" i="265"/>
  <c r="AH49" i="265"/>
  <c r="W49" i="265"/>
  <c r="AP48" i="265"/>
  <c r="AI48" i="265"/>
  <c r="AH48" i="265"/>
  <c r="AF48" i="265"/>
  <c r="AE48" i="265"/>
  <c r="AA48" i="265"/>
  <c r="Z48" i="265"/>
  <c r="Y48" i="265"/>
  <c r="X48" i="265"/>
  <c r="W48" i="265"/>
  <c r="P48" i="265"/>
  <c r="O48" i="265"/>
  <c r="AD48" i="265" s="1"/>
  <c r="N48" i="265"/>
  <c r="AC48" i="265" s="1"/>
  <c r="M48" i="265"/>
  <c r="AB48" i="265" s="1"/>
  <c r="AR47" i="265"/>
  <c r="AP47" i="265"/>
  <c r="AI47" i="265"/>
  <c r="AN47" i="265" s="1"/>
  <c r="AH47" i="265"/>
  <c r="AF47" i="265"/>
  <c r="AE47" i="265"/>
  <c r="AB47" i="265"/>
  <c r="AA47" i="265"/>
  <c r="Z47" i="265"/>
  <c r="Y47" i="265"/>
  <c r="X47" i="265"/>
  <c r="W47" i="265"/>
  <c r="P47" i="265"/>
  <c r="O47" i="265"/>
  <c r="AD47" i="265" s="1"/>
  <c r="N47" i="265"/>
  <c r="AO47" i="265" s="1"/>
  <c r="AV47" i="265" s="1"/>
  <c r="M47" i="265"/>
  <c r="AI46" i="265"/>
  <c r="AH46" i="265"/>
  <c r="W46" i="265"/>
  <c r="AV45" i="265"/>
  <c r="AT45" i="265"/>
  <c r="AP45" i="265"/>
  <c r="AO45" i="265"/>
  <c r="AN45" i="265"/>
  <c r="AI45" i="265"/>
  <c r="AH45" i="265"/>
  <c r="AF45" i="265"/>
  <c r="AE45" i="265"/>
  <c r="AA45" i="265"/>
  <c r="Z45" i="265"/>
  <c r="Y45" i="265"/>
  <c r="X45" i="265"/>
  <c r="W45" i="265"/>
  <c r="P45" i="265"/>
  <c r="O45" i="265"/>
  <c r="AQ45" i="265" s="1"/>
  <c r="N45" i="265"/>
  <c r="AC45" i="265" s="1"/>
  <c r="M45" i="265"/>
  <c r="AP44" i="265"/>
  <c r="AI44" i="265"/>
  <c r="AH44" i="265"/>
  <c r="AF44" i="265"/>
  <c r="AE44" i="265"/>
  <c r="AB44" i="265"/>
  <c r="AA44" i="265"/>
  <c r="Z44" i="265"/>
  <c r="Y44" i="265"/>
  <c r="X44" i="265"/>
  <c r="W44" i="265"/>
  <c r="P44" i="265"/>
  <c r="O44" i="265"/>
  <c r="AD44" i="265" s="1"/>
  <c r="N44" i="265"/>
  <c r="AC44" i="265" s="1"/>
  <c r="M44" i="265"/>
  <c r="AT43" i="265"/>
  <c r="AR43" i="265"/>
  <c r="AP43" i="265"/>
  <c r="AJ43" i="265"/>
  <c r="AI43" i="265"/>
  <c r="AN43" i="265" s="1"/>
  <c r="AH43" i="265"/>
  <c r="AF43" i="265"/>
  <c r="AE43" i="265"/>
  <c r="AC43" i="265"/>
  <c r="AB43" i="265"/>
  <c r="AA43" i="265"/>
  <c r="Z43" i="265"/>
  <c r="Y43" i="265"/>
  <c r="X43" i="265"/>
  <c r="W43" i="265"/>
  <c r="P43" i="265"/>
  <c r="O43" i="265"/>
  <c r="AD43" i="265" s="1"/>
  <c r="N43" i="265"/>
  <c r="AO43" i="265" s="1"/>
  <c r="AV43" i="265" s="1"/>
  <c r="M43" i="265"/>
  <c r="AR42" i="265"/>
  <c r="AP42" i="265"/>
  <c r="AN42" i="265"/>
  <c r="AJ42" i="265"/>
  <c r="AI42" i="265"/>
  <c r="AT42" i="265" s="1"/>
  <c r="AH42" i="265"/>
  <c r="AF42" i="265"/>
  <c r="AE42" i="265"/>
  <c r="AC42" i="265"/>
  <c r="AB42" i="265"/>
  <c r="AA42" i="265"/>
  <c r="Z42" i="265"/>
  <c r="Y42" i="265"/>
  <c r="X42" i="265"/>
  <c r="W42" i="265"/>
  <c r="P42" i="265"/>
  <c r="O42" i="265"/>
  <c r="AQ42" i="265" s="1"/>
  <c r="N42" i="265"/>
  <c r="AO42" i="265" s="1"/>
  <c r="AV42" i="265" s="1"/>
  <c r="M42" i="265"/>
  <c r="AV41" i="265"/>
  <c r="AR41" i="265"/>
  <c r="AP41" i="265"/>
  <c r="AO41" i="265"/>
  <c r="AN41" i="265"/>
  <c r="AJ41" i="265"/>
  <c r="AI41" i="265"/>
  <c r="AT41" i="265" s="1"/>
  <c r="AH41" i="265"/>
  <c r="AF41" i="265"/>
  <c r="AE41" i="265"/>
  <c r="AD41" i="265"/>
  <c r="AC41" i="265"/>
  <c r="AB41" i="265"/>
  <c r="AA41" i="265"/>
  <c r="Z41" i="265"/>
  <c r="Y41" i="265"/>
  <c r="X41" i="265"/>
  <c r="W41" i="265"/>
  <c r="P41" i="265"/>
  <c r="O41" i="265"/>
  <c r="N41" i="265"/>
  <c r="M41" i="265"/>
  <c r="AI40" i="265"/>
  <c r="AH40" i="265"/>
  <c r="W40" i="265"/>
  <c r="AT39" i="265"/>
  <c r="AP39" i="265"/>
  <c r="AJ39" i="265"/>
  <c r="AI39" i="265"/>
  <c r="AN39" i="265" s="1"/>
  <c r="AH39" i="265"/>
  <c r="AF39" i="265"/>
  <c r="AE39" i="265"/>
  <c r="AB39" i="265"/>
  <c r="AA39" i="265"/>
  <c r="Z39" i="265"/>
  <c r="Y39" i="265"/>
  <c r="X39" i="265"/>
  <c r="W39" i="265"/>
  <c r="P39" i="265"/>
  <c r="O39" i="265"/>
  <c r="AD39" i="265" s="1"/>
  <c r="N39" i="265"/>
  <c r="AO39" i="265" s="1"/>
  <c r="AV39" i="265" s="1"/>
  <c r="M39" i="265"/>
  <c r="AR38" i="265"/>
  <c r="AP38" i="265"/>
  <c r="AI38" i="265"/>
  <c r="AN38" i="265" s="1"/>
  <c r="AH38" i="265"/>
  <c r="AF38" i="265"/>
  <c r="AE38" i="265"/>
  <c r="AC38" i="265"/>
  <c r="AB38" i="265"/>
  <c r="AA38" i="265"/>
  <c r="Z38" i="265"/>
  <c r="Y38" i="265"/>
  <c r="X38" i="265"/>
  <c r="W38" i="265"/>
  <c r="P38" i="265"/>
  <c r="O38" i="265"/>
  <c r="AD38" i="265" s="1"/>
  <c r="N38" i="265"/>
  <c r="AO38" i="265" s="1"/>
  <c r="AV38" i="265" s="1"/>
  <c r="M38" i="265"/>
  <c r="AR37" i="265"/>
  <c r="AP37" i="265"/>
  <c r="AO37" i="265"/>
  <c r="AV37" i="265" s="1"/>
  <c r="AI37" i="265"/>
  <c r="AN37" i="265" s="1"/>
  <c r="AH37" i="265"/>
  <c r="AF37" i="265"/>
  <c r="AE37" i="265"/>
  <c r="AD37" i="265"/>
  <c r="AC37" i="265"/>
  <c r="AA37" i="265"/>
  <c r="Z37" i="265"/>
  <c r="Y37" i="265"/>
  <c r="X37" i="265"/>
  <c r="W37" i="265"/>
  <c r="P37" i="265"/>
  <c r="O37" i="265"/>
  <c r="N37" i="265"/>
  <c r="M37" i="265"/>
  <c r="AB37" i="265" s="1"/>
  <c r="AT36" i="265"/>
  <c r="AP36" i="265"/>
  <c r="AN36" i="265"/>
  <c r="AI36" i="265"/>
  <c r="AH36" i="265"/>
  <c r="AF36" i="265"/>
  <c r="AE36" i="265"/>
  <c r="AD36" i="265"/>
  <c r="AA36" i="265"/>
  <c r="Z36" i="265"/>
  <c r="Y36" i="265"/>
  <c r="X36" i="265"/>
  <c r="W36" i="265"/>
  <c r="P36" i="265"/>
  <c r="O36" i="265"/>
  <c r="N36" i="265"/>
  <c r="AC36" i="265" s="1"/>
  <c r="M36" i="265"/>
  <c r="AT35" i="265"/>
  <c r="AP35" i="265"/>
  <c r="AO35" i="265"/>
  <c r="AV35" i="265" s="1"/>
  <c r="AN35" i="265"/>
  <c r="AI35" i="265"/>
  <c r="AH35" i="265"/>
  <c r="AF35" i="265"/>
  <c r="AE35" i="265"/>
  <c r="AD35" i="265"/>
  <c r="AA35" i="265"/>
  <c r="Z35" i="265"/>
  <c r="Y35" i="265"/>
  <c r="X35" i="265"/>
  <c r="W35" i="265"/>
  <c r="P35" i="265"/>
  <c r="O35" i="265"/>
  <c r="AQ35" i="265" s="1"/>
  <c r="N35" i="265"/>
  <c r="AC35" i="265" s="1"/>
  <c r="M35" i="265"/>
  <c r="AR34" i="265"/>
  <c r="AP34" i="265"/>
  <c r="AO34" i="265"/>
  <c r="AV34" i="265" s="1"/>
  <c r="AI34" i="265"/>
  <c r="AH34" i="265"/>
  <c r="AF34" i="265"/>
  <c r="AE34" i="265"/>
  <c r="AB34" i="265"/>
  <c r="AA34" i="265"/>
  <c r="Z34" i="265"/>
  <c r="Y34" i="265"/>
  <c r="X34" i="265"/>
  <c r="W34" i="265"/>
  <c r="P34" i="265"/>
  <c r="O34" i="265"/>
  <c r="AD34" i="265" s="1"/>
  <c r="N34" i="265"/>
  <c r="AC34" i="265" s="1"/>
  <c r="M34" i="265"/>
  <c r="AT33" i="265"/>
  <c r="AR33" i="265"/>
  <c r="AP33" i="265"/>
  <c r="AI33" i="265"/>
  <c r="AN33" i="265" s="1"/>
  <c r="AH33" i="265"/>
  <c r="AF33" i="265"/>
  <c r="AE33" i="265"/>
  <c r="AC33" i="265"/>
  <c r="AB33" i="265"/>
  <c r="AA33" i="265"/>
  <c r="Z33" i="265"/>
  <c r="Y33" i="265"/>
  <c r="X33" i="265"/>
  <c r="W33" i="265"/>
  <c r="P33" i="265"/>
  <c r="O33" i="265"/>
  <c r="AD33" i="265" s="1"/>
  <c r="N33" i="265"/>
  <c r="AO33" i="265" s="1"/>
  <c r="AV33" i="265" s="1"/>
  <c r="M33" i="265"/>
  <c r="AI32" i="265"/>
  <c r="AH32" i="265"/>
  <c r="W32" i="265"/>
  <c r="AT31" i="265"/>
  <c r="AP31" i="265"/>
  <c r="AN31" i="265"/>
  <c r="AI31" i="265"/>
  <c r="AH31" i="265"/>
  <c r="AF31" i="265"/>
  <c r="AE31" i="265"/>
  <c r="AA31" i="265"/>
  <c r="Z31" i="265"/>
  <c r="Y31" i="265"/>
  <c r="X31" i="265"/>
  <c r="W31" i="265"/>
  <c r="P31" i="265"/>
  <c r="O31" i="265"/>
  <c r="AD31" i="265" s="1"/>
  <c r="N31" i="265"/>
  <c r="AC31" i="265" s="1"/>
  <c r="M31" i="265"/>
  <c r="AR30" i="265"/>
  <c r="AP30" i="265"/>
  <c r="AI30" i="265"/>
  <c r="AH30" i="265"/>
  <c r="AF30" i="265"/>
  <c r="AE30" i="265"/>
  <c r="AA30" i="265"/>
  <c r="Z30" i="265"/>
  <c r="Y30" i="265"/>
  <c r="X30" i="265"/>
  <c r="W30" i="265"/>
  <c r="P30" i="265"/>
  <c r="O30" i="265"/>
  <c r="AD30" i="265" s="1"/>
  <c r="N30" i="265"/>
  <c r="AC30" i="265" s="1"/>
  <c r="M30" i="265"/>
  <c r="AB30" i="265" s="1"/>
  <c r="AT29" i="265"/>
  <c r="AP29" i="265"/>
  <c r="AJ29" i="265"/>
  <c r="AI29" i="265"/>
  <c r="AN29" i="265" s="1"/>
  <c r="AH29" i="265"/>
  <c r="AF29" i="265"/>
  <c r="AE29" i="265"/>
  <c r="AB29" i="265"/>
  <c r="AA29" i="265"/>
  <c r="Z29" i="265"/>
  <c r="Y29" i="265"/>
  <c r="X29" i="265"/>
  <c r="W29" i="265"/>
  <c r="P29" i="265"/>
  <c r="O29" i="265"/>
  <c r="AD29" i="265" s="1"/>
  <c r="N29" i="265"/>
  <c r="AO29" i="265" s="1"/>
  <c r="AV29" i="265" s="1"/>
  <c r="M29" i="265"/>
  <c r="AR28" i="265"/>
  <c r="AP28" i="265"/>
  <c r="AI28" i="265"/>
  <c r="AN28" i="265" s="1"/>
  <c r="AH28" i="265"/>
  <c r="AF28" i="265"/>
  <c r="AE28" i="265"/>
  <c r="AC28" i="265"/>
  <c r="AB28" i="265"/>
  <c r="AA28" i="265"/>
  <c r="Z28" i="265"/>
  <c r="Y28" i="265"/>
  <c r="X28" i="265"/>
  <c r="W28" i="265"/>
  <c r="P28" i="265"/>
  <c r="O28" i="265"/>
  <c r="AD28" i="265" s="1"/>
  <c r="N28" i="265"/>
  <c r="AO28" i="265" s="1"/>
  <c r="AV28" i="265" s="1"/>
  <c r="M28" i="265"/>
  <c r="AI27" i="265"/>
  <c r="AH27" i="265"/>
  <c r="W27" i="265"/>
  <c r="AP26" i="265"/>
  <c r="AI26" i="265"/>
  <c r="AH26" i="265"/>
  <c r="AF26" i="265"/>
  <c r="AE26" i="265"/>
  <c r="AA26" i="265"/>
  <c r="Z26" i="265"/>
  <c r="Y26" i="265"/>
  <c r="X26" i="265"/>
  <c r="W26" i="265"/>
  <c r="P26" i="265"/>
  <c r="O26" i="265"/>
  <c r="AD26" i="265" s="1"/>
  <c r="N26" i="265"/>
  <c r="AC26" i="265" s="1"/>
  <c r="M26" i="265"/>
  <c r="AB26" i="265" s="1"/>
  <c r="AR25" i="265"/>
  <c r="AP25" i="265"/>
  <c r="AI25" i="265"/>
  <c r="AN25" i="265" s="1"/>
  <c r="AH25" i="265"/>
  <c r="AF25" i="265"/>
  <c r="AE25" i="265"/>
  <c r="AB25" i="265"/>
  <c r="AA25" i="265"/>
  <c r="Z25" i="265"/>
  <c r="Y25" i="265"/>
  <c r="X25" i="265"/>
  <c r="W25" i="265"/>
  <c r="P25" i="265"/>
  <c r="O25" i="265"/>
  <c r="AD25" i="265" s="1"/>
  <c r="N25" i="265"/>
  <c r="AO25" i="265" s="1"/>
  <c r="AV25" i="265" s="1"/>
  <c r="M25" i="265"/>
  <c r="AR24" i="265"/>
  <c r="AP24" i="265"/>
  <c r="AN24" i="265"/>
  <c r="AI24" i="265"/>
  <c r="AJ24" i="265" s="1"/>
  <c r="AH24" i="265"/>
  <c r="AF24" i="265"/>
  <c r="AE24" i="265"/>
  <c r="AD24" i="265"/>
  <c r="AC24" i="265"/>
  <c r="AB24" i="265"/>
  <c r="AA24" i="265"/>
  <c r="Z24" i="265"/>
  <c r="Y24" i="265"/>
  <c r="X24" i="265"/>
  <c r="W24" i="265"/>
  <c r="P24" i="265"/>
  <c r="O24" i="265"/>
  <c r="N24" i="265"/>
  <c r="AO24" i="265" s="1"/>
  <c r="AV24" i="265" s="1"/>
  <c r="M24" i="265"/>
  <c r="AI23" i="265"/>
  <c r="AH23" i="265"/>
  <c r="W23" i="265"/>
  <c r="AR22" i="265"/>
  <c r="AP22" i="265"/>
  <c r="AI22" i="265"/>
  <c r="AH22" i="265"/>
  <c r="AF22" i="265"/>
  <c r="AE22" i="265"/>
  <c r="AB22" i="265"/>
  <c r="AA22" i="265"/>
  <c r="Z22" i="265"/>
  <c r="Y22" i="265"/>
  <c r="X22" i="265"/>
  <c r="W22" i="265"/>
  <c r="P22" i="265"/>
  <c r="O22" i="265"/>
  <c r="AD22" i="265" s="1"/>
  <c r="N22" i="265"/>
  <c r="AC22" i="265" s="1"/>
  <c r="M22" i="265"/>
  <c r="AT21" i="265"/>
  <c r="AP21" i="265"/>
  <c r="AI21" i="265"/>
  <c r="AN21" i="265" s="1"/>
  <c r="AH21" i="265"/>
  <c r="AF21" i="265"/>
  <c r="AE21" i="265"/>
  <c r="AB21" i="265"/>
  <c r="AA21" i="265"/>
  <c r="Z21" i="265"/>
  <c r="Y21" i="265"/>
  <c r="X21" i="265"/>
  <c r="W21" i="265"/>
  <c r="P21" i="265"/>
  <c r="O21" i="265"/>
  <c r="AD21" i="265" s="1"/>
  <c r="N21" i="265"/>
  <c r="AO21" i="265" s="1"/>
  <c r="AV21" i="265" s="1"/>
  <c r="M21" i="265"/>
  <c r="AP20" i="265"/>
  <c r="AN20" i="265"/>
  <c r="AJ20" i="265"/>
  <c r="AI20" i="265"/>
  <c r="AT20" i="265" s="1"/>
  <c r="AH20" i="265"/>
  <c r="AF20" i="265"/>
  <c r="AE20" i="265"/>
  <c r="AD20" i="265"/>
  <c r="AC20" i="265"/>
  <c r="AB20" i="265"/>
  <c r="AA20" i="265"/>
  <c r="Z20" i="265"/>
  <c r="Y20" i="265"/>
  <c r="X20" i="265"/>
  <c r="W20" i="265"/>
  <c r="P20" i="265"/>
  <c r="O20" i="265"/>
  <c r="N20" i="265"/>
  <c r="AO20" i="265" s="1"/>
  <c r="AV20" i="265" s="1"/>
  <c r="M20" i="265"/>
  <c r="AP19" i="265"/>
  <c r="AO19" i="265"/>
  <c r="AV19" i="265" s="1"/>
  <c r="AN19" i="265"/>
  <c r="AJ19" i="265"/>
  <c r="AI19" i="265"/>
  <c r="AT19" i="265" s="1"/>
  <c r="AH19" i="265"/>
  <c r="AF19" i="265"/>
  <c r="AE19" i="265"/>
  <c r="AD19" i="265"/>
  <c r="AC19" i="265"/>
  <c r="AA19" i="265"/>
  <c r="Z19" i="265"/>
  <c r="Y19" i="265"/>
  <c r="X19" i="265"/>
  <c r="W19" i="265"/>
  <c r="P19" i="265"/>
  <c r="O19" i="265"/>
  <c r="N19" i="265"/>
  <c r="M19" i="265"/>
  <c r="AB19" i="265" s="1"/>
  <c r="AI18" i="265"/>
  <c r="AH18" i="265"/>
  <c r="W18" i="265"/>
  <c r="AT17" i="265"/>
  <c r="AR17" i="265"/>
  <c r="AP17" i="265"/>
  <c r="AJ17" i="265"/>
  <c r="AI17" i="265"/>
  <c r="AN17" i="265" s="1"/>
  <c r="AH17" i="265"/>
  <c r="AF17" i="265"/>
  <c r="AE17" i="265"/>
  <c r="AC17" i="265"/>
  <c r="AB17" i="265"/>
  <c r="AA17" i="265"/>
  <c r="Z17" i="265"/>
  <c r="Y17" i="265"/>
  <c r="X17" i="265"/>
  <c r="W17" i="265"/>
  <c r="P17" i="265"/>
  <c r="O17" i="265"/>
  <c r="AD17" i="265" s="1"/>
  <c r="N17" i="265"/>
  <c r="AO17" i="265" s="1"/>
  <c r="AV17" i="265" s="1"/>
  <c r="M17" i="265"/>
  <c r="AR16" i="265"/>
  <c r="AP16" i="265"/>
  <c r="AN16" i="265"/>
  <c r="AJ16" i="265"/>
  <c r="AI16" i="265"/>
  <c r="AT16" i="265" s="1"/>
  <c r="AH16" i="265"/>
  <c r="AF16" i="265"/>
  <c r="AE16" i="265"/>
  <c r="AC16" i="265"/>
  <c r="AB16" i="265"/>
  <c r="AA16" i="265"/>
  <c r="Z16" i="265"/>
  <c r="Y16" i="265"/>
  <c r="X16" i="265"/>
  <c r="W16" i="265"/>
  <c r="P16" i="265"/>
  <c r="O16" i="265"/>
  <c r="AQ16" i="265" s="1"/>
  <c r="N16" i="265"/>
  <c r="AO16" i="265" s="1"/>
  <c r="AV16" i="265" s="1"/>
  <c r="M16" i="265"/>
  <c r="AV15" i="265"/>
  <c r="AR15" i="265"/>
  <c r="AP15" i="265"/>
  <c r="AO15" i="265"/>
  <c r="AN15" i="265"/>
  <c r="AJ15" i="265"/>
  <c r="AI15" i="265"/>
  <c r="AT15" i="265" s="1"/>
  <c r="AH15" i="265"/>
  <c r="AF15" i="265"/>
  <c r="AE15" i="265"/>
  <c r="AD15" i="265"/>
  <c r="AC15" i="265"/>
  <c r="AB15" i="265"/>
  <c r="AA15" i="265"/>
  <c r="Z15" i="265"/>
  <c r="Y15" i="265"/>
  <c r="X15" i="265"/>
  <c r="W15" i="265"/>
  <c r="P15" i="265"/>
  <c r="O15" i="265"/>
  <c r="N15" i="265"/>
  <c r="M15" i="265"/>
  <c r="AT14" i="265"/>
  <c r="AP14" i="265"/>
  <c r="AN14" i="265"/>
  <c r="AJ14" i="265"/>
  <c r="AI14" i="265"/>
  <c r="AH14" i="265"/>
  <c r="AF14" i="265"/>
  <c r="AE14" i="265"/>
  <c r="AD14" i="265"/>
  <c r="AC14" i="265"/>
  <c r="AA14" i="265"/>
  <c r="Z14" i="265"/>
  <c r="Y14" i="265"/>
  <c r="X14" i="265"/>
  <c r="W14" i="265"/>
  <c r="P14" i="265"/>
  <c r="O14" i="265"/>
  <c r="N14" i="265"/>
  <c r="AO14" i="265" s="1"/>
  <c r="AV14" i="265" s="1"/>
  <c r="M14" i="265"/>
  <c r="AI13" i="265"/>
  <c r="AH13" i="265"/>
  <c r="W13" i="265"/>
  <c r="AR12" i="265"/>
  <c r="AP12" i="265"/>
  <c r="AN12" i="265"/>
  <c r="AJ12" i="265"/>
  <c r="AI12" i="265"/>
  <c r="AT12" i="265" s="1"/>
  <c r="AH12" i="265"/>
  <c r="AF12" i="265"/>
  <c r="AE12" i="265"/>
  <c r="AC12" i="265"/>
  <c r="AB12" i="265"/>
  <c r="AA12" i="265"/>
  <c r="Z12" i="265"/>
  <c r="Y12" i="265"/>
  <c r="X12" i="265"/>
  <c r="W12" i="265"/>
  <c r="P12" i="265"/>
  <c r="O12" i="265"/>
  <c r="AQ12" i="265" s="1"/>
  <c r="N12" i="265"/>
  <c r="AO12" i="265" s="1"/>
  <c r="AV12" i="265" s="1"/>
  <c r="M12" i="265"/>
  <c r="AV11" i="265"/>
  <c r="AR11" i="265"/>
  <c r="AP11" i="265"/>
  <c r="AO11" i="265"/>
  <c r="AN11" i="265"/>
  <c r="AJ11" i="265"/>
  <c r="AI11" i="265"/>
  <c r="AT11" i="265" s="1"/>
  <c r="AH11" i="265"/>
  <c r="AF11" i="265"/>
  <c r="AE11" i="265"/>
  <c r="AD11" i="265"/>
  <c r="AC11" i="265"/>
  <c r="AB11" i="265"/>
  <c r="AA11" i="265"/>
  <c r="Z11" i="265"/>
  <c r="Y11" i="265"/>
  <c r="X11" i="265"/>
  <c r="W11" i="265"/>
  <c r="P11" i="265"/>
  <c r="O11" i="265"/>
  <c r="N11" i="265"/>
  <c r="M11" i="265"/>
  <c r="AT10" i="265"/>
  <c r="AP10" i="265"/>
  <c r="AN10" i="265"/>
  <c r="AJ10" i="265"/>
  <c r="AI10" i="265"/>
  <c r="AH10" i="265"/>
  <c r="AF10" i="265"/>
  <c r="AE10" i="265"/>
  <c r="AD10" i="265"/>
  <c r="AC10" i="265"/>
  <c r="AA10" i="265"/>
  <c r="Z10" i="265"/>
  <c r="Y10" i="265"/>
  <c r="X10" i="265"/>
  <c r="W10" i="265"/>
  <c r="P10" i="265"/>
  <c r="O10" i="265"/>
  <c r="N10" i="265"/>
  <c r="AO10" i="265" s="1"/>
  <c r="AV10" i="265" s="1"/>
  <c r="M10" i="265"/>
  <c r="AT9" i="265"/>
  <c r="AP9" i="265"/>
  <c r="AO9" i="265"/>
  <c r="AV9" i="265" s="1"/>
  <c r="AN9" i="265"/>
  <c r="AI9" i="265"/>
  <c r="AH9" i="265"/>
  <c r="AF9" i="265"/>
  <c r="AE9" i="265"/>
  <c r="AD9" i="265"/>
  <c r="AA9" i="265"/>
  <c r="Z9" i="265"/>
  <c r="Y9" i="265"/>
  <c r="X9" i="265"/>
  <c r="W9" i="265"/>
  <c r="P9" i="265"/>
  <c r="O9" i="265"/>
  <c r="N9" i="265"/>
  <c r="AC9" i="265" s="1"/>
  <c r="M9" i="265"/>
  <c r="AP8" i="265"/>
  <c r="AI8" i="265"/>
  <c r="AH8" i="265"/>
  <c r="AF8" i="265"/>
  <c r="AE8" i="265"/>
  <c r="AA8" i="265"/>
  <c r="Z8" i="265"/>
  <c r="Y8" i="265"/>
  <c r="X8" i="265"/>
  <c r="W8" i="265"/>
  <c r="P8" i="265"/>
  <c r="O8" i="265"/>
  <c r="AD8" i="265" s="1"/>
  <c r="N8" i="265"/>
  <c r="AC8" i="265" s="1"/>
  <c r="M8" i="265"/>
  <c r="AB8" i="265" s="1"/>
  <c r="AR7" i="265"/>
  <c r="AP7" i="265"/>
  <c r="AI7" i="265"/>
  <c r="AN7" i="265" s="1"/>
  <c r="AH7" i="265"/>
  <c r="AF7" i="265"/>
  <c r="AE7" i="265"/>
  <c r="AB7" i="265"/>
  <c r="AA7" i="265"/>
  <c r="Z7" i="265"/>
  <c r="Y7" i="265"/>
  <c r="X7" i="265"/>
  <c r="W7" i="265"/>
  <c r="P7" i="265"/>
  <c r="O7" i="265"/>
  <c r="AD7" i="265" s="1"/>
  <c r="N7" i="265"/>
  <c r="AO7" i="265" s="1"/>
  <c r="AV7" i="265" s="1"/>
  <c r="M7" i="265"/>
  <c r="AR6" i="265"/>
  <c r="AQ6" i="265"/>
  <c r="AP6" i="265"/>
  <c r="AN6" i="265"/>
  <c r="AI6" i="265"/>
  <c r="AJ6" i="265" s="1"/>
  <c r="AH6" i="265"/>
  <c r="AF6" i="265"/>
  <c r="AE6" i="265"/>
  <c r="AD6" i="265"/>
  <c r="AC6" i="265"/>
  <c r="AB6" i="265"/>
  <c r="AA6" i="265"/>
  <c r="Z6" i="265"/>
  <c r="Y6" i="265"/>
  <c r="X6" i="265"/>
  <c r="W6" i="265"/>
  <c r="P6" i="265"/>
  <c r="O6" i="265"/>
  <c r="N6" i="265"/>
  <c r="AO6" i="265" s="1"/>
  <c r="AV6" i="265" s="1"/>
  <c r="M6" i="265"/>
  <c r="AI5" i="265"/>
  <c r="AH5" i="265"/>
  <c r="W5" i="265"/>
  <c r="AI4" i="265"/>
  <c r="AQ3" i="265"/>
  <c r="AP3" i="265"/>
  <c r="AO3" i="265"/>
  <c r="AI3" i="265"/>
  <c r="AH3" i="265"/>
  <c r="AN2" i="265"/>
  <c r="AN116" i="265" s="1"/>
  <c r="AM2" i="265"/>
  <c r="AL2" i="265"/>
  <c r="AK2" i="265"/>
  <c r="AJ2" i="265"/>
  <c r="AJ125" i="265" s="1"/>
  <c r="AA2" i="265"/>
  <c r="A2" i="265"/>
  <c r="AU1" i="265"/>
  <c r="AR1" i="265"/>
  <c r="AQ1" i="265"/>
  <c r="AP1" i="265"/>
  <c r="AO1" i="265"/>
  <c r="AH1" i="265"/>
  <c r="AH2" i="265" s="1"/>
  <c r="AA1" i="265"/>
  <c r="A1" i="265"/>
  <c r="AJ1" i="265" s="1"/>
  <c r="AO127" i="275" l="1"/>
  <c r="AV127" i="275" s="1"/>
  <c r="AC127" i="275"/>
  <c r="AB26" i="276"/>
  <c r="AR26" i="276"/>
  <c r="AC70" i="276"/>
  <c r="AO70" i="276"/>
  <c r="AV70" i="276" s="1"/>
  <c r="AU123" i="265"/>
  <c r="AU119" i="265"/>
  <c r="AU115" i="265"/>
  <c r="AU101" i="265"/>
  <c r="AU128" i="265"/>
  <c r="AU122" i="265"/>
  <c r="AU118" i="265"/>
  <c r="AU114" i="265"/>
  <c r="AU110" i="265"/>
  <c r="AU100" i="265"/>
  <c r="AU96" i="265"/>
  <c r="AU92" i="265"/>
  <c r="AU127" i="265"/>
  <c r="AU126" i="265"/>
  <c r="AU125" i="265"/>
  <c r="AU120" i="265"/>
  <c r="AU113" i="265"/>
  <c r="AU112" i="265"/>
  <c r="AU85" i="265"/>
  <c r="AU70" i="265"/>
  <c r="AU66" i="265"/>
  <c r="AU62" i="265"/>
  <c r="AU52" i="265"/>
  <c r="AU48" i="265"/>
  <c r="AU44" i="265"/>
  <c r="AU34" i="265"/>
  <c r="AU30" i="265"/>
  <c r="AU26" i="265"/>
  <c r="AU22" i="265"/>
  <c r="AU8" i="265"/>
  <c r="AU3" i="265"/>
  <c r="AU99" i="265"/>
  <c r="AU98" i="265"/>
  <c r="AU65" i="265"/>
  <c r="AU61" i="265"/>
  <c r="AU51" i="265"/>
  <c r="AU47" i="265"/>
  <c r="AU43" i="265"/>
  <c r="AU39" i="265"/>
  <c r="AU33" i="265"/>
  <c r="AU29" i="265"/>
  <c r="AU25" i="265"/>
  <c r="AU21" i="265"/>
  <c r="AU17" i="265"/>
  <c r="AU7" i="265"/>
  <c r="AU130" i="265"/>
  <c r="AU116" i="265"/>
  <c r="AU124" i="265"/>
  <c r="AU109" i="265"/>
  <c r="AU108" i="265"/>
  <c r="AU107" i="265"/>
  <c r="AU105" i="265"/>
  <c r="AU104" i="265"/>
  <c r="AU103" i="265"/>
  <c r="AQ118" i="265"/>
  <c r="AQ110" i="265"/>
  <c r="AQ102" i="265"/>
  <c r="AQ8" i="265"/>
  <c r="AR10" i="265"/>
  <c r="AB10" i="265"/>
  <c r="AQ11" i="265"/>
  <c r="AR14" i="265"/>
  <c r="AB14" i="265"/>
  <c r="AQ15" i="265"/>
  <c r="AU19" i="265"/>
  <c r="AU20" i="265"/>
  <c r="AQ21" i="265"/>
  <c r="AQ26" i="265"/>
  <c r="AU35" i="265"/>
  <c r="AQ41" i="265"/>
  <c r="AN44" i="265"/>
  <c r="AT44" i="265"/>
  <c r="AJ44" i="265"/>
  <c r="AR45" i="265"/>
  <c r="AB45" i="265"/>
  <c r="AQ48" i="265"/>
  <c r="AT55" i="265"/>
  <c r="AR57" i="265"/>
  <c r="AB57" i="265"/>
  <c r="AQ62" i="265"/>
  <c r="AN66" i="265"/>
  <c r="AT66" i="265"/>
  <c r="AJ66" i="265"/>
  <c r="AR67" i="265"/>
  <c r="AB67" i="265"/>
  <c r="AU71" i="265"/>
  <c r="AQ85" i="265"/>
  <c r="AR89" i="265"/>
  <c r="AB89" i="265"/>
  <c r="AU89" i="265"/>
  <c r="AU95" i="265"/>
  <c r="AN98" i="265"/>
  <c r="AJ98" i="265"/>
  <c r="AO101" i="265"/>
  <c r="AV101" i="265" s="1"/>
  <c r="AQ109" i="265"/>
  <c r="AQ115" i="265"/>
  <c r="AQ116" i="265"/>
  <c r="AD123" i="265"/>
  <c r="AQ123" i="265"/>
  <c r="AD8" i="266"/>
  <c r="AQ8" i="266"/>
  <c r="AR11" i="266"/>
  <c r="AB11" i="266"/>
  <c r="AC19" i="266"/>
  <c r="AO19" i="266"/>
  <c r="AV19" i="266" s="1"/>
  <c r="AD27" i="266"/>
  <c r="AQ27" i="266"/>
  <c r="AC6" i="267"/>
  <c r="AO6" i="267"/>
  <c r="AV6" i="267" s="1"/>
  <c r="AN6" i="267"/>
  <c r="AT6" i="267"/>
  <c r="AJ6" i="267"/>
  <c r="AR17" i="268"/>
  <c r="AB17" i="268"/>
  <c r="AR7" i="269"/>
  <c r="AB7" i="269"/>
  <c r="AD18" i="269"/>
  <c r="AQ18" i="269"/>
  <c r="AQ3" i="270"/>
  <c r="AQ20" i="270"/>
  <c r="AQ7" i="270"/>
  <c r="AR30" i="273"/>
  <c r="AR26" i="273"/>
  <c r="AR3" i="273"/>
  <c r="AR20" i="273"/>
  <c r="AR12" i="273"/>
  <c r="AR9" i="273"/>
  <c r="AR22" i="273"/>
  <c r="AR29" i="273"/>
  <c r="AR21" i="273"/>
  <c r="AT6" i="273"/>
  <c r="AJ6" i="273"/>
  <c r="AN6" i="273"/>
  <c r="AN12" i="273"/>
  <c r="AJ12" i="273"/>
  <c r="AT12" i="273"/>
  <c r="AC18" i="273"/>
  <c r="AO18" i="273"/>
  <c r="AV18" i="273" s="1"/>
  <c r="AR23" i="273"/>
  <c r="AB23" i="273"/>
  <c r="AR98" i="275"/>
  <c r="AR92" i="275"/>
  <c r="AR76" i="275"/>
  <c r="AR60" i="275"/>
  <c r="AR48" i="275"/>
  <c r="AR40" i="275"/>
  <c r="AR3" i="275"/>
  <c r="AR115" i="275"/>
  <c r="AR36" i="275"/>
  <c r="AR120" i="275"/>
  <c r="AR105" i="275"/>
  <c r="AR80" i="275"/>
  <c r="AR72" i="275"/>
  <c r="AR62" i="275"/>
  <c r="AR51" i="275"/>
  <c r="AR43" i="275"/>
  <c r="AR127" i="275"/>
  <c r="AR121" i="275"/>
  <c r="AR119" i="275"/>
  <c r="AR86" i="275"/>
  <c r="AR79" i="275"/>
  <c r="AR71" i="275"/>
  <c r="AR107" i="275"/>
  <c r="AR87" i="275"/>
  <c r="AR44" i="275"/>
  <c r="AR9" i="275"/>
  <c r="AR101" i="275"/>
  <c r="AR42" i="275"/>
  <c r="AR63" i="275"/>
  <c r="AR94" i="275"/>
  <c r="AR93" i="275"/>
  <c r="AR70" i="275"/>
  <c r="AR50" i="275"/>
  <c r="AR7" i="275"/>
  <c r="AB7" i="275"/>
  <c r="AB28" i="275"/>
  <c r="AR28" i="275"/>
  <c r="AB34" i="275"/>
  <c r="AR34" i="275"/>
  <c r="AT34" i="275"/>
  <c r="AJ34" i="275"/>
  <c r="AN34" i="275"/>
  <c r="AB37" i="275"/>
  <c r="AR37" i="275"/>
  <c r="AN37" i="275"/>
  <c r="AJ37" i="275"/>
  <c r="AT37" i="275"/>
  <c r="AO42" i="275"/>
  <c r="AV42" i="275" s="1"/>
  <c r="AC42" i="275"/>
  <c r="AD51" i="275"/>
  <c r="AQ51" i="275"/>
  <c r="AN51" i="275"/>
  <c r="AT51" i="275"/>
  <c r="AJ51" i="275"/>
  <c r="AR56" i="275"/>
  <c r="AR59" i="275"/>
  <c r="AB59" i="275"/>
  <c r="AD72" i="275"/>
  <c r="AQ72" i="275"/>
  <c r="AO90" i="275"/>
  <c r="AV90" i="275" s="1"/>
  <c r="AC90" i="275"/>
  <c r="AR109" i="265"/>
  <c r="AR105" i="265"/>
  <c r="AR100" i="265"/>
  <c r="AR122" i="265"/>
  <c r="AR95" i="265"/>
  <c r="AR3" i="265"/>
  <c r="AR127" i="265"/>
  <c r="AR126" i="265"/>
  <c r="AR119" i="265"/>
  <c r="AR130" i="265"/>
  <c r="AR96" i="265"/>
  <c r="AT7" i="265"/>
  <c r="AR8" i="265"/>
  <c r="AR21" i="265"/>
  <c r="AQ22" i="265"/>
  <c r="AT25" i="265"/>
  <c r="AR26" i="265"/>
  <c r="AQ28" i="265"/>
  <c r="AQ31" i="265"/>
  <c r="AQ33" i="265"/>
  <c r="AO36" i="265"/>
  <c r="AV36" i="265" s="1"/>
  <c r="AQ38" i="265"/>
  <c r="AO44" i="265"/>
  <c r="AV44" i="265" s="1"/>
  <c r="AU45" i="265"/>
  <c r="AT47" i="265"/>
  <c r="AR48" i="265"/>
  <c r="AQ50" i="265"/>
  <c r="AQ53" i="265"/>
  <c r="AQ54" i="265"/>
  <c r="AU54" i="265"/>
  <c r="AU55" i="265"/>
  <c r="AU57" i="265"/>
  <c r="AT61" i="265"/>
  <c r="AR62" i="265"/>
  <c r="AO66" i="265"/>
  <c r="AV66" i="265" s="1"/>
  <c r="AU67" i="265"/>
  <c r="AO72" i="265"/>
  <c r="AV72" i="265" s="1"/>
  <c r="AQ74" i="265"/>
  <c r="AO76" i="265"/>
  <c r="AV76" i="265" s="1"/>
  <c r="AQ78" i="265"/>
  <c r="AO80" i="265"/>
  <c r="AV80" i="265" s="1"/>
  <c r="AQ82" i="265"/>
  <c r="AO84" i="265"/>
  <c r="AV84" i="265" s="1"/>
  <c r="AQ87" i="265"/>
  <c r="AT87" i="265"/>
  <c r="AD99" i="265"/>
  <c r="AQ99" i="265"/>
  <c r="AN99" i="265"/>
  <c r="AJ99" i="265"/>
  <c r="AD101" i="265"/>
  <c r="AQ101" i="265"/>
  <c r="AU102" i="265"/>
  <c r="AR108" i="265"/>
  <c r="AN114" i="265"/>
  <c r="AJ114" i="265"/>
  <c r="AT114" i="265"/>
  <c r="AN128" i="265"/>
  <c r="AJ128" i="265"/>
  <c r="AT128" i="265"/>
  <c r="AR18" i="266"/>
  <c r="AB18" i="266"/>
  <c r="AN20" i="268"/>
  <c r="AT20" i="268"/>
  <c r="AJ20" i="268"/>
  <c r="AQ10" i="270"/>
  <c r="AO21" i="270"/>
  <c r="AV21" i="270" s="1"/>
  <c r="AC21" i="270"/>
  <c r="AQ29" i="270"/>
  <c r="AH1" i="271"/>
  <c r="AH2" i="271" s="1"/>
  <c r="AJ1" i="271"/>
  <c r="AR17" i="271"/>
  <c r="AB17" i="271"/>
  <c r="AT7" i="272"/>
  <c r="AJ7" i="272"/>
  <c r="AN7" i="272"/>
  <c r="AQ6" i="273"/>
  <c r="AD6" i="273"/>
  <c r="AD9" i="273"/>
  <c r="AQ9" i="273"/>
  <c r="AN9" i="273"/>
  <c r="AT9" i="273"/>
  <c r="AJ9" i="273"/>
  <c r="AR18" i="273"/>
  <c r="AO20" i="273"/>
  <c r="AV20" i="273" s="1"/>
  <c r="AC20" i="273"/>
  <c r="AO8" i="274"/>
  <c r="AV8" i="274" s="1"/>
  <c r="AC8" i="274"/>
  <c r="AC22" i="275"/>
  <c r="AO22" i="275"/>
  <c r="AV22" i="275" s="1"/>
  <c r="AT22" i="275"/>
  <c r="AJ22" i="275"/>
  <c r="AN22" i="275"/>
  <c r="AD43" i="275"/>
  <c r="AQ43" i="275"/>
  <c r="AN43" i="275"/>
  <c r="AJ43" i="275"/>
  <c r="AR78" i="275"/>
  <c r="AR97" i="275"/>
  <c r="AT109" i="275"/>
  <c r="AN109" i="275"/>
  <c r="AJ109" i="275"/>
  <c r="AR53" i="276"/>
  <c r="AB53" i="276"/>
  <c r="AR92" i="276"/>
  <c r="AB92" i="276"/>
  <c r="AQ9" i="265"/>
  <c r="AU10" i="265"/>
  <c r="AQ14" i="265"/>
  <c r="AQ24" i="265"/>
  <c r="AN30" i="265"/>
  <c r="AT30" i="265"/>
  <c r="AJ30" i="265"/>
  <c r="AQ34" i="265"/>
  <c r="AQ37" i="265"/>
  <c r="AU41" i="265"/>
  <c r="AR53" i="265"/>
  <c r="AB53" i="265"/>
  <c r="AQ60" i="265"/>
  <c r="AQ63" i="265"/>
  <c r="AQ73" i="265"/>
  <c r="AR76" i="265"/>
  <c r="AB76" i="265"/>
  <c r="AQ81" i="265"/>
  <c r="AU87" i="265"/>
  <c r="AN96" i="265"/>
  <c r="AJ96" i="265"/>
  <c r="AD122" i="265"/>
  <c r="AQ122" i="265"/>
  <c r="AB28" i="266"/>
  <c r="AR28" i="266"/>
  <c r="AJ6" i="268"/>
  <c r="AQ17" i="268"/>
  <c r="AD17" i="268"/>
  <c r="AO16" i="271"/>
  <c r="AV16" i="271" s="1"/>
  <c r="AC16" i="271"/>
  <c r="AD11" i="273"/>
  <c r="AQ11" i="273"/>
  <c r="AR57" i="275"/>
  <c r="AB57" i="275"/>
  <c r="AC66" i="275"/>
  <c r="AO66" i="275"/>
  <c r="AV66" i="275" s="1"/>
  <c r="AD23" i="276"/>
  <c r="AQ23" i="276"/>
  <c r="AN23" i="276"/>
  <c r="AJ23" i="276"/>
  <c r="AO121" i="276"/>
  <c r="AV121" i="276" s="1"/>
  <c r="AC121" i="276"/>
  <c r="AN8" i="265"/>
  <c r="AT8" i="265"/>
  <c r="AJ8" i="265"/>
  <c r="AR9" i="265"/>
  <c r="AB9" i="265"/>
  <c r="AD16" i="265"/>
  <c r="AJ25" i="265"/>
  <c r="AT28" i="265"/>
  <c r="AU31" i="265"/>
  <c r="AT37" i="265"/>
  <c r="AT38" i="265"/>
  <c r="AC39" i="265"/>
  <c r="AD42" i="265"/>
  <c r="AQ44" i="265"/>
  <c r="AD45" i="265"/>
  <c r="AJ47" i="265"/>
  <c r="AN48" i="265"/>
  <c r="AT48" i="265"/>
  <c r="AJ48" i="265"/>
  <c r="AT50" i="265"/>
  <c r="AC51" i="265"/>
  <c r="AU53" i="265"/>
  <c r="AQ59" i="265"/>
  <c r="AJ61" i="265"/>
  <c r="AR63" i="265"/>
  <c r="AB63" i="265"/>
  <c r="AT74" i="265"/>
  <c r="AT77" i="265"/>
  <c r="AT78" i="265"/>
  <c r="AT81" i="265"/>
  <c r="AQ91" i="265"/>
  <c r="AU91" i="265"/>
  <c r="AR99" i="265"/>
  <c r="AC100" i="265"/>
  <c r="AC110" i="265"/>
  <c r="AD113" i="265"/>
  <c r="AR114" i="265"/>
  <c r="AC124" i="265"/>
  <c r="AO124" i="265"/>
  <c r="AV124" i="265" s="1"/>
  <c r="AR128" i="265"/>
  <c r="AN10" i="266"/>
  <c r="AT10" i="266"/>
  <c r="AJ10" i="266"/>
  <c r="AN11" i="268"/>
  <c r="AJ11" i="268"/>
  <c r="AD25" i="270"/>
  <c r="AQ25" i="270"/>
  <c r="AC30" i="270"/>
  <c r="AO30" i="270"/>
  <c r="AV30" i="270" s="1"/>
  <c r="AR9" i="271"/>
  <c r="AB9" i="271"/>
  <c r="AB14" i="271"/>
  <c r="AR14" i="271"/>
  <c r="AD17" i="271"/>
  <c r="AQ17" i="271"/>
  <c r="AR15" i="273"/>
  <c r="AB15" i="273"/>
  <c r="AB45" i="276"/>
  <c r="AR45" i="276"/>
  <c r="AT71" i="276"/>
  <c r="AJ71" i="276"/>
  <c r="AN71" i="276"/>
  <c r="AO77" i="276"/>
  <c r="AV77" i="276" s="1"/>
  <c r="AC77" i="276"/>
  <c r="AO8" i="265"/>
  <c r="AV8" i="265" s="1"/>
  <c r="AQ19" i="265"/>
  <c r="AR19" i="265"/>
  <c r="AR20" i="265"/>
  <c r="AJ21" i="265"/>
  <c r="AN22" i="265"/>
  <c r="AT22" i="265"/>
  <c r="AJ22" i="265"/>
  <c r="AT24" i="265"/>
  <c r="AC25" i="265"/>
  <c r="AO26" i="265"/>
  <c r="AV26" i="265" s="1"/>
  <c r="AJ28" i="265"/>
  <c r="AU28" i="265"/>
  <c r="AQ29" i="265"/>
  <c r="AQ36" i="265"/>
  <c r="AU36" i="265"/>
  <c r="AJ37" i="265"/>
  <c r="AU37" i="265"/>
  <c r="AJ38" i="265"/>
  <c r="AU38" i="265"/>
  <c r="AQ39" i="265"/>
  <c r="AR44" i="265"/>
  <c r="AC47" i="265"/>
  <c r="AO48" i="265"/>
  <c r="AV48" i="265" s="1"/>
  <c r="AJ50" i="265"/>
  <c r="AU50" i="265"/>
  <c r="AQ51" i="265"/>
  <c r="AT59" i="265"/>
  <c r="AT60" i="265"/>
  <c r="AC61" i="265"/>
  <c r="AO62" i="265"/>
  <c r="AV62" i="265" s="1"/>
  <c r="AU63" i="265"/>
  <c r="AR66" i="265"/>
  <c r="AQ72" i="265"/>
  <c r="AU72" i="265"/>
  <c r="AJ73" i="265"/>
  <c r="AU73" i="265"/>
  <c r="AJ74" i="265"/>
  <c r="AU74" i="265"/>
  <c r="AQ76" i="265"/>
  <c r="AU76" i="265"/>
  <c r="AJ77" i="265"/>
  <c r="AU77" i="265"/>
  <c r="AJ78" i="265"/>
  <c r="AU78" i="265"/>
  <c r="AQ80" i="265"/>
  <c r="AU80" i="265"/>
  <c r="AJ81" i="265"/>
  <c r="AU81" i="265"/>
  <c r="AJ82" i="265"/>
  <c r="AU82" i="265"/>
  <c r="AQ84" i="265"/>
  <c r="AU84" i="265"/>
  <c r="AD87" i="265"/>
  <c r="AN87" i="265"/>
  <c r="AQ90" i="265"/>
  <c r="AR90" i="265"/>
  <c r="AR92" i="265"/>
  <c r="AQ96" i="265"/>
  <c r="AT98" i="265"/>
  <c r="AT99" i="265"/>
  <c r="AC102" i="265"/>
  <c r="AO102" i="265"/>
  <c r="AV102" i="265" s="1"/>
  <c r="AR104" i="265"/>
  <c r="AJ105" i="265"/>
  <c r="AB108" i="265"/>
  <c r="AJ108" i="265"/>
  <c r="AT109" i="265"/>
  <c r="AQ112" i="265"/>
  <c r="AB115" i="265"/>
  <c r="AR115" i="265"/>
  <c r="AR123" i="265"/>
  <c r="AB123" i="265"/>
  <c r="AN130" i="265"/>
  <c r="AJ130" i="265"/>
  <c r="AR6" i="266"/>
  <c r="AB6" i="266"/>
  <c r="AO9" i="266"/>
  <c r="AV9" i="266" s="1"/>
  <c r="AC9" i="266"/>
  <c r="AC10" i="266"/>
  <c r="AO10" i="266"/>
  <c r="AV10" i="266" s="1"/>
  <c r="AD17" i="266"/>
  <c r="AQ17" i="266"/>
  <c r="AN17" i="266"/>
  <c r="AT17" i="266"/>
  <c r="AJ17" i="266"/>
  <c r="AQ7" i="267"/>
  <c r="AD7" i="267"/>
  <c r="AR3" i="268"/>
  <c r="AR19" i="268"/>
  <c r="AR6" i="268"/>
  <c r="AR8" i="268"/>
  <c r="AR11" i="268"/>
  <c r="AR13" i="268"/>
  <c r="AB13" i="268"/>
  <c r="AR21" i="268"/>
  <c r="AB21" i="268"/>
  <c r="AC11" i="269"/>
  <c r="AO11" i="269"/>
  <c r="AV11" i="269" s="1"/>
  <c r="AN11" i="269"/>
  <c r="AT11" i="269"/>
  <c r="AJ11" i="269"/>
  <c r="AN6" i="270"/>
  <c r="AB19" i="270"/>
  <c r="AR19" i="270"/>
  <c r="AR13" i="271"/>
  <c r="AB13" i="271"/>
  <c r="AO6" i="272"/>
  <c r="AV6" i="272" s="1"/>
  <c r="AC6" i="272"/>
  <c r="AN26" i="273"/>
  <c r="AJ26" i="273"/>
  <c r="AR6" i="275"/>
  <c r="AR12" i="275"/>
  <c r="AR14" i="275"/>
  <c r="AB14" i="275"/>
  <c r="AR31" i="275"/>
  <c r="AB31" i="275"/>
  <c r="AT43" i="275"/>
  <c r="AN60" i="275"/>
  <c r="AT60" i="275"/>
  <c r="AJ60" i="275"/>
  <c r="AO112" i="275"/>
  <c r="AV112" i="275" s="1"/>
  <c r="AD119" i="275"/>
  <c r="AQ119" i="275"/>
  <c r="AQ71" i="276"/>
  <c r="AD71" i="276"/>
  <c r="AQ10" i="265"/>
  <c r="AU11" i="265"/>
  <c r="AU12" i="265"/>
  <c r="AU14" i="265"/>
  <c r="AU15" i="265"/>
  <c r="AU16" i="265"/>
  <c r="AQ17" i="265"/>
  <c r="AR31" i="265"/>
  <c r="AB31" i="265"/>
  <c r="AR36" i="265"/>
  <c r="AB36" i="265"/>
  <c r="AU42" i="265"/>
  <c r="AQ43" i="265"/>
  <c r="AN52" i="265"/>
  <c r="AT52" i="265"/>
  <c r="AJ52" i="265"/>
  <c r="AQ65" i="265"/>
  <c r="AQ70" i="265"/>
  <c r="AR72" i="265"/>
  <c r="AB72" i="265"/>
  <c r="AQ77" i="265"/>
  <c r="AR80" i="265"/>
  <c r="AB80" i="265"/>
  <c r="AR84" i="265"/>
  <c r="AB84" i="265"/>
  <c r="AQ89" i="265"/>
  <c r="AB94" i="265"/>
  <c r="AR94" i="265"/>
  <c r="AO96" i="265"/>
  <c r="AV96" i="265" s="1"/>
  <c r="AC96" i="265"/>
  <c r="AD114" i="265"/>
  <c r="AQ114" i="265"/>
  <c r="AQ119" i="265"/>
  <c r="AN122" i="265"/>
  <c r="AT122" i="265"/>
  <c r="AJ122" i="265"/>
  <c r="AD128" i="265"/>
  <c r="AQ128" i="265"/>
  <c r="AB13" i="266"/>
  <c r="AR13" i="266"/>
  <c r="AR7" i="267"/>
  <c r="AB7" i="267"/>
  <c r="AJ7" i="268"/>
  <c r="AJ10" i="268"/>
  <c r="AJ22" i="268"/>
  <c r="AJ14" i="268"/>
  <c r="AC20" i="268"/>
  <c r="AO20" i="268"/>
  <c r="AV20" i="268" s="1"/>
  <c r="AQ9" i="269"/>
  <c r="AD9" i="269"/>
  <c r="AJ1" i="270"/>
  <c r="AH1" i="270"/>
  <c r="AH2" i="270" s="1"/>
  <c r="AJ17" i="270"/>
  <c r="AN17" i="270"/>
  <c r="AN25" i="270"/>
  <c r="AJ25" i="270"/>
  <c r="AT25" i="270"/>
  <c r="AR8" i="271"/>
  <c r="AB8" i="271"/>
  <c r="AB10" i="271"/>
  <c r="AR10" i="271"/>
  <c r="AC7" i="272"/>
  <c r="AO7" i="272"/>
  <c r="AV7" i="272" s="1"/>
  <c r="AB27" i="273"/>
  <c r="AR27" i="273"/>
  <c r="AR47" i="275"/>
  <c r="AB47" i="275"/>
  <c r="AC50" i="276"/>
  <c r="AO50" i="276"/>
  <c r="AV50" i="276" s="1"/>
  <c r="AJ7" i="265"/>
  <c r="AD12" i="265"/>
  <c r="AQ20" i="265"/>
  <c r="AN26" i="265"/>
  <c r="AT26" i="265"/>
  <c r="AJ26" i="265"/>
  <c r="AC29" i="265"/>
  <c r="AO30" i="265"/>
  <c r="AV30" i="265" s="1"/>
  <c r="AO52" i="265"/>
  <c r="AV52" i="265" s="1"/>
  <c r="AD57" i="265"/>
  <c r="AR58" i="265"/>
  <c r="AB58" i="265"/>
  <c r="AN62" i="265"/>
  <c r="AT62" i="265"/>
  <c r="AJ62" i="265"/>
  <c r="AQ66" i="265"/>
  <c r="AD67" i="265"/>
  <c r="AR68" i="265"/>
  <c r="AB68" i="265"/>
  <c r="AT73" i="265"/>
  <c r="AT82" i="265"/>
  <c r="AB85" i="265"/>
  <c r="AQ92" i="265"/>
  <c r="AU94" i="265"/>
  <c r="AR102" i="265"/>
  <c r="AB102" i="265"/>
  <c r="AQ105" i="265"/>
  <c r="AR110" i="265"/>
  <c r="AD18" i="266"/>
  <c r="AQ18" i="266"/>
  <c r="AC16" i="268"/>
  <c r="AO16" i="268"/>
  <c r="AV16" i="268" s="1"/>
  <c r="AN16" i="268"/>
  <c r="AT16" i="268"/>
  <c r="AJ16" i="268"/>
  <c r="AO19" i="268"/>
  <c r="AV19" i="268" s="1"/>
  <c r="AC19" i="268"/>
  <c r="AQ28" i="270"/>
  <c r="AR12" i="271"/>
  <c r="AB12" i="271"/>
  <c r="AQ21" i="273"/>
  <c r="AT7" i="274"/>
  <c r="AN7" i="274"/>
  <c r="AJ7" i="274"/>
  <c r="AQ10" i="274"/>
  <c r="AD10" i="274"/>
  <c r="AB16" i="275"/>
  <c r="AR16" i="275"/>
  <c r="AR20" i="275"/>
  <c r="AB20" i="275"/>
  <c r="AR91" i="275"/>
  <c r="AB91" i="275"/>
  <c r="AQ76" i="276"/>
  <c r="AD76" i="276"/>
  <c r="AR88" i="276"/>
  <c r="AB88" i="276"/>
  <c r="AO110" i="276"/>
  <c r="AV110" i="276" s="1"/>
  <c r="AC110" i="276"/>
  <c r="AT6" i="265"/>
  <c r="AC7" i="265"/>
  <c r="AU9" i="265"/>
  <c r="AJ102" i="265"/>
  <c r="AJ127" i="265"/>
  <c r="AJ126" i="265"/>
  <c r="AJ118" i="265"/>
  <c r="AJ113" i="265"/>
  <c r="AJ112" i="265"/>
  <c r="AJ110" i="265"/>
  <c r="AJ71" i="265"/>
  <c r="AJ67" i="265"/>
  <c r="AJ63" i="265"/>
  <c r="AJ57" i="265"/>
  <c r="AJ53" i="265"/>
  <c r="AJ45" i="265"/>
  <c r="AJ35" i="265"/>
  <c r="AJ31" i="265"/>
  <c r="AJ9" i="265"/>
  <c r="AU6" i="265"/>
  <c r="AQ7" i="265"/>
  <c r="AC21" i="265"/>
  <c r="AO22" i="265"/>
  <c r="AV22" i="265" s="1"/>
  <c r="AU24" i="265"/>
  <c r="AQ25" i="265"/>
  <c r="AR29" i="265"/>
  <c r="AQ30" i="265"/>
  <c r="AO31" i="265"/>
  <c r="AV31" i="265" s="1"/>
  <c r="AJ33" i="265"/>
  <c r="AN34" i="265"/>
  <c r="AT34" i="265"/>
  <c r="AJ34" i="265"/>
  <c r="AR35" i="265"/>
  <c r="AB35" i="265"/>
  <c r="AJ36" i="265"/>
  <c r="AR39" i="265"/>
  <c r="AQ47" i="265"/>
  <c r="AR51" i="265"/>
  <c r="AQ52" i="265"/>
  <c r="AO53" i="265"/>
  <c r="AV53" i="265" s="1"/>
  <c r="AR54" i="265"/>
  <c r="AB54" i="265"/>
  <c r="AQ55" i="265"/>
  <c r="AQ58" i="265"/>
  <c r="AU58" i="265"/>
  <c r="AU59" i="265"/>
  <c r="AU60" i="265"/>
  <c r="AQ61" i="265"/>
  <c r="AQ68" i="265"/>
  <c r="AU68" i="265"/>
  <c r="AN70" i="265"/>
  <c r="AT70" i="265"/>
  <c r="AJ70" i="265"/>
  <c r="AR71" i="265"/>
  <c r="AB71" i="265"/>
  <c r="AJ72" i="265"/>
  <c r="AJ76" i="265"/>
  <c r="AJ80" i="265"/>
  <c r="AJ84" i="265"/>
  <c r="AU90" i="265"/>
  <c r="AJ91" i="265"/>
  <c r="AJ94" i="265"/>
  <c r="AQ95" i="265"/>
  <c r="AT96" i="265"/>
  <c r="AQ98" i="265"/>
  <c r="AN101" i="265"/>
  <c r="AT101" i="265"/>
  <c r="AJ101" i="265"/>
  <c r="AC103" i="265"/>
  <c r="AJ103" i="265"/>
  <c r="AT104" i="265"/>
  <c r="AN105" i="265"/>
  <c r="AN108" i="265"/>
  <c r="AR113" i="265"/>
  <c r="AQ120" i="265"/>
  <c r="AQ124" i="265"/>
  <c r="AQ127" i="265"/>
  <c r="AN27" i="266"/>
  <c r="AJ27" i="266"/>
  <c r="AT27" i="266"/>
  <c r="AO9" i="267"/>
  <c r="AV9" i="267" s="1"/>
  <c r="AC9" i="267"/>
  <c r="AQ8" i="268"/>
  <c r="AH1" i="269"/>
  <c r="AH2" i="269" s="1"/>
  <c r="AJ1" i="269"/>
  <c r="AT13" i="269"/>
  <c r="AN18" i="269"/>
  <c r="AJ18" i="269"/>
  <c r="AT18" i="269"/>
  <c r="AQ15" i="270"/>
  <c r="AD15" i="270"/>
  <c r="AT17" i="270"/>
  <c r="AQ21" i="270"/>
  <c r="AQ24" i="270"/>
  <c r="AO29" i="270"/>
  <c r="AV29" i="270" s="1"/>
  <c r="AC29" i="270"/>
  <c r="AN29" i="270"/>
  <c r="AJ29" i="270"/>
  <c r="AT29" i="270"/>
  <c r="AD15" i="273"/>
  <c r="AQ15" i="273"/>
  <c r="AT29" i="273"/>
  <c r="AJ29" i="273"/>
  <c r="AN29" i="273"/>
  <c r="AR7" i="274"/>
  <c r="AR3" i="274"/>
  <c r="AR9" i="274"/>
  <c r="AR6" i="274"/>
  <c r="AB6" i="274"/>
  <c r="AD9" i="274"/>
  <c r="AQ9" i="274"/>
  <c r="AD11" i="275"/>
  <c r="AQ11" i="275"/>
  <c r="AD17" i="275"/>
  <c r="AQ17" i="275"/>
  <c r="AN17" i="275"/>
  <c r="AT17" i="275"/>
  <c r="AJ17" i="275"/>
  <c r="AR39" i="275"/>
  <c r="AB39" i="275"/>
  <c r="AC46" i="275"/>
  <c r="AN78" i="275"/>
  <c r="AJ78" i="275"/>
  <c r="AT78" i="275"/>
  <c r="AO80" i="275"/>
  <c r="AV80" i="275" s="1"/>
  <c r="AC80" i="275"/>
  <c r="AN80" i="275"/>
  <c r="AJ80" i="275"/>
  <c r="AT80" i="275"/>
  <c r="AR96" i="275"/>
  <c r="AR99" i="275"/>
  <c r="AB99" i="275"/>
  <c r="AR103" i="275"/>
  <c r="AD111" i="275"/>
  <c r="AQ111" i="275"/>
  <c r="AN30" i="276"/>
  <c r="AT30" i="276"/>
  <c r="AJ30" i="276"/>
  <c r="AO55" i="276"/>
  <c r="AV55" i="276" s="1"/>
  <c r="AC55" i="276"/>
  <c r="AB60" i="276"/>
  <c r="AR60" i="276"/>
  <c r="AJ62" i="276"/>
  <c r="AT62" i="276"/>
  <c r="AN62" i="276"/>
  <c r="AN70" i="276"/>
  <c r="AJ70" i="276"/>
  <c r="AT70" i="276"/>
  <c r="AQ103" i="265"/>
  <c r="AQ107" i="265"/>
  <c r="AN123" i="265"/>
  <c r="AT123" i="265"/>
  <c r="AJ123" i="265"/>
  <c r="AR124" i="265"/>
  <c r="AB124" i="265"/>
  <c r="AQ130" i="265"/>
  <c r="AU28" i="266"/>
  <c r="AU18" i="266"/>
  <c r="AU10" i="266"/>
  <c r="AU27" i="266"/>
  <c r="AU17" i="266"/>
  <c r="AU9" i="266"/>
  <c r="AO6" i="266"/>
  <c r="AV6" i="266" s="1"/>
  <c r="AN9" i="266"/>
  <c r="AN13" i="266"/>
  <c r="AN15" i="266"/>
  <c r="AN18" i="266"/>
  <c r="AT18" i="266"/>
  <c r="AJ18" i="266"/>
  <c r="AR19" i="266"/>
  <c r="AB19" i="266"/>
  <c r="AU19" i="266"/>
  <c r="AN20" i="266"/>
  <c r="AN24" i="266"/>
  <c r="AN9" i="267"/>
  <c r="AQ7" i="268"/>
  <c r="AR10" i="268"/>
  <c r="AB10" i="268"/>
  <c r="AQ11" i="268"/>
  <c r="AQ13" i="268"/>
  <c r="AJ20" i="270"/>
  <c r="AJ19" i="270"/>
  <c r="AJ15" i="270"/>
  <c r="AR16" i="270"/>
  <c r="AB16" i="270"/>
  <c r="AQ17" i="270"/>
  <c r="AR17" i="270"/>
  <c r="AD30" i="270"/>
  <c r="AQ30" i="270"/>
  <c r="AJ19" i="271"/>
  <c r="AJ16" i="271"/>
  <c r="AJ13" i="271"/>
  <c r="AJ9" i="271"/>
  <c r="AO17" i="271"/>
  <c r="AV17" i="271" s="1"/>
  <c r="AC17" i="271"/>
  <c r="AU7" i="272"/>
  <c r="AH1" i="273"/>
  <c r="AH2" i="273" s="1"/>
  <c r="AJ1" i="273"/>
  <c r="AR10" i="273"/>
  <c r="AO15" i="273"/>
  <c r="AV15" i="273" s="1"/>
  <c r="AQ18" i="273"/>
  <c r="AR25" i="273"/>
  <c r="AB25" i="273"/>
  <c r="AU8" i="274"/>
  <c r="AU3" i="274"/>
  <c r="AU9" i="274"/>
  <c r="AR22" i="275"/>
  <c r="AC34" i="275"/>
  <c r="AO34" i="275"/>
  <c r="AV34" i="275" s="1"/>
  <c r="AN53" i="275"/>
  <c r="AB54" i="275"/>
  <c r="AR54" i="275"/>
  <c r="AN65" i="275"/>
  <c r="AB66" i="275"/>
  <c r="AR66" i="275"/>
  <c r="AO72" i="275"/>
  <c r="AV72" i="275" s="1"/>
  <c r="AC72" i="275"/>
  <c r="AN72" i="275"/>
  <c r="AJ72" i="275"/>
  <c r="AN75" i="275"/>
  <c r="AN82" i="275"/>
  <c r="AN86" i="275"/>
  <c r="AT86" i="275"/>
  <c r="AN87" i="275"/>
  <c r="AJ87" i="275"/>
  <c r="AB90" i="275"/>
  <c r="AR90" i="275"/>
  <c r="AC111" i="275"/>
  <c r="AO111" i="275"/>
  <c r="AV111" i="275" s="1"/>
  <c r="AT111" i="275"/>
  <c r="AJ111" i="275"/>
  <c r="AN112" i="275"/>
  <c r="AN117" i="275"/>
  <c r="AO119" i="275"/>
  <c r="AV119" i="275" s="1"/>
  <c r="AC119" i="275"/>
  <c r="AD120" i="275"/>
  <c r="AQ120" i="275"/>
  <c r="AD126" i="275"/>
  <c r="AQ126" i="275"/>
  <c r="AD20" i="276"/>
  <c r="AQ20" i="276"/>
  <c r="AN20" i="276"/>
  <c r="AT20" i="276"/>
  <c r="AD35" i="276"/>
  <c r="AQ35" i="276"/>
  <c r="AN35" i="276"/>
  <c r="AT35" i="276"/>
  <c r="AJ35" i="276"/>
  <c r="AO36" i="276"/>
  <c r="AV36" i="276" s="1"/>
  <c r="AC36" i="276"/>
  <c r="AO40" i="276"/>
  <c r="AV40" i="276" s="1"/>
  <c r="AC40" i="276"/>
  <c r="AR50" i="276"/>
  <c r="AB50" i="276"/>
  <c r="AT50" i="276"/>
  <c r="AJ50" i="276"/>
  <c r="AN50" i="276"/>
  <c r="AO60" i="276"/>
  <c r="AV60" i="276" s="1"/>
  <c r="AC60" i="276"/>
  <c r="AR96" i="276"/>
  <c r="AB96" i="276"/>
  <c r="AD114" i="276"/>
  <c r="AQ114" i="276"/>
  <c r="AR116" i="265"/>
  <c r="AB116" i="265"/>
  <c r="AQ126" i="265"/>
  <c r="AT7" i="266"/>
  <c r="AT8" i="266"/>
  <c r="AN28" i="266"/>
  <c r="AT28" i="266"/>
  <c r="AJ28" i="266"/>
  <c r="AU20" i="268"/>
  <c r="AU16" i="268"/>
  <c r="AU8" i="268"/>
  <c r="AU3" i="268"/>
  <c r="AU19" i="268"/>
  <c r="AU7" i="268"/>
  <c r="AU10" i="268"/>
  <c r="AR6" i="269"/>
  <c r="AB6" i="269"/>
  <c r="AQ9" i="270"/>
  <c r="AR9" i="270"/>
  <c r="AQ13" i="270"/>
  <c r="AR13" i="270"/>
  <c r="AQ16" i="270"/>
  <c r="AR24" i="270"/>
  <c r="AN15" i="273"/>
  <c r="AN11" i="273"/>
  <c r="AR7" i="273"/>
  <c r="AB7" i="273"/>
  <c r="AN30" i="273"/>
  <c r="AN9" i="275"/>
  <c r="AJ9" i="275"/>
  <c r="AN14" i="275"/>
  <c r="AC28" i="275"/>
  <c r="AO28" i="275"/>
  <c r="AV28" i="275" s="1"/>
  <c r="AO37" i="275"/>
  <c r="AV37" i="275" s="1"/>
  <c r="AC37" i="275"/>
  <c r="AO44" i="275"/>
  <c r="AV44" i="275" s="1"/>
  <c r="AC44" i="275"/>
  <c r="AN58" i="275"/>
  <c r="AR65" i="275"/>
  <c r="AB65" i="275"/>
  <c r="AD80" i="275"/>
  <c r="AQ80" i="275"/>
  <c r="AN96" i="275"/>
  <c r="AB100" i="275"/>
  <c r="AR100" i="275"/>
  <c r="AR48" i="276"/>
  <c r="AB48" i="276"/>
  <c r="AD70" i="276"/>
  <c r="AQ70" i="276"/>
  <c r="AR74" i="276"/>
  <c r="AB74" i="276"/>
  <c r="AQ113" i="276"/>
  <c r="AD113" i="276"/>
  <c r="AN89" i="265"/>
  <c r="AQ94" i="265"/>
  <c r="AQ100" i="265"/>
  <c r="AN102" i="265"/>
  <c r="AN110" i="265"/>
  <c r="AC114" i="265"/>
  <c r="AO115" i="265"/>
  <c r="AV115" i="265" s="1"/>
  <c r="AN118" i="265"/>
  <c r="AC128" i="265"/>
  <c r="AU6" i="266"/>
  <c r="AJ7" i="266"/>
  <c r="AU7" i="266"/>
  <c r="AJ8" i="266"/>
  <c r="AU8" i="266"/>
  <c r="AQ9" i="266"/>
  <c r="AN11" i="266"/>
  <c r="AR12" i="266"/>
  <c r="AB12" i="266"/>
  <c r="AC27" i="266"/>
  <c r="AO28" i="266"/>
  <c r="AV28" i="266" s="1"/>
  <c r="AQ9" i="267"/>
  <c r="AR14" i="268"/>
  <c r="AB14" i="268"/>
  <c r="AQ19" i="268"/>
  <c r="AR22" i="268"/>
  <c r="AB22" i="268"/>
  <c r="AN7" i="269"/>
  <c r="AN14" i="269"/>
  <c r="AC18" i="269"/>
  <c r="AU30" i="270"/>
  <c r="AU26" i="270"/>
  <c r="AU19" i="270"/>
  <c r="AU3" i="270"/>
  <c r="AU29" i="270"/>
  <c r="AU28" i="270"/>
  <c r="AU7" i="270"/>
  <c r="AR15" i="270"/>
  <c r="AB15" i="270"/>
  <c r="AJ16" i="270"/>
  <c r="AQ19" i="270"/>
  <c r="AU23" i="270"/>
  <c r="AJ24" i="270"/>
  <c r="AT24" i="270"/>
  <c r="AC25" i="270"/>
  <c r="AT28" i="270"/>
  <c r="AO6" i="271"/>
  <c r="AV6" i="271" s="1"/>
  <c r="AC6" i="271"/>
  <c r="AN6" i="271"/>
  <c r="AJ6" i="271"/>
  <c r="AT7" i="271"/>
  <c r="AO9" i="271"/>
  <c r="AV9" i="271" s="1"/>
  <c r="AQ10" i="271"/>
  <c r="AN10" i="271"/>
  <c r="AJ10" i="271"/>
  <c r="AO13" i="271"/>
  <c r="AV13" i="271" s="1"/>
  <c r="AQ14" i="271"/>
  <c r="AN14" i="271"/>
  <c r="AJ14" i="271"/>
  <c r="AQ18" i="271"/>
  <c r="AT18" i="271"/>
  <c r="AJ18" i="271"/>
  <c r="AR19" i="271"/>
  <c r="AB19" i="271"/>
  <c r="AO6" i="273"/>
  <c r="AV6" i="273" s="1"/>
  <c r="AB10" i="273"/>
  <c r="AN10" i="273"/>
  <c r="AR11" i="273"/>
  <c r="AB11" i="273"/>
  <c r="AN21" i="273"/>
  <c r="AJ21" i="273"/>
  <c r="AN23" i="273"/>
  <c r="AB24" i="273"/>
  <c r="AR24" i="273"/>
  <c r="AO27" i="273"/>
  <c r="AV27" i="273" s="1"/>
  <c r="AJ6" i="274"/>
  <c r="AR8" i="274"/>
  <c r="AQ7" i="275"/>
  <c r="AD9" i="275"/>
  <c r="AQ9" i="275"/>
  <c r="AR11" i="275"/>
  <c r="AB11" i="275"/>
  <c r="AC12" i="275"/>
  <c r="AO12" i="275"/>
  <c r="AV12" i="275" s="1"/>
  <c r="AN12" i="275"/>
  <c r="AJ12" i="275"/>
  <c r="AR17" i="275"/>
  <c r="AQ19" i="275"/>
  <c r="AJ20" i="275"/>
  <c r="AQ23" i="275"/>
  <c r="AD23" i="275"/>
  <c r="AJ25" i="275"/>
  <c r="AO27" i="275"/>
  <c r="AV27" i="275" s="1"/>
  <c r="AQ28" i="275"/>
  <c r="AQ31" i="275"/>
  <c r="AR33" i="275"/>
  <c r="AQ33" i="275"/>
  <c r="AJ36" i="275"/>
  <c r="AQ37" i="275"/>
  <c r="AN40" i="275"/>
  <c r="AN47" i="275"/>
  <c r="AO50" i="275"/>
  <c r="AV50" i="275" s="1"/>
  <c r="AC50" i="275"/>
  <c r="AJ54" i="275"/>
  <c r="AQ57" i="275"/>
  <c r="AQ59" i="275"/>
  <c r="AQ62" i="275"/>
  <c r="AJ67" i="275"/>
  <c r="AJ69" i="275"/>
  <c r="AO70" i="275"/>
  <c r="AV70" i="275" s="1"/>
  <c r="AC70" i="275"/>
  <c r="AQ71" i="275"/>
  <c r="AR75" i="275"/>
  <c r="AB75" i="275"/>
  <c r="AR85" i="275"/>
  <c r="AB85" i="275"/>
  <c r="AQ87" i="275"/>
  <c r="AJ90" i="275"/>
  <c r="AN92" i="275"/>
  <c r="AN94" i="275"/>
  <c r="AQ98" i="275"/>
  <c r="AD98" i="275"/>
  <c r="AQ105" i="275"/>
  <c r="AQ107" i="275"/>
  <c r="AQ114" i="275"/>
  <c r="AR117" i="275"/>
  <c r="AC121" i="275"/>
  <c r="AO121" i="275"/>
  <c r="AV121" i="275" s="1"/>
  <c r="AT121" i="275"/>
  <c r="AJ121" i="275"/>
  <c r="AN88" i="276"/>
  <c r="AN84" i="276"/>
  <c r="AN120" i="276"/>
  <c r="AN107" i="276"/>
  <c r="AN77" i="276"/>
  <c r="AN61" i="276"/>
  <c r="AN60" i="276"/>
  <c r="AN59" i="276"/>
  <c r="AN56" i="276"/>
  <c r="AN55" i="276"/>
  <c r="AN102" i="276"/>
  <c r="AN58" i="276"/>
  <c r="AN43" i="276"/>
  <c r="AN101" i="276"/>
  <c r="AN98" i="276"/>
  <c r="AN83" i="276"/>
  <c r="AN52" i="276"/>
  <c r="AN115" i="276"/>
  <c r="AN105" i="276"/>
  <c r="AN95" i="276"/>
  <c r="AN81" i="276"/>
  <c r="AN45" i="276"/>
  <c r="AN40" i="276"/>
  <c r="AN36" i="276"/>
  <c r="AN87" i="276"/>
  <c r="AN68" i="276"/>
  <c r="AN54" i="276"/>
  <c r="AN14" i="276"/>
  <c r="AN90" i="276"/>
  <c r="AN79" i="276"/>
  <c r="AN26" i="276"/>
  <c r="AN109" i="276"/>
  <c r="AN85" i="276"/>
  <c r="AQ6" i="276"/>
  <c r="AQ9" i="276"/>
  <c r="AN10" i="276"/>
  <c r="AN27" i="276"/>
  <c r="AQ32" i="276"/>
  <c r="AD33" i="276"/>
  <c r="AQ33" i="276"/>
  <c r="AR39" i="276"/>
  <c r="AB39" i="276"/>
  <c r="AQ41" i="276"/>
  <c r="AN42" i="276"/>
  <c r="AC44" i="276"/>
  <c r="AO44" i="276"/>
  <c r="AV44" i="276" s="1"/>
  <c r="AN47" i="276"/>
  <c r="AD52" i="276"/>
  <c r="AQ52" i="276"/>
  <c r="AD63" i="276"/>
  <c r="AQ63" i="276"/>
  <c r="AO67" i="276"/>
  <c r="AV67" i="276" s="1"/>
  <c r="AC67" i="276"/>
  <c r="AQ98" i="276"/>
  <c r="AD98" i="276"/>
  <c r="AN115" i="265"/>
  <c r="AT115" i="265"/>
  <c r="AJ115" i="265"/>
  <c r="AR125" i="265"/>
  <c r="AB125" i="265"/>
  <c r="AN19" i="266"/>
  <c r="AR20" i="266"/>
  <c r="AB20" i="266"/>
  <c r="AR24" i="266"/>
  <c r="AB24" i="266"/>
  <c r="AR29" i="266"/>
  <c r="AB29" i="266"/>
  <c r="AQ6" i="267"/>
  <c r="AU11" i="268"/>
  <c r="AR21" i="270"/>
  <c r="AR3" i="270"/>
  <c r="AR10" i="270"/>
  <c r="AR12" i="270"/>
  <c r="AB12" i="270"/>
  <c r="AR20" i="270"/>
  <c r="AB20" i="270"/>
  <c r="AQ23" i="270"/>
  <c r="AR26" i="270"/>
  <c r="AR29" i="270"/>
  <c r="AR14" i="273"/>
  <c r="AR17" i="273"/>
  <c r="AN130" i="275"/>
  <c r="AN126" i="275"/>
  <c r="AN119" i="275"/>
  <c r="AN118" i="275"/>
  <c r="AN31" i="275"/>
  <c r="AN27" i="275"/>
  <c r="AN15" i="275"/>
  <c r="AN11" i="275"/>
  <c r="AN104" i="275"/>
  <c r="AN85" i="275"/>
  <c r="AN69" i="275"/>
  <c r="AN122" i="275"/>
  <c r="AN113" i="275"/>
  <c r="AN101" i="275"/>
  <c r="AN99" i="275"/>
  <c r="AN66" i="275"/>
  <c r="AN59" i="275"/>
  <c r="AN23" i="275"/>
  <c r="AN103" i="275"/>
  <c r="AN90" i="275"/>
  <c r="AN57" i="275"/>
  <c r="AN46" i="275"/>
  <c r="AN7" i="275"/>
  <c r="AN6" i="275"/>
  <c r="AO9" i="275"/>
  <c r="AV9" i="275" s="1"/>
  <c r="AC9" i="275"/>
  <c r="AR15" i="275"/>
  <c r="AB15" i="275"/>
  <c r="AT25" i="275"/>
  <c r="AR27" i="275"/>
  <c r="AB27" i="275"/>
  <c r="AN28" i="275"/>
  <c r="AJ28" i="275"/>
  <c r="AN44" i="275"/>
  <c r="AJ44" i="275"/>
  <c r="AN56" i="275"/>
  <c r="AN76" i="275"/>
  <c r="AJ76" i="275"/>
  <c r="AO97" i="275"/>
  <c r="AV97" i="275" s="1"/>
  <c r="AC97" i="275"/>
  <c r="AN97" i="275"/>
  <c r="AT97" i="275"/>
  <c r="AT98" i="275"/>
  <c r="AJ98" i="275"/>
  <c r="AN98" i="275"/>
  <c r="AC107" i="275"/>
  <c r="AO107" i="275"/>
  <c r="AV107" i="275" s="1"/>
  <c r="AR122" i="275"/>
  <c r="AB122" i="275"/>
  <c r="AO33" i="276"/>
  <c r="AV33" i="276" s="1"/>
  <c r="AC33" i="276"/>
  <c r="AN33" i="276"/>
  <c r="AJ33" i="276"/>
  <c r="AO52" i="276"/>
  <c r="AV52" i="276" s="1"/>
  <c r="AC52" i="276"/>
  <c r="AT85" i="265"/>
  <c r="AJ85" i="265"/>
  <c r="AN92" i="265"/>
  <c r="AR103" i="265"/>
  <c r="AB103" i="265"/>
  <c r="AQ104" i="265"/>
  <c r="AR107" i="265"/>
  <c r="AB107" i="265"/>
  <c r="AQ108" i="265"/>
  <c r="AN119" i="265"/>
  <c r="AT119" i="265"/>
  <c r="AJ119" i="265"/>
  <c r="AR120" i="265"/>
  <c r="AB120" i="265"/>
  <c r="AQ125" i="265"/>
  <c r="AQ10" i="266"/>
  <c r="AO11" i="266"/>
  <c r="AV11" i="266" s="1"/>
  <c r="AR15" i="266"/>
  <c r="AB15" i="266"/>
  <c r="AU15" i="266"/>
  <c r="AU20" i="266"/>
  <c r="AU21" i="266"/>
  <c r="AU22" i="266"/>
  <c r="AU24" i="266"/>
  <c r="AU25" i="266"/>
  <c r="AU26" i="266"/>
  <c r="AJ1" i="267"/>
  <c r="AH1" i="267"/>
  <c r="AH2" i="267" s="1"/>
  <c r="AN8" i="268"/>
  <c r="AT8" i="268"/>
  <c r="AJ8" i="268"/>
  <c r="AR9" i="268"/>
  <c r="AB9" i="268"/>
  <c r="AU9" i="268"/>
  <c r="AO13" i="268"/>
  <c r="AV13" i="268" s="1"/>
  <c r="AQ20" i="268"/>
  <c r="AO21" i="268"/>
  <c r="AV21" i="268" s="1"/>
  <c r="AN10" i="269"/>
  <c r="AJ14" i="269"/>
  <c r="AJ16" i="269"/>
  <c r="AJ17" i="269"/>
  <c r="AR6" i="270"/>
  <c r="AJ7" i="270"/>
  <c r="AJ9" i="270"/>
  <c r="AJ10" i="270"/>
  <c r="AQ12" i="270"/>
  <c r="AJ13" i="270"/>
  <c r="AO19" i="270"/>
  <c r="AV19" i="270" s="1"/>
  <c r="AJ21" i="270"/>
  <c r="AJ23" i="270"/>
  <c r="AD26" i="270"/>
  <c r="AQ26" i="270"/>
  <c r="AJ28" i="270"/>
  <c r="AR30" i="270"/>
  <c r="AD7" i="271"/>
  <c r="AQ7" i="271"/>
  <c r="AO10" i="271"/>
  <c r="AV10" i="271" s="1"/>
  <c r="AO14" i="271"/>
  <c r="AV14" i="271" s="1"/>
  <c r="AN15" i="271"/>
  <c r="AT15" i="271"/>
  <c r="AJ15" i="271"/>
  <c r="AD21" i="271"/>
  <c r="AQ21" i="271"/>
  <c r="AR22" i="271"/>
  <c r="AQ7" i="272"/>
  <c r="AU8" i="272"/>
  <c r="AJ27" i="273"/>
  <c r="AJ15" i="273"/>
  <c r="AJ11" i="273"/>
  <c r="AQ7" i="273"/>
  <c r="AO11" i="273"/>
  <c r="AV11" i="273" s="1"/>
  <c r="AT18" i="273"/>
  <c r="AJ18" i="273"/>
  <c r="AN18" i="273"/>
  <c r="AJ20" i="273"/>
  <c r="AO21" i="273"/>
  <c r="AV21" i="273" s="1"/>
  <c r="AC21" i="273"/>
  <c r="AQ22" i="273"/>
  <c r="AT22" i="273"/>
  <c r="AJ22" i="273"/>
  <c r="AN25" i="273"/>
  <c r="AU10" i="274"/>
  <c r="AQ129" i="275"/>
  <c r="AQ122" i="275"/>
  <c r="AQ3" i="275"/>
  <c r="AQ44" i="275"/>
  <c r="AQ36" i="275"/>
  <c r="AQ115" i="275"/>
  <c r="AQ112" i="275"/>
  <c r="AQ10" i="275"/>
  <c r="AJ127" i="275"/>
  <c r="AJ123" i="275"/>
  <c r="AJ114" i="275"/>
  <c r="AJ113" i="275"/>
  <c r="AJ112" i="275"/>
  <c r="AJ101" i="275"/>
  <c r="AJ100" i="275"/>
  <c r="AJ99" i="275"/>
  <c r="AJ96" i="275"/>
  <c r="AJ93" i="275"/>
  <c r="AJ130" i="275"/>
  <c r="AJ119" i="275"/>
  <c r="AJ31" i="275"/>
  <c r="AJ27" i="275"/>
  <c r="AJ15" i="275"/>
  <c r="AJ11" i="275"/>
  <c r="AJ104" i="275"/>
  <c r="AJ92" i="275"/>
  <c r="AJ89" i="275"/>
  <c r="AJ85" i="275"/>
  <c r="AJ83" i="275"/>
  <c r="AJ75" i="275"/>
  <c r="AJ63" i="275"/>
  <c r="AJ50" i="275"/>
  <c r="AJ48" i="275"/>
  <c r="AJ42" i="275"/>
  <c r="AJ40" i="275"/>
  <c r="AJ122" i="275"/>
  <c r="AJ66" i="275"/>
  <c r="AJ59" i="275"/>
  <c r="AJ23" i="275"/>
  <c r="AJ7" i="275"/>
  <c r="AN10" i="275"/>
  <c r="AO11" i="275"/>
  <c r="AV11" i="275" s="1"/>
  <c r="AQ12" i="275"/>
  <c r="AQ15" i="275"/>
  <c r="AJ19" i="275"/>
  <c r="AN20" i="275"/>
  <c r="AQ22" i="275"/>
  <c r="AN24" i="275"/>
  <c r="AD27" i="275"/>
  <c r="AQ27" i="275"/>
  <c r="AR30" i="275"/>
  <c r="AQ30" i="275"/>
  <c r="AN36" i="275"/>
  <c r="AJ39" i="275"/>
  <c r="AB46" i="275"/>
  <c r="AR46" i="275"/>
  <c r="AQ50" i="275"/>
  <c r="AQ53" i="275"/>
  <c r="AN54" i="275"/>
  <c r="AJ57" i="275"/>
  <c r="AQ60" i="275"/>
  <c r="AN62" i="275"/>
  <c r="AN67" i="275"/>
  <c r="AC69" i="275"/>
  <c r="AQ70" i="275"/>
  <c r="AN70" i="275"/>
  <c r="AJ70" i="275"/>
  <c r="AC74" i="275"/>
  <c r="AJ74" i="275"/>
  <c r="AT76" i="275"/>
  <c r="AO78" i="275"/>
  <c r="AV78" i="275" s="1"/>
  <c r="AC78" i="275"/>
  <c r="AQ79" i="275"/>
  <c r="AR83" i="275"/>
  <c r="AB83" i="275"/>
  <c r="AR89" i="275"/>
  <c r="AB89" i="275"/>
  <c r="AJ91" i="275"/>
  <c r="AQ96" i="275"/>
  <c r="AQ100" i="275"/>
  <c r="AN100" i="275"/>
  <c r="AQ103" i="275"/>
  <c r="AQ104" i="275"/>
  <c r="AN105" i="275"/>
  <c r="AD108" i="275"/>
  <c r="AN108" i="275"/>
  <c r="AR109" i="275"/>
  <c r="AN114" i="275"/>
  <c r="AQ121" i="275"/>
  <c r="AD121" i="275"/>
  <c r="AN121" i="275"/>
  <c r="AR126" i="275"/>
  <c r="AB126" i="275"/>
  <c r="AN19" i="276"/>
  <c r="AT19" i="276"/>
  <c r="AJ19" i="276"/>
  <c r="AJ44" i="276"/>
  <c r="AT44" i="276"/>
  <c r="AR55" i="276"/>
  <c r="AB55" i="276"/>
  <c r="AO62" i="276"/>
  <c r="AV62" i="276" s="1"/>
  <c r="AC62" i="276"/>
  <c r="AN66" i="276"/>
  <c r="AQ68" i="276"/>
  <c r="AD68" i="276"/>
  <c r="AC97" i="276"/>
  <c r="AO97" i="276"/>
  <c r="AV97" i="276" s="1"/>
  <c r="AT97" i="276"/>
  <c r="AJ97" i="276"/>
  <c r="AN97" i="276"/>
  <c r="AJ99" i="276"/>
  <c r="AN99" i="276"/>
  <c r="AT99" i="276"/>
  <c r="AC101" i="276"/>
  <c r="AO101" i="276"/>
  <c r="AV101" i="276" s="1"/>
  <c r="AU9" i="267"/>
  <c r="AU10" i="269"/>
  <c r="AU14" i="269"/>
  <c r="AU18" i="269"/>
  <c r="AU6" i="271"/>
  <c r="AU9" i="271"/>
  <c r="AU10" i="271"/>
  <c r="AU13" i="271"/>
  <c r="AU14" i="271"/>
  <c r="AT22" i="271"/>
  <c r="AJ22" i="271"/>
  <c r="AN6" i="272"/>
  <c r="AT6" i="272"/>
  <c r="AR8" i="272"/>
  <c r="AB8" i="272"/>
  <c r="AQ24" i="273"/>
  <c r="AN27" i="273"/>
  <c r="AT27" i="273"/>
  <c r="AH1" i="275"/>
  <c r="AH2" i="275" s="1"/>
  <c r="AJ1" i="275"/>
  <c r="AR10" i="275"/>
  <c r="AO15" i="275"/>
  <c r="AV15" i="275" s="1"/>
  <c r="AO31" i="275"/>
  <c r="AV31" i="275" s="1"/>
  <c r="AQ34" i="275"/>
  <c r="AN42" i="275"/>
  <c r="AN50" i="275"/>
  <c r="AB58" i="275"/>
  <c r="AR58" i="275"/>
  <c r="AN63" i="275"/>
  <c r="AT63" i="275"/>
  <c r="AR67" i="275"/>
  <c r="AB67" i="275"/>
  <c r="AQ75" i="275"/>
  <c r="AQ83" i="275"/>
  <c r="AQ89" i="275"/>
  <c r="AO96" i="275"/>
  <c r="AV96" i="275" s="1"/>
  <c r="AC96" i="275"/>
  <c r="AQ101" i="275"/>
  <c r="AQ113" i="275"/>
  <c r="AR118" i="275"/>
  <c r="AR130" i="275"/>
  <c r="AB130" i="275"/>
  <c r="AD21" i="276"/>
  <c r="AQ21" i="276"/>
  <c r="AN21" i="276"/>
  <c r="AJ21" i="276"/>
  <c r="AN31" i="276"/>
  <c r="AT31" i="276"/>
  <c r="AN48" i="276"/>
  <c r="AJ48" i="276"/>
  <c r="AD109" i="276"/>
  <c r="AQ109" i="276"/>
  <c r="AB118" i="276"/>
  <c r="AR118" i="276"/>
  <c r="AJ116" i="265"/>
  <c r="AJ120" i="265"/>
  <c r="AJ124" i="265"/>
  <c r="AJ11" i="266"/>
  <c r="AJ15" i="266"/>
  <c r="AJ19" i="266"/>
  <c r="AJ29" i="266"/>
  <c r="AJ7" i="267"/>
  <c r="AJ9" i="268"/>
  <c r="AJ13" i="268"/>
  <c r="AJ17" i="268"/>
  <c r="AJ21" i="268"/>
  <c r="AU21" i="271"/>
  <c r="AU17" i="271"/>
  <c r="AU7" i="271"/>
  <c r="AT8" i="271"/>
  <c r="AJ8" i="271"/>
  <c r="AU8" i="271"/>
  <c r="AT12" i="271"/>
  <c r="AJ12" i="271"/>
  <c r="AU12" i="271"/>
  <c r="AU15" i="271"/>
  <c r="AU16" i="271"/>
  <c r="AR18" i="271"/>
  <c r="AU19" i="271"/>
  <c r="AR21" i="271"/>
  <c r="AT10" i="273"/>
  <c r="AJ10" i="273"/>
  <c r="AT14" i="273"/>
  <c r="AJ14" i="273"/>
  <c r="AN17" i="273"/>
  <c r="AT17" i="273"/>
  <c r="AQ6" i="274"/>
  <c r="AQ7" i="274"/>
  <c r="AC9" i="274"/>
  <c r="AO9" i="274"/>
  <c r="AV9" i="274" s="1"/>
  <c r="AT9" i="274"/>
  <c r="AJ9" i="274"/>
  <c r="AQ6" i="275"/>
  <c r="AT6" i="275"/>
  <c r="AJ6" i="275"/>
  <c r="AQ16" i="275"/>
  <c r="AN16" i="275"/>
  <c r="AJ16" i="275"/>
  <c r="AR24" i="275"/>
  <c r="AQ39" i="275"/>
  <c r="AQ47" i="275"/>
  <c r="AR53" i="275"/>
  <c r="AB53" i="275"/>
  <c r="AQ56" i="275"/>
  <c r="AT56" i="275"/>
  <c r="AJ56" i="275"/>
  <c r="AQ65" i="275"/>
  <c r="AR69" i="275"/>
  <c r="AB69" i="275"/>
  <c r="AN71" i="275"/>
  <c r="AT71" i="275"/>
  <c r="AB74" i="275"/>
  <c r="AR74" i="275"/>
  <c r="AN79" i="275"/>
  <c r="AT79" i="275"/>
  <c r="AB82" i="275"/>
  <c r="AR82" i="275"/>
  <c r="AQ91" i="275"/>
  <c r="AC94" i="275"/>
  <c r="AO94" i="275"/>
  <c r="AV94" i="275" s="1"/>
  <c r="AT94" i="275"/>
  <c r="AJ94" i="275"/>
  <c r="AT107" i="275"/>
  <c r="AJ107" i="275"/>
  <c r="AN107" i="275"/>
  <c r="AR111" i="275"/>
  <c r="AR114" i="275"/>
  <c r="AB114" i="275"/>
  <c r="AQ117" i="275"/>
  <c r="AJ117" i="275"/>
  <c r="AT117" i="275"/>
  <c r="AB123" i="275"/>
  <c r="AR123" i="275"/>
  <c r="AO130" i="275"/>
  <c r="AV130" i="275" s="1"/>
  <c r="AC130" i="275"/>
  <c r="AD13" i="276"/>
  <c r="AQ13" i="276"/>
  <c r="AN13" i="276"/>
  <c r="AT13" i="276"/>
  <c r="AR14" i="276"/>
  <c r="AB14" i="276"/>
  <c r="AR43" i="276"/>
  <c r="AB43" i="276"/>
  <c r="AT65" i="276"/>
  <c r="AJ65" i="276"/>
  <c r="AN65" i="276"/>
  <c r="AC71" i="276"/>
  <c r="AO71" i="276"/>
  <c r="AV71" i="276" s="1"/>
  <c r="AB82" i="276"/>
  <c r="AR82" i="276"/>
  <c r="AC83" i="276"/>
  <c r="AO83" i="276"/>
  <c r="AV83" i="276" s="1"/>
  <c r="AQ84" i="276"/>
  <c r="AN8" i="274"/>
  <c r="AT8" i="274"/>
  <c r="AR10" i="274"/>
  <c r="AB10" i="274"/>
  <c r="AR19" i="275"/>
  <c r="AB19" i="275"/>
  <c r="AR23" i="275"/>
  <c r="AB23" i="275"/>
  <c r="AQ46" i="275"/>
  <c r="AQ54" i="275"/>
  <c r="AQ58" i="275"/>
  <c r="AQ66" i="275"/>
  <c r="AQ74" i="275"/>
  <c r="AQ82" i="275"/>
  <c r="AQ90" i="275"/>
  <c r="AN93" i="275"/>
  <c r="AT93" i="275"/>
  <c r="AT118" i="275"/>
  <c r="AJ118" i="275"/>
  <c r="AN127" i="275"/>
  <c r="AT6" i="276"/>
  <c r="AJ6" i="276"/>
  <c r="AN6" i="276"/>
  <c r="AN9" i="276"/>
  <c r="AJ9" i="276"/>
  <c r="AO12" i="276"/>
  <c r="AV12" i="276" s="1"/>
  <c r="AC12" i="276"/>
  <c r="AN12" i="276"/>
  <c r="AJ12" i="276"/>
  <c r="AN41" i="276"/>
  <c r="AJ41" i="276"/>
  <c r="AD50" i="276"/>
  <c r="AQ50" i="276"/>
  <c r="AR56" i="276"/>
  <c r="AB63" i="276"/>
  <c r="AR63" i="276"/>
  <c r="AD82" i="276"/>
  <c r="AQ82" i="276"/>
  <c r="AT10" i="275"/>
  <c r="AJ10" i="275"/>
  <c r="AT14" i="275"/>
  <c r="AJ14" i="275"/>
  <c r="AQ20" i="275"/>
  <c r="AQ24" i="275"/>
  <c r="AT30" i="275"/>
  <c r="AJ30" i="275"/>
  <c r="AN33" i="275"/>
  <c r="AT33" i="275"/>
  <c r="AC103" i="275"/>
  <c r="AO103" i="275"/>
  <c r="AV103" i="275" s="1"/>
  <c r="AT103" i="275"/>
  <c r="AJ103" i="275"/>
  <c r="AQ109" i="275"/>
  <c r="AO120" i="275"/>
  <c r="AV120" i="275" s="1"/>
  <c r="AC120" i="275"/>
  <c r="AN120" i="275"/>
  <c r="AR124" i="275"/>
  <c r="AB124" i="275"/>
  <c r="AC6" i="276"/>
  <c r="AO6" i="276"/>
  <c r="AV6" i="276" s="1"/>
  <c r="AO9" i="276"/>
  <c r="AV9" i="276" s="1"/>
  <c r="AC9" i="276"/>
  <c r="AT10" i="276"/>
  <c r="AJ10" i="276"/>
  <c r="AO24" i="276"/>
  <c r="AV24" i="276" s="1"/>
  <c r="AC24" i="276"/>
  <c r="AN24" i="276"/>
  <c r="AJ24" i="276"/>
  <c r="AR27" i="276"/>
  <c r="AB27" i="276"/>
  <c r="AO32" i="276"/>
  <c r="AV32" i="276" s="1"/>
  <c r="AC32" i="276"/>
  <c r="AN32" i="276"/>
  <c r="AJ32" i="276"/>
  <c r="AO37" i="276"/>
  <c r="AV37" i="276" s="1"/>
  <c r="AC37" i="276"/>
  <c r="AN37" i="276"/>
  <c r="AO41" i="276"/>
  <c r="AV41" i="276" s="1"/>
  <c r="AC41" i="276"/>
  <c r="AT42" i="276"/>
  <c r="AJ42" i="276"/>
  <c r="AR61" i="276"/>
  <c r="AB61" i="276"/>
  <c r="AN63" i="276"/>
  <c r="AJ63" i="276"/>
  <c r="AR76" i="276"/>
  <c r="AB76" i="276"/>
  <c r="AB97" i="276"/>
  <c r="AR97" i="276"/>
  <c r="AD118" i="276"/>
  <c r="AQ118" i="276"/>
  <c r="AC79" i="276"/>
  <c r="AO79" i="276"/>
  <c r="AV79" i="276" s="1"/>
  <c r="AR84" i="276"/>
  <c r="AB84" i="276"/>
  <c r="AT85" i="276"/>
  <c r="AJ85" i="276"/>
  <c r="AQ94" i="276"/>
  <c r="AT109" i="276"/>
  <c r="AJ109" i="276"/>
  <c r="AD110" i="276"/>
  <c r="AQ110" i="276"/>
  <c r="AC113" i="276"/>
  <c r="AO113" i="276"/>
  <c r="AV113" i="276" s="1"/>
  <c r="AT113" i="276"/>
  <c r="AJ113" i="276"/>
  <c r="AN113" i="276"/>
  <c r="AN118" i="276"/>
  <c r="AJ118" i="276"/>
  <c r="AQ123" i="275"/>
  <c r="AT129" i="275"/>
  <c r="AJ129" i="275"/>
  <c r="AJ102" i="276"/>
  <c r="AJ121" i="276"/>
  <c r="AJ120" i="276"/>
  <c r="AJ90" i="276"/>
  <c r="AJ43" i="276"/>
  <c r="AJ98" i="276"/>
  <c r="AJ84" i="276"/>
  <c r="AJ76" i="276"/>
  <c r="AJ74" i="276"/>
  <c r="AQ26" i="276"/>
  <c r="AQ28" i="276"/>
  <c r="AT36" i="276"/>
  <c r="AO53" i="276"/>
  <c r="AV53" i="276" s="1"/>
  <c r="AC53" i="276"/>
  <c r="AN53" i="276"/>
  <c r="AQ58" i="276"/>
  <c r="AR59" i="276"/>
  <c r="AB59" i="276"/>
  <c r="AQ59" i="276"/>
  <c r="AJ60" i="276"/>
  <c r="AQ62" i="276"/>
  <c r="AQ66" i="276"/>
  <c r="AN73" i="276"/>
  <c r="AT81" i="276"/>
  <c r="AJ94" i="276"/>
  <c r="AO96" i="276"/>
  <c r="AV96" i="276" s="1"/>
  <c r="AC96" i="276"/>
  <c r="AJ96" i="276"/>
  <c r="AQ102" i="276"/>
  <c r="AO103" i="276"/>
  <c r="AV103" i="276" s="1"/>
  <c r="AC103" i="276"/>
  <c r="AQ107" i="276"/>
  <c r="AB111" i="276"/>
  <c r="AR111" i="276"/>
  <c r="AR114" i="276"/>
  <c r="AB114" i="276"/>
  <c r="AR117" i="276"/>
  <c r="AR120" i="276"/>
  <c r="AB120" i="276"/>
  <c r="AU9" i="273"/>
  <c r="AU17" i="273"/>
  <c r="AU21" i="273"/>
  <c r="AU9" i="275"/>
  <c r="AU33" i="275"/>
  <c r="AU37" i="275"/>
  <c r="AU93" i="275"/>
  <c r="AU97" i="275"/>
  <c r="AR104" i="275"/>
  <c r="AB104" i="275"/>
  <c r="AR108" i="275"/>
  <c r="AB108" i="275"/>
  <c r="AR112" i="275"/>
  <c r="AB112" i="275"/>
  <c r="AU117" i="275"/>
  <c r="AN129" i="275"/>
  <c r="AR99" i="276"/>
  <c r="AR81" i="276"/>
  <c r="AR79" i="276"/>
  <c r="AR87" i="276"/>
  <c r="AR62" i="276"/>
  <c r="AR109" i="276"/>
  <c r="AR107" i="276"/>
  <c r="AR105" i="276"/>
  <c r="AR103" i="276"/>
  <c r="AR95" i="276"/>
  <c r="AR73" i="276"/>
  <c r="AR71" i="276"/>
  <c r="AR7" i="276"/>
  <c r="AB7" i="276"/>
  <c r="AT14" i="276"/>
  <c r="AJ14" i="276"/>
  <c r="AN17" i="276"/>
  <c r="AT17" i="276"/>
  <c r="AR28" i="276"/>
  <c r="AJ39" i="276"/>
  <c r="AT45" i="276"/>
  <c r="AJ45" i="276"/>
  <c r="AQ48" i="276"/>
  <c r="AD53" i="276"/>
  <c r="AQ53" i="276"/>
  <c r="AJ53" i="276"/>
  <c r="AQ56" i="276"/>
  <c r="AJ61" i="276"/>
  <c r="AR68" i="276"/>
  <c r="AB68" i="276"/>
  <c r="AJ73" i="276"/>
  <c r="AQ79" i="276"/>
  <c r="AD88" i="276"/>
  <c r="AQ88" i="276"/>
  <c r="AJ88" i="276"/>
  <c r="AT89" i="276"/>
  <c r="AJ89" i="276"/>
  <c r="AN89" i="276"/>
  <c r="AJ92" i="276"/>
  <c r="AT95" i="276"/>
  <c r="AJ95" i="276"/>
  <c r="AD96" i="276"/>
  <c r="AQ96" i="276"/>
  <c r="AQ103" i="276"/>
  <c r="AJ103" i="276"/>
  <c r="AN103" i="276"/>
  <c r="AD104" i="276"/>
  <c r="AQ104" i="276"/>
  <c r="AN104" i="276"/>
  <c r="AT104" i="276"/>
  <c r="AJ104" i="276"/>
  <c r="AC105" i="276"/>
  <c r="AO105" i="276"/>
  <c r="AV105" i="276" s="1"/>
  <c r="AR110" i="276"/>
  <c r="AB110" i="276"/>
  <c r="AN110" i="276"/>
  <c r="AC111" i="276"/>
  <c r="AO111" i="276"/>
  <c r="AV111" i="276" s="1"/>
  <c r="AT111" i="276"/>
  <c r="AJ111" i="276"/>
  <c r="AN111" i="276"/>
  <c r="AC115" i="276"/>
  <c r="AO115" i="276"/>
  <c r="AV115" i="276" s="1"/>
  <c r="AR116" i="276"/>
  <c r="AB116" i="276"/>
  <c r="AT54" i="276"/>
  <c r="AJ54" i="276"/>
  <c r="AU54" i="276"/>
  <c r="AT58" i="276"/>
  <c r="AJ58" i="276"/>
  <c r="AU58" i="276"/>
  <c r="AU61" i="276"/>
  <c r="AU62" i="276"/>
  <c r="AN78" i="276"/>
  <c r="AT78" i="276"/>
  <c r="AQ83" i="276"/>
  <c r="AT83" i="276"/>
  <c r="AJ83" i="276"/>
  <c r="AO84" i="276"/>
  <c r="AV84" i="276" s="1"/>
  <c r="AC84" i="276"/>
  <c r="AT87" i="276"/>
  <c r="AJ87" i="276"/>
  <c r="AU98" i="276"/>
  <c r="AQ117" i="276"/>
  <c r="AQ121" i="276"/>
  <c r="AU118" i="276"/>
  <c r="AU108" i="276"/>
  <c r="AU104" i="276"/>
  <c r="AU94" i="276"/>
  <c r="AU82" i="276"/>
  <c r="AU78" i="276"/>
  <c r="AU74" i="276"/>
  <c r="AU70" i="276"/>
  <c r="AU114" i="276"/>
  <c r="AU110" i="276"/>
  <c r="AU96" i="276"/>
  <c r="AU92" i="276"/>
  <c r="AU88" i="276"/>
  <c r="AU84" i="276"/>
  <c r="AU121" i="276"/>
  <c r="AU117" i="276"/>
  <c r="AU109" i="276"/>
  <c r="AU107" i="276"/>
  <c r="AU102" i="276"/>
  <c r="AU95" i="276"/>
  <c r="AU87" i="276"/>
  <c r="AU85" i="276"/>
  <c r="AU63" i="276"/>
  <c r="AU53" i="276"/>
  <c r="AU9" i="276"/>
  <c r="AU13" i="276"/>
  <c r="AU17" i="276"/>
  <c r="AU21" i="276"/>
  <c r="AU33" i="276"/>
  <c r="AU37" i="276"/>
  <c r="AU41" i="276"/>
  <c r="AU43" i="276"/>
  <c r="AU44" i="276"/>
  <c r="AR47" i="276"/>
  <c r="AB47" i="276"/>
  <c r="AT67" i="276"/>
  <c r="AN67" i="276"/>
  <c r="AU67" i="276"/>
  <c r="AQ78" i="276"/>
  <c r="AT79" i="276"/>
  <c r="AJ79" i="276"/>
  <c r="AN82" i="276"/>
  <c r="AJ82" i="276"/>
  <c r="AU83" i="276"/>
  <c r="AR89" i="276"/>
  <c r="AU90" i="276"/>
  <c r="AN92" i="276"/>
  <c r="AN94" i="276"/>
  <c r="AT94" i="276"/>
  <c r="AQ97" i="276"/>
  <c r="AQ99" i="276"/>
  <c r="AU99" i="276"/>
  <c r="AQ101" i="276"/>
  <c r="AT101" i="276"/>
  <c r="AJ101" i="276"/>
  <c r="AR102" i="276"/>
  <c r="AB102" i="276"/>
  <c r="AN108" i="276"/>
  <c r="AT108" i="276"/>
  <c r="AQ111" i="276"/>
  <c r="AQ115" i="276"/>
  <c r="AT115" i="276"/>
  <c r="AJ115" i="276"/>
  <c r="AN74" i="276"/>
  <c r="AT74" i="276"/>
  <c r="AQ77" i="276"/>
  <c r="AC87" i="276"/>
  <c r="AO87" i="276"/>
  <c r="AV87" i="276" s="1"/>
  <c r="AR90" i="276"/>
  <c r="AB90" i="276"/>
  <c r="AC95" i="276"/>
  <c r="AO95" i="276"/>
  <c r="AV95" i="276" s="1"/>
  <c r="AR98" i="276"/>
  <c r="AB98" i="276"/>
  <c r="AT105" i="276"/>
  <c r="AJ105" i="276"/>
  <c r="AC109" i="276"/>
  <c r="AO109" i="276"/>
  <c r="AV109" i="276" s="1"/>
  <c r="AN114" i="276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<sst xmlns="http://schemas.openxmlformats.org/spreadsheetml/2006/main" count="12860" uniqueCount="1587">
  <si>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</si>
  <si>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</si>
  <si>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</si>
  <si>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</si>
  <si>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</si>
  <si>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</si>
  <si>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</si>
  <si>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</si>
  <si>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</si>
  <si>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</si>
  <si>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</si>
  <si>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</si>
  <si>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</si>
  <si>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</si>
  <si>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</si>
  <si>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</si>
  <si>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</si>
  <si>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</si>
  <si>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</si>
  <si>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</si>
  <si>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</si>
  <si>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</si>
  <si>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</si>
  <si>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</si>
  <si>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</si>
  <si>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</si>
  <si>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</si>
  <si>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</si>
  <si>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</si>
  <si>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</si>
  <si>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</si>
  <si>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</si>
  <si>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</si>
  <si>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</si>
  <si>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</si>
  <si>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</si>
  <si>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</si>
  <si>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</si>
  <si>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</si>
  <si>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</si>
  <si>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</si>
  <si>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</si>
  <si>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</si>
  <si>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</si>
  <si>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</si>
  <si>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</si>
  <si>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</si>
  <si>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</si>
  <si>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</si>
  <si>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</si>
  <si>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</si>
  <si>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</si>
  <si>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</si>
  <si>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</si>
  <si>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</si>
  <si>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</si>
  <si>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</si>
  <si>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</si>
  <si>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</si>
  <si>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</si>
  <si>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</si>
  <si>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</si>
  <si>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</si>
  <si>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</si>
  <si>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</si>
  <si>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</si>
  <si>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</si>
  <si>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</si>
  <si>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</si>
  <si>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</si>
  <si>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</si>
  <si>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</si>
  <si>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</si>
  <si>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</si>
  <si>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</si>
  <si>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</si>
  <si>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</si>
  <si>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</si>
  <si>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</si>
  <si>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</si>
  <si>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</si>
  <si>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</si>
  <si>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</si>
  <si>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</si>
  <si>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</si>
  <si>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</si>
  <si>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</si>
  <si>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</si>
  <si>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</si>
  <si>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</si>
  <si>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[계산동]</t>
  </si>
  <si>
    <t>동성</t>
  </si>
  <si>
    <t>1986.09.</t>
  </si>
  <si>
    <t>계단식</t>
  </si>
  <si>
    <t>https://new.land.naver.com/complexes/8514?tab=detail&amp;rf=Y</t>
  </si>
  <si>
    <t>인천시 계양구 계산동 931-29</t>
  </si>
  <si>
    <t>인천시</t>
  </si>
  <si>
    <t>계양구</t>
  </si>
  <si>
    <t>계산동</t>
  </si>
  <si>
    <t>인천시 계양구 경명대로1029번길 6</t>
  </si>
  <si>
    <t>연희</t>
  </si>
  <si>
    <t>1985.03.</t>
  </si>
  <si>
    <t>69C</t>
  </si>
  <si>
    <t>https://new.land.naver.com/complexes/8435?tab=detail&amp;rf=Y</t>
  </si>
  <si>
    <t>인천시 계양구 계산동 900</t>
  </si>
  <si>
    <t>인천시 계양구 하느재로41번길 14</t>
  </si>
  <si>
    <t>69D</t>
  </si>
  <si>
    <t>69A</t>
  </si>
  <si>
    <t>69B</t>
  </si>
  <si>
    <t>69E</t>
  </si>
  <si>
    <t>서해2차</t>
  </si>
  <si>
    <t>1990.09.</t>
  </si>
  <si>
    <t>https://new.land.naver.com/complexes/8510?tab=detail&amp;rf=Y</t>
  </si>
  <si>
    <t>인천시 계양구 계산동 753</t>
  </si>
  <si>
    <t>인천시 계양구 계산로 18-1</t>
  </si>
  <si>
    <t>83A</t>
  </si>
  <si>
    <t>83B</t>
  </si>
  <si>
    <t>원흥</t>
  </si>
  <si>
    <t>1991.03.</t>
  </si>
  <si>
    <t>https://new.land.naver.com/complexes/2260?tab=detail&amp;rf=Y</t>
  </si>
  <si>
    <t>인천시 계양구 계산동 337-11</t>
  </si>
  <si>
    <t>인천시 계양구 주부토로 520</t>
  </si>
  <si>
    <t>신한</t>
  </si>
  <si>
    <t>1986.08.</t>
  </si>
  <si>
    <t>https://new.land.naver.com/complexes/8518?tab=detail&amp;rf=Y</t>
  </si>
  <si>
    <t>인천시 계양구 계산동 931-8</t>
  </si>
  <si>
    <t>인천시 계양구 경명대로1029번길 16</t>
  </si>
  <si>
    <t>71A</t>
  </si>
  <si>
    <t>72B</t>
  </si>
  <si>
    <t>삼환2차</t>
  </si>
  <si>
    <t>1989.12.</t>
  </si>
  <si>
    <t>https://new.land.naver.com/complexes/8516?tab=detail&amp;rf=Y</t>
  </si>
  <si>
    <t>인천시 계양구 계산동 898-4</t>
  </si>
  <si>
    <t>인천시 계양구 경명대로1045번길 21-12</t>
  </si>
  <si>
    <t>79A</t>
  </si>
  <si>
    <t>79B</t>
  </si>
  <si>
    <t>기산</t>
  </si>
  <si>
    <t>1996.07.</t>
  </si>
  <si>
    <t>복도식</t>
  </si>
  <si>
    <t>https://new.land.naver.com/complexes/8503?tab=detail&amp;rf=Y</t>
  </si>
  <si>
    <t>인천시 계양구 계산동 949-4</t>
  </si>
  <si>
    <t>인천시 계양구 어사대로 39</t>
  </si>
  <si>
    <t>삼보3차</t>
  </si>
  <si>
    <t>1988.10.</t>
  </si>
  <si>
    <t>https://new.land.naver.com/complexes/2256?tab=detail&amp;rf=Y</t>
  </si>
  <si>
    <t>인천시 계양구 계산동 12-4</t>
  </si>
  <si>
    <t>인천시 계양구 경명대로 1126</t>
  </si>
  <si>
    <t>일신</t>
  </si>
  <si>
    <t>1986.11.</t>
  </si>
  <si>
    <t>https://new.land.naver.com/complexes/8522?tab=detail&amp;rf=Y</t>
  </si>
  <si>
    <t>인천시 계양구 계산동 931-39</t>
  </si>
  <si>
    <t>인천시 계양구 경명대로1045번길 8</t>
  </si>
  <si>
    <t>태평</t>
  </si>
  <si>
    <t>1990.12.</t>
  </si>
  <si>
    <t>https://new.land.naver.com/complexes/8528?tab=detail&amp;rf=Y</t>
  </si>
  <si>
    <t>인천시 계양구 계산동 49-4</t>
  </si>
  <si>
    <t>인천시 계양구 주부토로532번길 42</t>
  </si>
  <si>
    <t>행복</t>
  </si>
  <si>
    <t>2003.01.</t>
  </si>
  <si>
    <t>https://new.land.naver.com/complexes/124979?tab=detail&amp;rf=Y</t>
  </si>
  <si>
    <t>인천시 계양구 계산동 958-29</t>
  </si>
  <si>
    <t>인천시 계양구 계산시장길 7-12</t>
  </si>
  <si>
    <t>72A</t>
  </si>
  <si>
    <t>신도브래뉴</t>
  </si>
  <si>
    <t>2005.05.</t>
  </si>
  <si>
    <t>https://new.land.naver.com/complexes/11386?tab=detail&amp;rf=Y</t>
  </si>
  <si>
    <t>인천시 계양구 계산동 941</t>
  </si>
  <si>
    <t>인천시 계양구 계양대로 215</t>
  </si>
  <si>
    <t>동남(975-8)</t>
  </si>
  <si>
    <t>1987.05.</t>
  </si>
  <si>
    <t>https://new.land.naver.com/complexes/8506?tab=detail&amp;rf=Y</t>
  </si>
  <si>
    <t>인천시 계양구 계산동 975-8</t>
  </si>
  <si>
    <t>인천시 계양구 향교로 23</t>
  </si>
  <si>
    <t>신동양</t>
  </si>
  <si>
    <t>1985.05.</t>
  </si>
  <si>
    <t>53A</t>
  </si>
  <si>
    <t>https://new.land.naver.com/complexes/8527?tab=detail&amp;rf=Y</t>
  </si>
  <si>
    <t>인천시 계양구 계산동 935-5</t>
  </si>
  <si>
    <t>인천시 계양구 계양산로 14</t>
  </si>
  <si>
    <t>영남</t>
  </si>
  <si>
    <t>https://new.land.naver.com/complexes/2259?tab=detail&amp;rf=Y</t>
  </si>
  <si>
    <t>인천시 계양구 계산동 76</t>
  </si>
  <si>
    <t>인천시 계양구 주부토로532번길 52</t>
  </si>
  <si>
    <t>계양산파크트루엘</t>
  </si>
  <si>
    <t>2020.02.</t>
  </si>
  <si>
    <t>82E</t>
  </si>
  <si>
    <t>https://new.land.naver.com/complexes/120493?tab=detail&amp;rf=Y</t>
  </si>
  <si>
    <t>인천시 계양구 계산동 1110</t>
  </si>
  <si>
    <t>인천시 계양구 경명대로1045번길 31</t>
  </si>
  <si>
    <t>82G</t>
  </si>
  <si>
    <t>82D</t>
  </si>
  <si>
    <t>83F</t>
  </si>
  <si>
    <t>83C</t>
  </si>
  <si>
    <t>팬더(857-3)</t>
  </si>
  <si>
    <t>1987.10.</t>
  </si>
  <si>
    <t>https://new.land.naver.com/complexes/2264?tab=detail&amp;rf=Y</t>
  </si>
  <si>
    <t>인천시 계양구 계산동 857-3</t>
  </si>
  <si>
    <t>인천시 계양구 계산로 50-1</t>
  </si>
  <si>
    <t>삼우</t>
  </si>
  <si>
    <t>82A</t>
  </si>
  <si>
    <t>https://new.land.naver.com/complexes/8507?tab=detail&amp;rf=Y</t>
  </si>
  <si>
    <t>인천시 계양구 계산동 987-14</t>
  </si>
  <si>
    <t>인천시 계양구 계산로86번길 5</t>
  </si>
  <si>
    <t>82B</t>
  </si>
  <si>
    <t>태산</t>
  </si>
  <si>
    <t>1990.07.</t>
  </si>
  <si>
    <t>55B</t>
  </si>
  <si>
    <t>https://new.land.naver.com/complexes/8450?tab=detail&amp;rf=Y</t>
  </si>
  <si>
    <t>인천시 계양구 계산동 36</t>
  </si>
  <si>
    <t>인천시 계양구 계산새로33번길 26</t>
  </si>
  <si>
    <t>55A</t>
  </si>
  <si>
    <t>은행마을태평</t>
  </si>
  <si>
    <t>1997.06.</t>
  </si>
  <si>
    <t>https://new.land.naver.com/complexes/2263?tab=detail&amp;rf=Y</t>
  </si>
  <si>
    <t>인천시 계양구 계산동 1085-2</t>
  </si>
  <si>
    <t>인천시 계양구 용종로 26</t>
  </si>
  <si>
    <t>지산그라띠아</t>
  </si>
  <si>
    <t>2003.09.</t>
  </si>
  <si>
    <t>https://new.land.naver.com/complexes/9695?tab=detail&amp;rf=Y</t>
  </si>
  <si>
    <t>인천시 계양구 계산동 931-28</t>
  </si>
  <si>
    <t>인천시 계양구 경명대로1045번길 9-9</t>
  </si>
  <si>
    <t>상보</t>
  </si>
  <si>
    <t>2002.08.</t>
  </si>
  <si>
    <t>https://new.land.naver.com/complexes/141839?tab=detail&amp;rf=Y</t>
  </si>
  <si>
    <t>인천시 계양구 계산동 957-7</t>
  </si>
  <si>
    <t>인천시 계양구 계산천동로7번길 6-1</t>
  </si>
  <si>
    <t>46A</t>
  </si>
  <si>
    <t>47B</t>
  </si>
  <si>
    <t>삼천리열망</t>
  </si>
  <si>
    <t>1986.07.</t>
  </si>
  <si>
    <t>https://new.land.naver.com/complexes/8509?tab=detail&amp;rf=Y</t>
  </si>
  <si>
    <t>인천시 계양구 계산동 321-2</t>
  </si>
  <si>
    <t>인천시 계양구 주부토로 507</t>
  </si>
  <si>
    <t>에덴</t>
  </si>
  <si>
    <t>1988.05.</t>
  </si>
  <si>
    <t>https://new.land.naver.com/complexes/8521?tab=detail&amp;rf=Y</t>
  </si>
  <si>
    <t>인천시 계양구 계산동 931-14</t>
  </si>
  <si>
    <t>인천시 계양구 경명대로1029번길 12</t>
  </si>
  <si>
    <t>경신</t>
  </si>
  <si>
    <t>1987.08.</t>
  </si>
  <si>
    <t>https://new.land.naver.com/complexes/8530?tab=detail&amp;rf=Y</t>
  </si>
  <si>
    <t>인천시 계양구 계산동 산37-6</t>
  </si>
  <si>
    <t>인천시 계양구 계양산로 17</t>
  </si>
  <si>
    <t>56B</t>
  </si>
  <si>
    <t>56A</t>
  </si>
  <si>
    <t>59E</t>
  </si>
  <si>
    <t>59D</t>
  </si>
  <si>
    <t>59B</t>
  </si>
  <si>
    <t>59A</t>
  </si>
  <si>
    <t>59C</t>
  </si>
  <si>
    <t>인정프린스</t>
  </si>
  <si>
    <t>1992.04.</t>
  </si>
  <si>
    <t>https://new.land.naver.com/complexes/2261?tab=detail&amp;rf=Y</t>
  </si>
  <si>
    <t>인천시 계양구 계산동 57-2</t>
  </si>
  <si>
    <t>인천시 계양구 계산새로5번길 14</t>
  </si>
  <si>
    <t>뉴서울</t>
  </si>
  <si>
    <t>1993.11.</t>
  </si>
  <si>
    <t>https://new.land.naver.com/complexes/8523?tab=detail&amp;rf=Y</t>
  </si>
  <si>
    <t>인천시 계양구 계산동 288-5</t>
  </si>
  <si>
    <t>인천시 계양구 장제로755번길 6-10</t>
  </si>
  <si>
    <t>동남(55-1)</t>
  </si>
  <si>
    <t>https://new.land.naver.com/complexes/8524?tab=detail&amp;rf=Y</t>
  </si>
  <si>
    <t>인천시 계양구 계산동 55-1</t>
  </si>
  <si>
    <t>인천시 계양구 주부토로532번길 38</t>
  </si>
  <si>
    <t>극동</t>
  </si>
  <si>
    <t>1985.07.</t>
  </si>
  <si>
    <t>https://new.land.naver.com/complexes/2253?tab=detail&amp;rf=Y</t>
  </si>
  <si>
    <t>인천시 계양구 계산동 899</t>
  </si>
  <si>
    <t>인천시 계양구 하느재로19번길 8</t>
  </si>
  <si>
    <t>현대</t>
  </si>
  <si>
    <t>1992.01.</t>
  </si>
  <si>
    <t>https://new.land.naver.com/complexes/2252?tab=detail&amp;rf=Y</t>
  </si>
  <si>
    <t>인천시 계양구 계산동 62-1</t>
  </si>
  <si>
    <t>인천시 계양구 계산로 171</t>
  </si>
  <si>
    <t>은행마을삼보</t>
  </si>
  <si>
    <t>1997.07.</t>
  </si>
  <si>
    <t>https://new.land.naver.com/complexes/2255?tab=detail&amp;rf=Y</t>
  </si>
  <si>
    <t>인천시 계양구 계산동 1084-2</t>
  </si>
  <si>
    <t>인천시 계양구 계산새로 108</t>
  </si>
  <si>
    <t>제성</t>
  </si>
  <si>
    <t>1984.08.</t>
  </si>
  <si>
    <t>https://new.land.naver.com/complexes/12694?tab=detail&amp;rf=Y</t>
  </si>
  <si>
    <t>인천시 계양구 계산동 924-5</t>
  </si>
  <si>
    <t>인천시 계양구 하느재로20번길 19</t>
  </si>
  <si>
    <t>57B</t>
  </si>
  <si>
    <t>62A</t>
  </si>
  <si>
    <t>63B</t>
  </si>
  <si>
    <t>64A</t>
  </si>
  <si>
    <t>67B</t>
  </si>
  <si>
    <t>세경</t>
  </si>
  <si>
    <t>1984.06.</t>
  </si>
  <si>
    <t>https://new.land.naver.com/complexes/8517?tab=detail&amp;rf=Y</t>
  </si>
  <si>
    <t>인천시 계양구 계산동 927-1</t>
  </si>
  <si>
    <t>인천시 계양구 하느재로6번길 14</t>
  </si>
  <si>
    <t>더써밋(도시형)</t>
  </si>
  <si>
    <t>2020.01.</t>
  </si>
  <si>
    <t>https://new.land.naver.com/complexes/135505?tab=detail&amp;rf=Y</t>
  </si>
  <si>
    <t>인천시 계양구 계산동 320-9</t>
  </si>
  <si>
    <t>인천시 계양구 계산새로5번길 5</t>
  </si>
  <si>
    <t>65B</t>
  </si>
  <si>
    <t>72C</t>
  </si>
  <si>
    <t>72D</t>
  </si>
  <si>
    <t>73A</t>
  </si>
  <si>
    <t>73E</t>
  </si>
  <si>
    <t>한국</t>
  </si>
  <si>
    <t>1991.05.</t>
  </si>
  <si>
    <t>99A</t>
  </si>
  <si>
    <t>https://new.land.naver.com/complexes/2266?tab=detail&amp;rf=Y</t>
  </si>
  <si>
    <t>인천시 계양구 계산동 355-1</t>
  </si>
  <si>
    <t>인천시 계양구 주부토로 538</t>
  </si>
  <si>
    <t>99B</t>
  </si>
  <si>
    <t>은행마을태산</t>
  </si>
  <si>
    <t>1997.08.</t>
  </si>
  <si>
    <t>https://new.land.naver.com/complexes/2262?tab=detail&amp;rf=Y</t>
  </si>
  <si>
    <t>인천시 계양구 계산동 1084-3</t>
  </si>
  <si>
    <t>인천시 계양구 오조산로62번길 10</t>
  </si>
  <si>
    <t>스카이포인트</t>
  </si>
  <si>
    <t>2019.12.</t>
  </si>
  <si>
    <t>https://new.land.naver.com/complexes/134764?tab=detail&amp;rf=Y</t>
  </si>
  <si>
    <t>인천시 계양구 계산동 917-5</t>
  </si>
  <si>
    <t>인천시 계양구 안산로 38</t>
  </si>
  <si>
    <t>대양</t>
  </si>
  <si>
    <t>1984.05.</t>
  </si>
  <si>
    <t>https://new.land.naver.com/complexes/9558?tab=detail&amp;rf=Y</t>
  </si>
  <si>
    <t>인천시 계양구 계산동 987-5</t>
  </si>
  <si>
    <t>인천시 계양구 계산로80번길 9</t>
  </si>
  <si>
    <t>57A</t>
  </si>
  <si>
    <t>58B</t>
  </si>
  <si>
    <t>정광</t>
  </si>
  <si>
    <t>1987.06.</t>
  </si>
  <si>
    <t>https://new.land.naver.com/complexes/8531?tab=detail&amp;rf=Y</t>
  </si>
  <si>
    <t>인천시 계양구 계산동 731</t>
  </si>
  <si>
    <t>인천시 계양구 경명대로 993</t>
  </si>
  <si>
    <t>흥인아이젠</t>
  </si>
  <si>
    <t>2006.11.</t>
  </si>
  <si>
    <t>https://new.land.naver.com/complexes/26240?tab=detail&amp;rf=Y</t>
  </si>
  <si>
    <t>인천시 계양구 계산동 299-2</t>
  </si>
  <si>
    <t>인천시 계양구 주부토로472번길 17</t>
  </si>
  <si>
    <t>복합식</t>
  </si>
  <si>
    <t>삼보1,2차</t>
  </si>
  <si>
    <t>https://new.land.naver.com/complexes/8525?tab=detail&amp;rf=Y</t>
  </si>
  <si>
    <t>인천시 계양구 계산동 342-1</t>
  </si>
  <si>
    <t>인천시 계양구 주부토로 528</t>
  </si>
  <si>
    <t>삼환1차</t>
  </si>
  <si>
    <t>https://new.land.naver.com/complexes/8515?tab=detail&amp;rf=Y</t>
  </si>
  <si>
    <t>인천시 계양구 계산동 930</t>
  </si>
  <si>
    <t>인천시 계양구 하느재로 15</t>
  </si>
  <si>
    <t>팬더1,2차</t>
  </si>
  <si>
    <t>1989.09.</t>
  </si>
  <si>
    <t>https://new.land.naver.com/complexes/27018?tab=detail&amp;rf=Y</t>
  </si>
  <si>
    <t>인천시 계양구 계산동 18-13</t>
  </si>
  <si>
    <t>인천시 계양구 경명대로1142번길 7</t>
  </si>
  <si>
    <t>54B</t>
  </si>
  <si>
    <t>74B</t>
  </si>
  <si>
    <t>하나</t>
  </si>
  <si>
    <t>https://new.land.naver.com/complexes/2265?tab=detail&amp;rf=Y</t>
  </si>
  <si>
    <t>인천시 계양구 계산동 348-2</t>
  </si>
  <si>
    <t>인천시 계양구 경명대로1114번길 6</t>
  </si>
  <si>
    <t>휴인</t>
  </si>
  <si>
    <t>2016.07.</t>
  </si>
  <si>
    <t>https://new.land.naver.com/complexes/113783?tab=detail&amp;rf=Y</t>
  </si>
  <si>
    <t>인천시 계양구 계산동 906-2</t>
  </si>
  <si>
    <t>인천시 계양구 주부토로587번길 10</t>
  </si>
  <si>
    <t>73B</t>
  </si>
  <si>
    <t>74A</t>
  </si>
  <si>
    <t>75B</t>
  </si>
  <si>
    <t>84C</t>
  </si>
  <si>
    <t>84B</t>
  </si>
  <si>
    <t>92B</t>
  </si>
  <si>
    <t>93A</t>
  </si>
  <si>
    <t>101A</t>
  </si>
  <si>
    <t>102C</t>
  </si>
  <si>
    <t>102B</t>
  </si>
  <si>
    <t>서해그린3차</t>
  </si>
  <si>
    <t>1991.08.</t>
  </si>
  <si>
    <t>https://new.land.naver.com/complexes/10672?tab=detail&amp;rf=Y</t>
  </si>
  <si>
    <t>인천시 계양구 계산동 954-30</t>
  </si>
  <si>
    <t>인천시 계양구 주부토로501번길 26</t>
  </si>
  <si>
    <t>동남(898-1)</t>
  </si>
  <si>
    <t>1989.04.</t>
  </si>
  <si>
    <t>https://new.land.naver.com/complexes/8513?tab=detail&amp;rf=Y</t>
  </si>
  <si>
    <t>인천시 계양구 계산동 898-1</t>
  </si>
  <si>
    <t>인천시 계양구 경명대로1029번길 36</t>
  </si>
  <si>
    <t>영동</t>
  </si>
  <si>
    <t>https://new.land.naver.com/complexes/2514?tab=detail&amp;rf=Y</t>
  </si>
  <si>
    <t>인천시 계양구 계산동 931-16</t>
  </si>
  <si>
    <t>인천시 계양구 경명대로1045번길 11</t>
  </si>
  <si>
    <t>은행마을아주</t>
  </si>
  <si>
    <t>https://new.land.naver.com/complexes/2258?tab=detail&amp;rf=Y</t>
  </si>
  <si>
    <t>한미삼오</t>
  </si>
  <si>
    <t>1996.12.</t>
  </si>
  <si>
    <t>https://new.land.naver.com/complexes/8511?tab=detail&amp;rf=Y</t>
  </si>
  <si>
    <t>인천시 계양구 계산동 953-5</t>
  </si>
  <si>
    <t>인천시 계양구 어사대로9번길 5</t>
  </si>
  <si>
    <t>계산주공</t>
  </si>
  <si>
    <t>1990.06.</t>
  </si>
  <si>
    <t>52A</t>
  </si>
  <si>
    <t>https://new.land.naver.com/complexes/2251?tab=detail&amp;rf=Y</t>
  </si>
  <si>
    <t>인천시 계양구 계산동 20</t>
  </si>
  <si>
    <t>인천시 계양구 경명대로1142번길 3</t>
  </si>
  <si>
    <t>52B</t>
  </si>
  <si>
    <t>은행마을강북</t>
  </si>
  <si>
    <t>https://new.land.naver.com/complexes/2250?tab=detail&amp;rf=Y</t>
  </si>
  <si>
    <t>계산조이너스</t>
  </si>
  <si>
    <t>2016.05.</t>
  </si>
  <si>
    <t>https://new.land.naver.com/complexes/115071?tab=detail&amp;rf=Y</t>
  </si>
  <si>
    <t>인천시 계양구 계산동 1109</t>
  </si>
  <si>
    <t>인천시 계양구 주부토로 478-2</t>
  </si>
  <si>
    <t>66A</t>
  </si>
  <si>
    <t>67C</t>
  </si>
  <si>
    <t>73C</t>
  </si>
  <si>
    <t>[귤현동]</t>
  </si>
  <si>
    <t>계양센트레빌3단지</t>
  </si>
  <si>
    <t>2013.06.</t>
  </si>
  <si>
    <t>112B</t>
  </si>
  <si>
    <t>https://new.land.naver.com/complexes/103843?tab=detail&amp;rf=Y</t>
  </si>
  <si>
    <t>인천시 계양구 귤현동 533</t>
  </si>
  <si>
    <t>귤현동</t>
  </si>
  <si>
    <t>인천시 계양구 형제봉길 1</t>
  </si>
  <si>
    <t>112A</t>
  </si>
  <si>
    <t>112C</t>
  </si>
  <si>
    <t>153A</t>
  </si>
  <si>
    <t>153B</t>
  </si>
  <si>
    <t>177A</t>
  </si>
  <si>
    <t>177B</t>
  </si>
  <si>
    <t>귤현IPARK</t>
  </si>
  <si>
    <t>2004.10.</t>
  </si>
  <si>
    <t>https://new.land.naver.com/complexes/11032?tab=detail&amp;rf=Y</t>
  </si>
  <si>
    <t>인천시 계양구 귤현동 489</t>
  </si>
  <si>
    <t>인천시 계양구 장군봉길 12</t>
  </si>
  <si>
    <t>계양센트레빌2단지</t>
  </si>
  <si>
    <t>110B</t>
  </si>
  <si>
    <t>https://new.land.naver.com/complexes/103841?tab=detail&amp;rf=Y</t>
  </si>
  <si>
    <t>인천시 계양구 귤현동 532</t>
  </si>
  <si>
    <t>인천시 계양구 형제봉길 50</t>
  </si>
  <si>
    <t>110A</t>
  </si>
  <si>
    <t>111C</t>
  </si>
  <si>
    <t>150A</t>
  </si>
  <si>
    <t>150B</t>
  </si>
  <si>
    <t>계양센트레빌1단지</t>
  </si>
  <si>
    <t>2013.02.</t>
  </si>
  <si>
    <t>111A</t>
  </si>
  <si>
    <t>https://new.land.naver.com/complexes/102719?tab=detail&amp;rf=Y</t>
  </si>
  <si>
    <t>인천시 계양구 귤현동 531</t>
  </si>
  <si>
    <t>인천시 계양구 형제봉길 100</t>
  </si>
  <si>
    <t>111B</t>
  </si>
  <si>
    <t>스마트타운(도시형)</t>
  </si>
  <si>
    <t>2017.03.</t>
  </si>
  <si>
    <t>36A</t>
  </si>
  <si>
    <t>https://new.land.naver.com/complexes/145112?tab=detail&amp;rf=Y</t>
  </si>
  <si>
    <t>인천시 계양구 귤현동 510-4</t>
  </si>
  <si>
    <t>인천시 계양구 화단봉길 25-1</t>
  </si>
  <si>
    <t>37B</t>
  </si>
  <si>
    <t>42B</t>
  </si>
  <si>
    <t>42A</t>
  </si>
  <si>
    <t>44C</t>
  </si>
  <si>
    <t>54A</t>
  </si>
  <si>
    <t>[동양동]</t>
  </si>
  <si>
    <t>우남푸르미아</t>
  </si>
  <si>
    <t>2011.12.</t>
  </si>
  <si>
    <t>109C</t>
  </si>
  <si>
    <t>https://new.land.naver.com/complexes/102309?tab=detail&amp;rf=Y</t>
  </si>
  <si>
    <t>인천시 계양구 동양동 615</t>
  </si>
  <si>
    <t>동양동</t>
  </si>
  <si>
    <t>인천시 계양구 당미5길 7</t>
  </si>
  <si>
    <t>동양휴먼빌</t>
  </si>
  <si>
    <t>2007.10.</t>
  </si>
  <si>
    <t>https://new.land.naver.com/complexes/11412?tab=detail&amp;rf=Y</t>
  </si>
  <si>
    <t>인천시 계양구 동양동 613</t>
  </si>
  <si>
    <t>인천시 계양구 당미길 43</t>
  </si>
  <si>
    <t>한진해모로</t>
  </si>
  <si>
    <t>2006.06.</t>
  </si>
  <si>
    <t>https://new.land.naver.com/complexes/24201?tab=detail&amp;rf=Y</t>
  </si>
  <si>
    <t>인천시 계양구 동양동 582</t>
  </si>
  <si>
    <t>인천시 계양구 동양로 100</t>
  </si>
  <si>
    <t>[박촌동]</t>
  </si>
  <si>
    <t>계양하우스토리2차</t>
  </si>
  <si>
    <t>2010.04.</t>
  </si>
  <si>
    <t>https://new.land.naver.com/complexes/100106?tab=detail&amp;rf=Y</t>
  </si>
  <si>
    <t>인천시 계양구 박촌동 317</t>
  </si>
  <si>
    <t>박촌동</t>
  </si>
  <si>
    <t>인천시 계양구 장제로995번길 18</t>
  </si>
  <si>
    <t>167A</t>
  </si>
  <si>
    <t>168B</t>
  </si>
  <si>
    <t>계양하우스토리1차</t>
  </si>
  <si>
    <t>2009.11.</t>
  </si>
  <si>
    <t>109A</t>
  </si>
  <si>
    <t>https://new.land.naver.com/complexes/100107?tab=detail&amp;rf=Y</t>
  </si>
  <si>
    <t>인천시 계양구 박촌동 311</t>
  </si>
  <si>
    <t>인천시 계양구 서부간선로 290</t>
  </si>
  <si>
    <t>109B</t>
  </si>
  <si>
    <t>160A</t>
  </si>
  <si>
    <t>161B</t>
  </si>
  <si>
    <t>박촌풍림아이원</t>
  </si>
  <si>
    <t>2005.11.</t>
  </si>
  <si>
    <t>https://new.land.naver.com/complexes/17559?tab=detail&amp;rf=Y</t>
  </si>
  <si>
    <t>인천시 계양구 박촌동 309</t>
  </si>
  <si>
    <t>인천시 계양구 동양로 11</t>
  </si>
  <si>
    <t>한화꿈에그린</t>
  </si>
  <si>
    <t>https://new.land.naver.com/complexes/10566?tab=detail&amp;rf=Y</t>
  </si>
  <si>
    <t>인천시 계양구 박촌동 310</t>
  </si>
  <si>
    <t>인천시 계양구 동양로 10</t>
  </si>
  <si>
    <t>계양한양수자인</t>
  </si>
  <si>
    <t>https://new.land.naver.com/complexes/103713?tab=detail&amp;rf=Y</t>
  </si>
  <si>
    <t>인천시 계양구 박촌동 319</t>
  </si>
  <si>
    <t>인천시 계양구 장제로 1004</t>
  </si>
  <si>
    <t>113A</t>
  </si>
  <si>
    <t>114B</t>
  </si>
  <si>
    <t>[방축동]</t>
  </si>
  <si>
    <t>계양하늘채파크포레</t>
  </si>
  <si>
    <t>2023.04.</t>
  </si>
  <si>
    <t>80A</t>
  </si>
  <si>
    <t>https://new.land.naver.com/complexes/141651?tab=detail&amp;rf=Y</t>
  </si>
  <si>
    <t>인천시 계양구 방축동 22번지 일원</t>
  </si>
  <si>
    <t>방축동</t>
  </si>
  <si>
    <t>인천시 계양구</t>
  </si>
  <si>
    <t>80B</t>
  </si>
  <si>
    <t>81C</t>
  </si>
  <si>
    <t>106C</t>
  </si>
  <si>
    <t>107B</t>
  </si>
  <si>
    <t>107A</t>
  </si>
  <si>
    <t>한성</t>
  </si>
  <si>
    <t>62B</t>
  </si>
  <si>
    <t>https://new.land.naver.com/complexes/8535?tab=detail&amp;rf=Y</t>
  </si>
  <si>
    <t>인천시 계양구 방축동 212</t>
  </si>
  <si>
    <t>인천시 계양구 장제로933번길 10</t>
  </si>
  <si>
    <t>아주</t>
  </si>
  <si>
    <t>1991.04.</t>
  </si>
  <si>
    <t>https://new.land.naver.com/complexes/8520?tab=detail&amp;rf=Y</t>
  </si>
  <si>
    <t>인천시 계양구 방축동 37-2</t>
  </si>
  <si>
    <t>인천시 계양구 장제로995번길 44</t>
  </si>
  <si>
    <t>계양산대창센시티</t>
  </si>
  <si>
    <t>2006.08.</t>
  </si>
  <si>
    <t>https://new.land.naver.com/complexes/22825?tab=detail&amp;rf=Y</t>
  </si>
  <si>
    <t>인천시 계양구 방축동 120</t>
  </si>
  <si>
    <t>인천시 계양구 장제로933번길 5</t>
  </si>
  <si>
    <t>[병방동]</t>
  </si>
  <si>
    <t>학마을서해</t>
  </si>
  <si>
    <t>1997.10.</t>
  </si>
  <si>
    <t>https://new.land.naver.com/complexes/8251?tab=detail&amp;rf=Y</t>
  </si>
  <si>
    <t>인천시 계양구 병방동 432-5</t>
  </si>
  <si>
    <t>병방동</t>
  </si>
  <si>
    <t>인천시 계양구 장제로 878</t>
  </si>
  <si>
    <t>진달래2차</t>
  </si>
  <si>
    <t>1989.08.</t>
  </si>
  <si>
    <t>https://new.land.naver.com/complexes/8253?tab=detail&amp;rf=Y</t>
  </si>
  <si>
    <t>인천시 계양구 병방동 380</t>
  </si>
  <si>
    <t>인천시 계양구 병방시장로61번길 12</t>
  </si>
  <si>
    <t>학마을영남</t>
  </si>
  <si>
    <t>https://new.land.naver.com/complexes/8259?tab=detail&amp;rf=Y</t>
  </si>
  <si>
    <t>학마을서원</t>
  </si>
  <si>
    <t>1997.05.</t>
  </si>
  <si>
    <t>49A</t>
  </si>
  <si>
    <t>https://new.land.naver.com/complexes/8256?tab=detail&amp;rf=Y</t>
  </si>
  <si>
    <t>인천시 계양구 병방동 432-3</t>
  </si>
  <si>
    <t>인천시 계양구 병방로 14</t>
  </si>
  <si>
    <t>49B</t>
  </si>
  <si>
    <t>신명진달래1차</t>
  </si>
  <si>
    <t>1988.12.</t>
  </si>
  <si>
    <t>https://new.land.naver.com/complexes/8252?tab=detail&amp;rf=Y</t>
  </si>
  <si>
    <t>인천시 계양구 병방동 383</t>
  </si>
  <si>
    <t>인천시 계양구 병방시장로61번길 4</t>
  </si>
  <si>
    <t>힐타운</t>
  </si>
  <si>
    <t>2002.11.</t>
  </si>
  <si>
    <t>https://new.land.naver.com/complexes/140482?tab=detail&amp;rf=Y</t>
  </si>
  <si>
    <t>인천시 계양구 병방동 83-5</t>
  </si>
  <si>
    <t>인천시 계양구 장제로946번길 25</t>
  </si>
  <si>
    <t>95A</t>
  </si>
  <si>
    <t>96B</t>
  </si>
  <si>
    <t>97C</t>
  </si>
  <si>
    <t>https://new.land.naver.com/complexes/8255?tab=detail&amp;rf=Y</t>
  </si>
  <si>
    <t>인천시 계양구 병방동 381</t>
  </si>
  <si>
    <t>인천시 계양구 장제로927번길 15</t>
  </si>
  <si>
    <t>병방영무예다음</t>
  </si>
  <si>
    <t>https://new.land.naver.com/complexes/26090?tab=detail&amp;rf=Y</t>
  </si>
  <si>
    <t>인천시 계양구 병방동 90-1</t>
  </si>
  <si>
    <t>인천시 계양구 장제로946번길 1</t>
  </si>
  <si>
    <t>학마을한진</t>
  </si>
  <si>
    <t>1998.11.</t>
  </si>
  <si>
    <t>https://new.land.naver.com/complexes/8258?tab=detail&amp;rf=Y</t>
  </si>
  <si>
    <t>인천시 계양구 병방동 433-1</t>
  </si>
  <si>
    <t>인천시 계양구 용종로 124</t>
  </si>
  <si>
    <t>삼성홈타운</t>
  </si>
  <si>
    <t>2003.12.</t>
  </si>
  <si>
    <t>https://new.land.naver.com/complexes/103703?tab=detail&amp;rf=Y</t>
  </si>
  <si>
    <t>인천시 계양구 병방동 74-5</t>
  </si>
  <si>
    <t>인천시 계양구 서부간선로 185-1</t>
  </si>
  <si>
    <t>[서운동]</t>
  </si>
  <si>
    <t>계양임광그대가</t>
  </si>
  <si>
    <t>2009.10.</t>
  </si>
  <si>
    <t>https://new.land.naver.com/complexes/27340?tab=detail&amp;rf=Y</t>
  </si>
  <si>
    <t>인천시 계양구 서운동 203</t>
  </si>
  <si>
    <t>서운동</t>
  </si>
  <si>
    <t>인천시 계양구 효서로 417</t>
  </si>
  <si>
    <t>144A</t>
  </si>
  <si>
    <t>144B</t>
  </si>
  <si>
    <t>계양효성해링턴플레이스</t>
  </si>
  <si>
    <t>2021.02.</t>
  </si>
  <si>
    <t>https://new.land.naver.com/complexes/121375?tab=detail&amp;rf=Y</t>
  </si>
  <si>
    <t>인천시 계양구 서운동 9-13</t>
  </si>
  <si>
    <t>인천시 계양구 서운로 34</t>
  </si>
  <si>
    <t>115A</t>
  </si>
  <si>
    <t>116B</t>
  </si>
  <si>
    <t>서운경남아너스빌</t>
  </si>
  <si>
    <t>2007.09.</t>
  </si>
  <si>
    <t>https://new.land.naver.com/complexes/26053?tab=detail&amp;rf=Y</t>
  </si>
  <si>
    <t>인천시 계양구 서운동 178</t>
  </si>
  <si>
    <t>인천시 계양구 살라리로 21</t>
  </si>
  <si>
    <t>[오류동]</t>
  </si>
  <si>
    <t>신동아</t>
  </si>
  <si>
    <t>1997.03.</t>
  </si>
  <si>
    <t>https://new.land.naver.com/complexes/8434?tab=detail&amp;rf=Y</t>
  </si>
  <si>
    <t>인천시 계양구 오류동 180</t>
  </si>
  <si>
    <t>오류동</t>
  </si>
  <si>
    <t>인천시 계양구 황어로115번길 12</t>
  </si>
  <si>
    <t>[용종동]</t>
  </si>
  <si>
    <t>초정마을하나</t>
  </si>
  <si>
    <t>https://new.land.naver.com/complexes/2413?tab=detail&amp;rf=Y</t>
  </si>
  <si>
    <t>인천시 계양구 용종동 228-1</t>
  </si>
  <si>
    <t>용종동</t>
  </si>
  <si>
    <t>인천시 계양구 계양문화로 168</t>
  </si>
  <si>
    <t>초정마을두산쌍용</t>
  </si>
  <si>
    <t>120(두산)</t>
  </si>
  <si>
    <t>https://new.land.naver.com/complexes/2411?tab=detail&amp;rf=Y</t>
  </si>
  <si>
    <t>인천시 계양구 용종동 213-2</t>
  </si>
  <si>
    <t>인천시 계양구 계양문화로 142</t>
  </si>
  <si>
    <t>120(쌍용)</t>
  </si>
  <si>
    <t>149(쌍용)</t>
  </si>
  <si>
    <t>149(두산)</t>
  </si>
  <si>
    <t>용종마을신대진</t>
  </si>
  <si>
    <t>https://new.land.naver.com/complexes/2412?tab=detail&amp;rf=Y</t>
  </si>
  <si>
    <t>인천시 계양구 용종동 214-1</t>
  </si>
  <si>
    <t>인천시 계양구 용종로 97</t>
  </si>
  <si>
    <t>초정마을동아</t>
  </si>
  <si>
    <t>1998.01.</t>
  </si>
  <si>
    <t>https://new.land.naver.com/complexes/2410?tab=detail&amp;rf=Y</t>
  </si>
  <si>
    <t>인천시 계양구 용종동 213-3</t>
  </si>
  <si>
    <t>인천시 계양구 계산새로 109</t>
  </si>
  <si>
    <t>인천계양코아루센트럴파크</t>
  </si>
  <si>
    <t>2017.06.</t>
  </si>
  <si>
    <t>https://new.land.naver.com/complexes/108762?tab=detail&amp;rf=Y</t>
  </si>
  <si>
    <t>인천시 계양구 용종동 207-1</t>
  </si>
  <si>
    <t>인천시 계양구 계양문화로 119</t>
  </si>
  <si>
    <t>84A</t>
  </si>
  <si>
    <t>116C</t>
  </si>
  <si>
    <t>117B</t>
  </si>
  <si>
    <t>117D</t>
  </si>
  <si>
    <t>118A</t>
  </si>
  <si>
    <t>용종마을중앙</t>
  </si>
  <si>
    <t>https://new.land.naver.com/complexes/8536?tab=detail&amp;rf=Y</t>
  </si>
  <si>
    <t>인천시 계양구 용종동 214-2</t>
  </si>
  <si>
    <t>인천시 계양구 계양문화로 141</t>
  </si>
  <si>
    <t>[이화동]</t>
  </si>
  <si>
    <t>이화신동아파밀리에</t>
  </si>
  <si>
    <t>2007.07.</t>
  </si>
  <si>
    <t>https://new.land.naver.com/complexes/25336?tab=detail&amp;rf=Y</t>
  </si>
  <si>
    <t>인천시 계양구 이화동 407</t>
  </si>
  <si>
    <t>이화동</t>
  </si>
  <si>
    <t>인천시 계양구 황어로 139</t>
  </si>
  <si>
    <t>135B</t>
  </si>
  <si>
    <t>136A</t>
  </si>
  <si>
    <t>[임학동]</t>
  </si>
  <si>
    <t>용정</t>
  </si>
  <si>
    <t>https://new.land.naver.com/complexes/8266?tab=detail&amp;rf=Y</t>
  </si>
  <si>
    <t>인천시 계양구 임학동 25-3</t>
  </si>
  <si>
    <t>임학동</t>
  </si>
  <si>
    <t>인천시 계양구 계양산로216번길 20</t>
  </si>
  <si>
    <t>인우</t>
  </si>
  <si>
    <t>https://new.land.naver.com/complexes/8274?tab=detail&amp;rf=Y</t>
  </si>
  <si>
    <t>인천시 계양구 임학동 62</t>
  </si>
  <si>
    <t>인천시 계양구 임학서로6번길 14</t>
  </si>
  <si>
    <t>해마루</t>
  </si>
  <si>
    <t>2008.12.</t>
  </si>
  <si>
    <t>https://new.land.naver.com/complexes/109732?tab=detail&amp;rf=Y</t>
  </si>
  <si>
    <t>인천시 계양구 임학동 69-5</t>
  </si>
  <si>
    <t>인천시 계양구 임학동로 28</t>
  </si>
  <si>
    <t>한일</t>
  </si>
  <si>
    <t>1989.05.</t>
  </si>
  <si>
    <t>https://new.land.naver.com/complexes/8278?tab=detail&amp;rf=Y</t>
  </si>
  <si>
    <t>인천시 계양구 임학동 32-2</t>
  </si>
  <si>
    <t>인천시 계양구 임학안로 29</t>
  </si>
  <si>
    <t>중원</t>
  </si>
  <si>
    <t>https://new.land.naver.com/complexes/8275?tab=detail&amp;rf=Y</t>
  </si>
  <si>
    <t>인천시 계양구 임학동 60-6</t>
  </si>
  <si>
    <t>인천시 계양구 임학안로 25</t>
  </si>
  <si>
    <t>금광포란재</t>
  </si>
  <si>
    <t>2007.12.</t>
  </si>
  <si>
    <t>https://new.land.naver.com/complexes/26992?tab=detail&amp;rf=Y</t>
  </si>
  <si>
    <t>인천시 계양구 임학동 67-5</t>
  </si>
  <si>
    <t>인천시 계양구 장제로875번길 7</t>
  </si>
  <si>
    <t>1986.01.</t>
  </si>
  <si>
    <t>https://new.land.naver.com/complexes/8263?tab=detail&amp;rf=Y</t>
  </si>
  <si>
    <t>인천시 계양구 임학동 32-1</t>
  </si>
  <si>
    <t>인천시 계양구 임학안로27번길 14</t>
  </si>
  <si>
    <t>유호</t>
  </si>
  <si>
    <t>https://new.land.naver.com/complexes/8270?tab=detail&amp;rf=Y</t>
  </si>
  <si>
    <t>인천시 계양구 임학동 30</t>
  </si>
  <si>
    <t>인천시 계양구 임학안로 34-10</t>
  </si>
  <si>
    <t>윤성</t>
  </si>
  <si>
    <t>1989.01.</t>
  </si>
  <si>
    <t>https://new.land.naver.com/complexes/8272?tab=detail&amp;rf=Y</t>
  </si>
  <si>
    <t>인천시 계양구 임학동 35-7</t>
  </si>
  <si>
    <t>인천시 계양구 임학서로46번길 7</t>
  </si>
  <si>
    <t>https://new.land.naver.com/complexes/8276?tab=detail&amp;rf=Y</t>
  </si>
  <si>
    <t>인천시 계양구 임학동 31-1</t>
  </si>
  <si>
    <t>인천시 계양구 임학안로6번길 23</t>
  </si>
  <si>
    <t>승림</t>
  </si>
  <si>
    <t>2003.11.</t>
  </si>
  <si>
    <t>https://new.land.naver.com/complexes/111055?tab=detail&amp;rf=Y</t>
  </si>
  <si>
    <t>인천시 계양구 임학동 68-4</t>
  </si>
  <si>
    <t>인천시 계양구 장제로863번길 41</t>
  </si>
  <si>
    <t>샘앤샘</t>
  </si>
  <si>
    <t>2003.04.</t>
  </si>
  <si>
    <t>https://new.land.naver.com/complexes/121385?tab=detail&amp;rf=Y</t>
  </si>
  <si>
    <t>인천시 계양구 임학동 28-25</t>
  </si>
  <si>
    <t>인천시 계양구 임학안로6번길 28</t>
  </si>
  <si>
    <t>은영(칠성)</t>
  </si>
  <si>
    <t>https://new.land.naver.com/complexes/8273?tab=detail&amp;rf=Y</t>
  </si>
  <si>
    <t>인천시 계양구 임학동 31</t>
  </si>
  <si>
    <t>인천시 계양구 임학안로 30</t>
  </si>
  <si>
    <t>58A</t>
  </si>
  <si>
    <t>[작전동]</t>
  </si>
  <si>
    <t>도두리마을동남,롯데</t>
  </si>
  <si>
    <t>https://new.land.naver.com/complexes/8230?tab=detail&amp;rf=Y</t>
  </si>
  <si>
    <t>인천시 계양구 작전동 912-4</t>
  </si>
  <si>
    <t>작전동</t>
  </si>
  <si>
    <t>인천시 계양구 도두리로 62</t>
  </si>
  <si>
    <t>부민렉스타운</t>
  </si>
  <si>
    <t>2008.05.</t>
  </si>
  <si>
    <t>https://new.land.naver.com/complexes/27072?tab=detail&amp;rf=Y</t>
  </si>
  <si>
    <t>인천시 계양구 작전동 28-8</t>
  </si>
  <si>
    <t>인천시 계양구 주부토로472번길 43</t>
  </si>
  <si>
    <t>삼천리</t>
  </si>
  <si>
    <t>https://new.land.naver.com/complexes/2430?tab=detail&amp;rf=Y</t>
  </si>
  <si>
    <t>인천시 계양구 작전동 34-5</t>
  </si>
  <si>
    <t>인천시 계양구 주부토로 470</t>
  </si>
  <si>
    <t>상록파라브</t>
  </si>
  <si>
    <t>2013.07.</t>
  </si>
  <si>
    <t>https://new.land.naver.com/complexes/107502?tab=detail&amp;rf=Y</t>
  </si>
  <si>
    <t>인천시 계양구 작전동 948</t>
  </si>
  <si>
    <t>인천시 계양구 주부토로 442</t>
  </si>
  <si>
    <t>광명</t>
  </si>
  <si>
    <t>https://new.land.naver.com/complexes/8233?tab=detail&amp;rf=Y</t>
  </si>
  <si>
    <t>인천시 계양구 작전동 131-1</t>
  </si>
  <si>
    <t>인천시 계양구 효서로341번길 5</t>
  </si>
  <si>
    <t>대신</t>
  </si>
  <si>
    <t>1986.05.</t>
  </si>
  <si>
    <t>66B</t>
  </si>
  <si>
    <t>https://new.land.naver.com/complexes/10483?tab=detail&amp;rf=Y</t>
  </si>
  <si>
    <t>인천시 계양구 작전동 860-3</t>
  </si>
  <si>
    <t>인천시 계양구 봉오대로691번길 26</t>
  </si>
  <si>
    <t>작전</t>
  </si>
  <si>
    <t>1985.01.</t>
  </si>
  <si>
    <t>https://new.land.naver.com/complexes/8446?tab=detail&amp;rf=Y</t>
  </si>
  <si>
    <t>인천시 계양구 작전동 74-1</t>
  </si>
  <si>
    <t>인천시 계양구 봉오대로743번길 17</t>
  </si>
  <si>
    <t>미림</t>
  </si>
  <si>
    <t>1983.12.</t>
  </si>
  <si>
    <t>https://new.land.naver.com/complexes/9238?tab=detail&amp;rf=Y</t>
  </si>
  <si>
    <t>인천시 계양구 작전동 853</t>
  </si>
  <si>
    <t>인천시 계양구 계양대로119번길 11</t>
  </si>
  <si>
    <t>53B</t>
  </si>
  <si>
    <t>삼미</t>
  </si>
  <si>
    <t>1984.12.</t>
  </si>
  <si>
    <t>https://new.land.naver.com/complexes/10771?tab=detail&amp;rf=Y</t>
  </si>
  <si>
    <t>인천시 계양구 작전동 858-9</t>
  </si>
  <si>
    <t>인천시 계양구 주부토로459번길 5</t>
  </si>
  <si>
    <t>안톤스테이(도시형)</t>
  </si>
  <si>
    <t>2019.08.</t>
  </si>
  <si>
    <t>38A</t>
  </si>
  <si>
    <t>https://new.land.naver.com/complexes/126844?tab=detail&amp;rf=Y</t>
  </si>
  <si>
    <t>인천시 계양구 작전동 853-7</t>
  </si>
  <si>
    <t>인천시 계양구 계양대로119번길 1</t>
  </si>
  <si>
    <t>39B</t>
  </si>
  <si>
    <t>온누리베일리</t>
  </si>
  <si>
    <t>2019.09.</t>
  </si>
  <si>
    <t>81D</t>
  </si>
  <si>
    <t>https://new.land.naver.com/complexes/128537?tab=detail&amp;rf=Y</t>
  </si>
  <si>
    <t>인천시 계양구 작전동 858-11</t>
  </si>
  <si>
    <t>인천시 계양구 주부토로 453</t>
  </si>
  <si>
    <t>81A</t>
  </si>
  <si>
    <t>81B</t>
  </si>
  <si>
    <t>83G</t>
  </si>
  <si>
    <t>83E</t>
  </si>
  <si>
    <t>97A</t>
  </si>
  <si>
    <t>98B</t>
  </si>
  <si>
    <t>현대1차</t>
  </si>
  <si>
    <t>https://new.land.naver.com/complexes/2438?tab=detail&amp;rf=Y</t>
  </si>
  <si>
    <t>인천시 계양구 작전동 111</t>
  </si>
  <si>
    <t>인천시 계양구 봉오대로743번길 8</t>
  </si>
  <si>
    <t>현대3차</t>
  </si>
  <si>
    <t>1992.11.</t>
  </si>
  <si>
    <t>https://new.land.naver.com/complexes/8542?tab=detail&amp;rf=Y</t>
  </si>
  <si>
    <t>인천시 계양구 작전동 859-14</t>
  </si>
  <si>
    <t>인천시 계양구 주부토로413번길 18</t>
  </si>
  <si>
    <t>97B</t>
  </si>
  <si>
    <t>선우</t>
  </si>
  <si>
    <t>1986.02.</t>
  </si>
  <si>
    <t>https://new.land.naver.com/complexes/9312?tab=detail&amp;rf=Y</t>
  </si>
  <si>
    <t>인천시 계양구 작전동 30-1</t>
  </si>
  <si>
    <t>인천시 계양구 주부토로472번길 51</t>
  </si>
  <si>
    <t>도두리마을동보</t>
  </si>
  <si>
    <t>https://new.land.naver.com/complexes/2427?tab=detail&amp;rf=Y</t>
  </si>
  <si>
    <t>인천시 계양구 작전동 912-3</t>
  </si>
  <si>
    <t>인천시 계양구 도두리로 52</t>
  </si>
  <si>
    <t>대진</t>
  </si>
  <si>
    <t>1979.07.</t>
  </si>
  <si>
    <t>https://new.land.naver.com/complexes/11045?tab=detail&amp;rf=Y</t>
  </si>
  <si>
    <t>인천시 계양구 작전동 439-7</t>
  </si>
  <si>
    <t>인천시 계양구 효서로217번길 1</t>
  </si>
  <si>
    <t>동아</t>
  </si>
  <si>
    <t>https://new.land.naver.com/complexes/10746?tab=detail&amp;rf=Y</t>
  </si>
  <si>
    <t>인천시 계양구 작전동 854-12</t>
  </si>
  <si>
    <t>인천시 계양구 작전시장로 3</t>
  </si>
  <si>
    <t>1985.11.</t>
  </si>
  <si>
    <t>https://new.land.naver.com/complexes/8540?tab=detail&amp;rf=Y</t>
  </si>
  <si>
    <t>인천시 계양구 작전동 869-19</t>
  </si>
  <si>
    <t>인천시 계양구 봉오대로698번길 18</t>
  </si>
  <si>
    <t>수정</t>
  </si>
  <si>
    <t>https://new.land.naver.com/complexes/10235?tab=detail&amp;rf=Y</t>
  </si>
  <si>
    <t>인천시 계양구 작전동 445-8</t>
  </si>
  <si>
    <t>인천시 계양구 효서로 222</t>
  </si>
  <si>
    <t>1995.03.</t>
  </si>
  <si>
    <t>https://new.land.naver.com/complexes/2431?tab=detail&amp;rf=Y</t>
  </si>
  <si>
    <t>인천시 계양구 작전동 381-3</t>
  </si>
  <si>
    <t>인천시 계양구 주부토로363번길 4</t>
  </si>
  <si>
    <t>도두리마을대동</t>
  </si>
  <si>
    <t>1997.09.</t>
  </si>
  <si>
    <t>https://new.land.naver.com/complexes/2254?tab=detail&amp;rf=Y</t>
  </si>
  <si>
    <t>인천시 계양구 작전동 912-5</t>
  </si>
  <si>
    <t>인천시 계양구 도두리로 74</t>
  </si>
  <si>
    <t>작전동보2차</t>
  </si>
  <si>
    <t>2000.05.</t>
  </si>
  <si>
    <t>https://new.land.naver.com/complexes/8237?tab=detail&amp;rf=Y</t>
  </si>
  <si>
    <t>인천시 계양구 작전동 286-1</t>
  </si>
  <si>
    <t>인천시 계양구 장제로663번길 13</t>
  </si>
  <si>
    <t>동보1차</t>
  </si>
  <si>
    <t>1995.04.</t>
  </si>
  <si>
    <t>https://new.land.naver.com/complexes/8236?tab=detail&amp;rf=Y</t>
  </si>
  <si>
    <t>인천시 계양구 작전동 388-2</t>
  </si>
  <si>
    <t>인천시 계양구 주부토로363번길 27</t>
  </si>
  <si>
    <t>신진</t>
  </si>
  <si>
    <t>1987.12.</t>
  </si>
  <si>
    <t>https://new.land.naver.com/complexes/9192?tab=detail&amp;rf=Y</t>
  </si>
  <si>
    <t>인천시 계양구 작전동 140-2</t>
  </si>
  <si>
    <t>인천시 계양구 봉오대로744번길 17</t>
  </si>
  <si>
    <t>팬더(53)</t>
  </si>
  <si>
    <t>https://new.land.naver.com/complexes/22393?tab=detail&amp;rf=Y</t>
  </si>
  <si>
    <t>인천시 계양구 작전동 53</t>
  </si>
  <si>
    <t>인천시 계양구 주부토로448번길 2</t>
  </si>
  <si>
    <t>백합</t>
  </si>
  <si>
    <t>1985.08.</t>
  </si>
  <si>
    <t>https://new.land.naver.com/complexes/8456?tab=detail&amp;rf=Y</t>
  </si>
  <si>
    <t>인천시 계양구 작전동 44</t>
  </si>
  <si>
    <t>인천시 계양구 주부토로 464</t>
  </si>
  <si>
    <t>2006.10.</t>
  </si>
  <si>
    <t>https://new.land.naver.com/complexes/25224?tab=detail&amp;rf=Y</t>
  </si>
  <si>
    <t>인천시 계양구 작전동 863-17</t>
  </si>
  <si>
    <t>인천시 계양구 봉오대로 671</t>
  </si>
  <si>
    <t>104A</t>
  </si>
  <si>
    <t>105C</t>
  </si>
  <si>
    <t>105D</t>
  </si>
  <si>
    <t>105B</t>
  </si>
  <si>
    <t>작전풍림아이원</t>
  </si>
  <si>
    <t>https://new.land.naver.com/complexes/8784?tab=detail&amp;rf=Y</t>
  </si>
  <si>
    <t>인천시 계양구 작전동 169</t>
  </si>
  <si>
    <t>인천시 계양구 효서로 324</t>
  </si>
  <si>
    <t>1998.03.</t>
  </si>
  <si>
    <t>https://new.land.naver.com/complexes/8232?tab=detail&amp;rf=Y</t>
  </si>
  <si>
    <t>인천시 계양구 작전동 79</t>
  </si>
  <si>
    <t>인천시 계양구 봉오대로743번길 9</t>
  </si>
  <si>
    <t>영흥</t>
  </si>
  <si>
    <t>1985.09.</t>
  </si>
  <si>
    <t>https://new.land.naver.com/complexes/10565?tab=detail&amp;rf=Y</t>
  </si>
  <si>
    <t>인천시 계양구 작전동 857-18</t>
  </si>
  <si>
    <t>인천시 계양구 주부토로459번길 8-6</t>
  </si>
  <si>
    <t>한오</t>
  </si>
  <si>
    <t>https://new.land.naver.com/complexes/10212?tab=detail&amp;rf=Y</t>
  </si>
  <si>
    <t>인천시 계양구 작전동 862-18</t>
  </si>
  <si>
    <t>인천시 계양구 봉오대로691번길 7</t>
  </si>
  <si>
    <t>50B</t>
  </si>
  <si>
    <t>미도</t>
  </si>
  <si>
    <t>1990.11.</t>
  </si>
  <si>
    <t>https://new.land.naver.com/complexes/2428?tab=detail&amp;rf=Y</t>
  </si>
  <si>
    <t>인천시 계양구 작전동 420</t>
  </si>
  <si>
    <t>인천시 계양구 아나지로299번길 17</t>
  </si>
  <si>
    <t>성우</t>
  </si>
  <si>
    <t>1982.12.</t>
  </si>
  <si>
    <t>https://new.land.naver.com/complexes/9582?tab=detail&amp;rf=Y</t>
  </si>
  <si>
    <t>인천시 계양구 작전동 869-18</t>
  </si>
  <si>
    <t>인천시 계양구 봉오대로686번길 17</t>
  </si>
  <si>
    <t>61A</t>
  </si>
  <si>
    <t>61C</t>
  </si>
  <si>
    <t>61D</t>
  </si>
  <si>
    <t>62E</t>
  </si>
  <si>
    <t>서보한마음(도시형)</t>
  </si>
  <si>
    <t>https://new.land.naver.com/complexes/112449?tab=detail&amp;rf=Y</t>
  </si>
  <si>
    <t>인천시 계양구 작전동 858-10</t>
  </si>
  <si>
    <t>인천시 계양구 주부토로 457</t>
  </si>
  <si>
    <t>작전뉴서울2차</t>
  </si>
  <si>
    <t>https://new.land.naver.com/complexes/2426?tab=detail&amp;rf=Y</t>
  </si>
  <si>
    <t>인천시 계양구 작전동 26-1</t>
  </si>
  <si>
    <t>인천시 계양구 장제로743번길 14</t>
  </si>
  <si>
    <t>중앙하이츠</t>
  </si>
  <si>
    <t>1990.10.</t>
  </si>
  <si>
    <t>https://new.land.naver.com/complexes/8140?tab=detail&amp;rf=Y</t>
  </si>
  <si>
    <t>인천시 계양구 작전동 99-5</t>
  </si>
  <si>
    <t>인천시 계양구 효서로303번길 20</t>
  </si>
  <si>
    <t>한아름</t>
  </si>
  <si>
    <t>https://new.land.naver.com/complexes/9475?tab=detail&amp;rf=Y</t>
  </si>
  <si>
    <t>인천시 계양구 작전동 72-2</t>
  </si>
  <si>
    <t>인천시 계양구 봉오대로743번길 25</t>
  </si>
  <si>
    <t>한화</t>
  </si>
  <si>
    <t>https://new.land.naver.com/complexes/8541?tab=detail&amp;rf=Y</t>
  </si>
  <si>
    <t>인천시 계양구 작전동 858</t>
  </si>
  <si>
    <t>인천시 계양구 계산로126번길 27</t>
  </si>
  <si>
    <t>1985.04.</t>
  </si>
  <si>
    <t>https://new.land.naver.com/complexes/11061?tab=detail&amp;rf=Y</t>
  </si>
  <si>
    <t>인천시 계양구 작전동 439-3</t>
  </si>
  <si>
    <t>인천시 계양구 효서로 201</t>
  </si>
  <si>
    <t>현대2-1차</t>
  </si>
  <si>
    <t>1991.10.</t>
  </si>
  <si>
    <t>https://new.land.naver.com/complexes/2439?tab=detail&amp;rf=Y</t>
  </si>
  <si>
    <t>인천시 계양구 작전동 580</t>
  </si>
  <si>
    <t>인천시 계양구 효서로 381</t>
  </si>
  <si>
    <t>우암센스뷰</t>
  </si>
  <si>
    <t>https://new.land.naver.com/complexes/11780?tab=detail&amp;rf=Y</t>
  </si>
  <si>
    <t>인천시 계양구 작전동 857-5</t>
  </si>
  <si>
    <t>인천시 계양구 계산로126번길 19</t>
  </si>
  <si>
    <t>알토란</t>
  </si>
  <si>
    <t>2003.07.</t>
  </si>
  <si>
    <t>https://new.land.naver.com/complexes/12004?tab=detail&amp;rf=Y</t>
  </si>
  <si>
    <t>인천시 계양구 작전동 869-11</t>
  </si>
  <si>
    <t>인천시 계양구 봉오대로686번길 5</t>
  </si>
  <si>
    <t>삼보</t>
  </si>
  <si>
    <t>1994.02.</t>
  </si>
  <si>
    <t>https://new.land.naver.com/complexes/2429?tab=detail&amp;rf=Y</t>
  </si>
  <si>
    <t>인천시 계양구 작전동 64-1</t>
  </si>
  <si>
    <t>인천시 계양구 주부토로472번길 36</t>
  </si>
  <si>
    <t>105A</t>
  </si>
  <si>
    <t>고려</t>
  </si>
  <si>
    <t>1983.10.</t>
  </si>
  <si>
    <t>https://new.land.naver.com/complexes/13834?tab=detail&amp;rf=Y</t>
  </si>
  <si>
    <t>인천시 계양구 작전동 863-11</t>
  </si>
  <si>
    <t>인천시 계양구 계양대로 88-1</t>
  </si>
  <si>
    <t>무지개</t>
  </si>
  <si>
    <t>1989.06.</t>
  </si>
  <si>
    <t>https://new.land.naver.com/complexes/8231?tab=detail&amp;rf=Y</t>
  </si>
  <si>
    <t>인천시 계양구 작전동 103-2</t>
  </si>
  <si>
    <t>인천시 계양구 봉오대로744번길 4</t>
  </si>
  <si>
    <t>유진</t>
  </si>
  <si>
    <t>https://new.land.naver.com/complexes/11083?tab=detail&amp;rf=Y</t>
  </si>
  <si>
    <t>인천시 계양구 작전동 871-15</t>
  </si>
  <si>
    <t>인천시 계양구 봉오대로712번길 13</t>
  </si>
  <si>
    <t>조양휴캐슬(도시형)</t>
  </si>
  <si>
    <t>2020.04.</t>
  </si>
  <si>
    <t>https://new.land.naver.com/complexes/134823?tab=detail&amp;rf=Y</t>
  </si>
  <si>
    <t>인천시 계양구 작전동 428-3</t>
  </si>
  <si>
    <t>인천시 계양구 계양대로34번길 8</t>
  </si>
  <si>
    <t>51A</t>
  </si>
  <si>
    <t>https://new.land.naver.com/complexes/11058?tab=detail&amp;rf=Y</t>
  </si>
  <si>
    <t>인천시 계양구 작전동 28-9</t>
  </si>
  <si>
    <t>인천시 계양구 주부토로472번길 33</t>
  </si>
  <si>
    <t>동양</t>
  </si>
  <si>
    <t>https://new.land.naver.com/complexes/9620?tab=detail&amp;rf=Y</t>
  </si>
  <si>
    <t>인천시 계양구 작전동 856-75</t>
  </si>
  <si>
    <t>인천시 계양구 봉오대로677번길 30</t>
  </si>
  <si>
    <t>1984.09.</t>
  </si>
  <si>
    <t>https://new.land.naver.com/complexes/9783?tab=detail&amp;rf=Y</t>
  </si>
  <si>
    <t>인천시 계양구 작전동 852-14</t>
  </si>
  <si>
    <t>인천시 계양구 계양대로139번길 9</t>
  </si>
  <si>
    <t>뉴서울1차</t>
  </si>
  <si>
    <t>https://new.land.naver.com/complexes/8300?tab=detail&amp;rf=Y</t>
  </si>
  <si>
    <t>인천시 계양구 작전동 102-3</t>
  </si>
  <si>
    <t>인천시 계양구 봉오대로744번길 7</t>
  </si>
  <si>
    <t>작전현대2-2차</t>
  </si>
  <si>
    <t>1993.12.</t>
  </si>
  <si>
    <t>https://new.land.naver.com/complexes/2441?tab=detail&amp;rf=Y</t>
  </si>
  <si>
    <t>인천시 계양구 작전동 555-1</t>
  </si>
  <si>
    <t>동방</t>
  </si>
  <si>
    <t>1979.12.</t>
  </si>
  <si>
    <t>https://new.land.naver.com/complexes/10807?tab=detail&amp;rf=Y</t>
  </si>
  <si>
    <t>인천시 계양구 작전동 856-60</t>
  </si>
  <si>
    <t>인천시 계양구 계산로126번길 34</t>
  </si>
  <si>
    <t>70B</t>
  </si>
  <si>
    <t>70C</t>
  </si>
  <si>
    <t>70D</t>
  </si>
  <si>
    <t>71B</t>
  </si>
  <si>
    <t>작전역서해그랑블</t>
  </si>
  <si>
    <t>2020.09.</t>
  </si>
  <si>
    <t>https://new.land.naver.com/complexes/123398?tab=detail&amp;rf=Y</t>
  </si>
  <si>
    <t>인천시 계양구 작전동 949</t>
  </si>
  <si>
    <t>인천시 계양구 아나지로247번길 22</t>
  </si>
  <si>
    <t>115B</t>
  </si>
  <si>
    <t>브라운스톤계양스카이</t>
  </si>
  <si>
    <t>2020.10.</t>
  </si>
  <si>
    <t>85B</t>
  </si>
  <si>
    <t>https://new.land.naver.com/complexes/122466?tab=detail&amp;rf=Y</t>
  </si>
  <si>
    <t>인천시 계양구 작전동 951</t>
  </si>
  <si>
    <t>인천시 계양구 아나지로299번길 11</t>
  </si>
  <si>
    <t>85A</t>
  </si>
  <si>
    <t>85C</t>
  </si>
  <si>
    <t>100A</t>
  </si>
  <si>
    <t>101B</t>
  </si>
  <si>
    <t>우영</t>
  </si>
  <si>
    <t>1984.11.</t>
  </si>
  <si>
    <t>60A</t>
  </si>
  <si>
    <t>https://new.land.naver.com/complexes/9761?tab=detail&amp;rf=Y</t>
  </si>
  <si>
    <t>인천시 계양구 작전동 869-17</t>
  </si>
  <si>
    <t>인천시 계양구 봉오대로686번길 9</t>
  </si>
  <si>
    <t>60B</t>
  </si>
  <si>
    <t>현광</t>
  </si>
  <si>
    <t>1992.08.</t>
  </si>
  <si>
    <t>https://new.land.naver.com/complexes/2437?tab=detail&amp;rf=Y</t>
  </si>
  <si>
    <t>인천시 계양구 작전동 707-5</t>
  </si>
  <si>
    <t>인천시 계양구 아나지로 388</t>
  </si>
  <si>
    <t>금보</t>
  </si>
  <si>
    <t>1989.11.</t>
  </si>
  <si>
    <t>https://new.land.naver.com/complexes/9940?tab=detail&amp;rf=Y</t>
  </si>
  <si>
    <t>인천시 계양구 작전동 30-3</t>
  </si>
  <si>
    <t>인천시 계양구 주부토로472번길 53-1</t>
  </si>
  <si>
    <t>까치마을태화,한진</t>
  </si>
  <si>
    <t>1997.11.</t>
  </si>
  <si>
    <t>https://new.land.naver.com/complexes/2433?tab=detail&amp;rf=Y</t>
  </si>
  <si>
    <t>인천시 계양구 작전동 915-1</t>
  </si>
  <si>
    <t>인천시 계양구 효서로 393</t>
  </si>
  <si>
    <t>코오롱</t>
  </si>
  <si>
    <t>1989.10.</t>
  </si>
  <si>
    <t>https://new.land.naver.com/complexes/2432?tab=detail&amp;rf=Y</t>
  </si>
  <si>
    <t>인천시 계양구 작전동 861-1</t>
  </si>
  <si>
    <t>인천시 계양구 봉오대로691번길 4</t>
  </si>
  <si>
    <t>힐스테이트자이계양</t>
  </si>
  <si>
    <t>2024.03.</t>
  </si>
  <si>
    <t>76A</t>
  </si>
  <si>
    <t>https://new.land.naver.com/complexes/143101?tab=detail&amp;rf=Y</t>
  </si>
  <si>
    <t>인천시 계양구 작전동 765번지 일원</t>
  </si>
  <si>
    <t>76B</t>
  </si>
  <si>
    <t>77C</t>
  </si>
  <si>
    <t>86A</t>
  </si>
  <si>
    <t>88B</t>
  </si>
  <si>
    <t>114A</t>
  </si>
  <si>
    <t>115C</t>
  </si>
  <si>
    <t>팬더(864-17)</t>
  </si>
  <si>
    <t>1990.04.</t>
  </si>
  <si>
    <t>https://new.land.naver.com/complexes/8544?tab=detail&amp;rf=Y</t>
  </si>
  <si>
    <t>인천시 계양구 작전동 864-17</t>
  </si>
  <si>
    <t>인천시 계양구 봉오대로651번길 8</t>
  </si>
  <si>
    <t>68A</t>
  </si>
  <si>
    <t>2013.03.</t>
  </si>
  <si>
    <t>https://new.land.naver.com/complexes/104931?tab=detail&amp;rf=Y</t>
  </si>
  <si>
    <t>인천시 계양구 작전동 947</t>
  </si>
  <si>
    <t>인천시 계양구 효서로303번길 19</t>
  </si>
  <si>
    <t>91A</t>
  </si>
  <si>
    <t>93B</t>
  </si>
  <si>
    <t>백조</t>
  </si>
  <si>
    <t>1985.02.</t>
  </si>
  <si>
    <t>70A</t>
  </si>
  <si>
    <t>https://new.land.naver.com/complexes/11350?tab=detail&amp;rf=Y</t>
  </si>
  <si>
    <t>인천시 계양구 작전동 859-2</t>
  </si>
  <si>
    <t>인천시 계양구 주부토로449번길 7</t>
  </si>
  <si>
    <t>https://new.land.naver.com/complexes/2436?tab=detail&amp;rf=Y</t>
  </si>
  <si>
    <t>인천시 계양구 작전동 855-2</t>
  </si>
  <si>
    <t>인천시 계양구 계산로108번길 20</t>
  </si>
  <si>
    <t>90A</t>
  </si>
  <si>
    <t>94B</t>
  </si>
  <si>
    <t>형제</t>
  </si>
  <si>
    <t>https://new.land.naver.com/complexes/9346?tab=detail&amp;rf=Y</t>
  </si>
  <si>
    <t>인천시 계양구 작전동 41-1</t>
  </si>
  <si>
    <t>인천시 계양구 주부토로460번길 12</t>
  </si>
  <si>
    <t>한양</t>
  </si>
  <si>
    <t>1985.10.</t>
  </si>
  <si>
    <t>https://new.land.naver.com/complexes/2435?tab=detail&amp;rf=Y</t>
  </si>
  <si>
    <t>인천시 계양구 작전동 854-4</t>
  </si>
  <si>
    <t>인천시 계양구 계양대로120번길 10</t>
  </si>
  <si>
    <t>한신</t>
  </si>
  <si>
    <t>https://new.land.naver.com/complexes/2434?tab=detail&amp;rf=Y</t>
  </si>
  <si>
    <t>인천시 계양구 작전동 382-1</t>
  </si>
  <si>
    <t>인천시 계양구 효서로 284</t>
  </si>
  <si>
    <t>공작</t>
  </si>
  <si>
    <t>https://new.land.naver.com/complexes/8332?tab=detail&amp;rf=Y</t>
  </si>
  <si>
    <t>인천시 계양구 작전동 860-10</t>
  </si>
  <si>
    <t>인천시 계양구 주부토로413번길 17</t>
  </si>
  <si>
    <t>https://new.land.naver.com/complexes/9672?tab=detail&amp;rf=Y</t>
  </si>
  <si>
    <t>인천시 계양구 작전동 386-3</t>
  </si>
  <si>
    <t>인천시 계양구 아나지로307번길 24</t>
  </si>
  <si>
    <t>https://new.land.naver.com/complexes/11060?tab=detail&amp;rf=Y</t>
  </si>
  <si>
    <t>인천시 계양구 작전동 867-10</t>
  </si>
  <si>
    <t>인천시 계양구 봉오대로686번길 8</t>
  </si>
  <si>
    <t>[장기동]</t>
  </si>
  <si>
    <t>계양벽산블루밍</t>
  </si>
  <si>
    <t>https://new.land.naver.com/complexes/100556?tab=detail&amp;rf=Y</t>
  </si>
  <si>
    <t>인천시 계양구 장기동 131-10</t>
  </si>
  <si>
    <t>장기동</t>
  </si>
  <si>
    <t>인천시 계양구 황어로115번길 13</t>
  </si>
  <si>
    <t>137A</t>
  </si>
  <si>
    <t>138B</t>
  </si>
  <si>
    <t>[효성동]</t>
  </si>
  <si>
    <t>https://new.land.naver.com/complexes/2522?tab=detail&amp;rf=Y</t>
  </si>
  <si>
    <t>인천시 계양구 효성동 123-57</t>
  </si>
  <si>
    <t>효성동</t>
  </si>
  <si>
    <t>인천시 계양구 봉오대로477번길 20</t>
  </si>
  <si>
    <t>백영</t>
  </si>
  <si>
    <t>1996.05.</t>
  </si>
  <si>
    <t>https://new.land.naver.com/complexes/8265?tab=detail&amp;rf=Y</t>
  </si>
  <si>
    <t>인천시 계양구 효성동 101-5</t>
  </si>
  <si>
    <t>인천시 계양구 길마로11번길 3</t>
  </si>
  <si>
    <t>포레스트백림</t>
  </si>
  <si>
    <t>2021.05.</t>
  </si>
  <si>
    <t>https://new.land.naver.com/complexes/141997?tab=detail&amp;rf=Y</t>
  </si>
  <si>
    <t>인천시 계양구 효성동 321-5</t>
  </si>
  <si>
    <t>인천시 계양구 효서로 114</t>
  </si>
  <si>
    <t>https://new.land.naver.com/complexes/2479?tab=detail&amp;rf=Y</t>
  </si>
  <si>
    <t>인천시 계양구 효성동 280-5</t>
  </si>
  <si>
    <t>인천시 계양구 새벌로133번길 4</t>
  </si>
  <si>
    <t>현대2차</t>
  </si>
  <si>
    <t>https://new.land.naver.com/complexes/2478?tab=detail&amp;rf=Y</t>
  </si>
  <si>
    <t>인천시 계양구 효성동 24-49</t>
  </si>
  <si>
    <t>인천시 계양구 길마로 83</t>
  </si>
  <si>
    <t>1996.09.</t>
  </si>
  <si>
    <t>https://new.land.naver.com/complexes/2476?tab=detail&amp;rf=Y</t>
  </si>
  <si>
    <t>인천시 계양구 효성동 623-3</t>
  </si>
  <si>
    <t>인천시 계양구 봉오대로463번길 12</t>
  </si>
  <si>
    <t>계양서해그랑블더테라스</t>
  </si>
  <si>
    <t>2023.06.</t>
  </si>
  <si>
    <t>112A-2</t>
  </si>
  <si>
    <t>https://new.land.naver.com/complexes/143441?tab=detail&amp;rf=Y</t>
  </si>
  <si>
    <t>인천시 계양구 효성동 24-15</t>
  </si>
  <si>
    <t>112A-3</t>
  </si>
  <si>
    <t>112A-4</t>
  </si>
  <si>
    <t>112B-1</t>
  </si>
  <si>
    <t>112A-1</t>
  </si>
  <si>
    <t>113B-2</t>
  </si>
  <si>
    <t>113B-3</t>
  </si>
  <si>
    <t>113B-4</t>
  </si>
  <si>
    <t>113C-2</t>
  </si>
  <si>
    <t>113C-3</t>
  </si>
  <si>
    <t>113C-4</t>
  </si>
  <si>
    <t>113C-1</t>
  </si>
  <si>
    <t>새사미</t>
  </si>
  <si>
    <t>https://new.land.naver.com/complexes/8911?tab=detail&amp;rf=Y</t>
  </si>
  <si>
    <t>인천시 계양구 효성동 623-16</t>
  </si>
  <si>
    <t>인천시 계양구 봉오대로 441</t>
  </si>
  <si>
    <t>동남</t>
  </si>
  <si>
    <t>https://new.land.naver.com/complexes/9677?tab=detail&amp;rf=Y</t>
  </si>
  <si>
    <t>인천시 계양구 효성동 25-20</t>
  </si>
  <si>
    <t>인천시 계양구 안남로 590</t>
  </si>
  <si>
    <t>뉴서울6차</t>
  </si>
  <si>
    <t>1995.05.</t>
  </si>
  <si>
    <t>https://new.land.naver.com/complexes/2473?tab=detail&amp;rf=Y</t>
  </si>
  <si>
    <t>인천시 계양구 효성동 301-1</t>
  </si>
  <si>
    <t>인천시 계양구 아나지로198번길 8</t>
  </si>
  <si>
    <t>경남2차</t>
  </si>
  <si>
    <t>1990.05.</t>
  </si>
  <si>
    <t>https://new.land.naver.com/complexes/8505?tab=detail&amp;rf=Y</t>
  </si>
  <si>
    <t>인천시 계양구 효성동 623-6</t>
  </si>
  <si>
    <t>인천시 계양구 봉오대로463번길 7</t>
  </si>
  <si>
    <t>효성대림</t>
  </si>
  <si>
    <t>1999.09.</t>
  </si>
  <si>
    <t>https://new.land.naver.com/complexes/8925?tab=detail&amp;rf=Y</t>
  </si>
  <si>
    <t>인천시 계양구 효성동 28</t>
  </si>
  <si>
    <t>인천시 계양구 안남로 583</t>
  </si>
  <si>
    <t>108A</t>
  </si>
  <si>
    <t>1996.11.</t>
  </si>
  <si>
    <t>https://new.land.naver.com/complexes/8238?tab=detail&amp;rf=Y</t>
  </si>
  <si>
    <t>인천시 계양구 효성동 24-3</t>
  </si>
  <si>
    <t>인천시 계양구 안남로572번길 17</t>
  </si>
  <si>
    <t>https://new.land.naver.com/complexes/8512?tab=detail&amp;rf=Y</t>
  </si>
  <si>
    <t>인천시 계양구 효성동 228-1</t>
  </si>
  <si>
    <t>인천시 계양구 효서로 115</t>
  </si>
  <si>
    <t>뉴서울5차</t>
  </si>
  <si>
    <t>1994.12.</t>
  </si>
  <si>
    <t>https://new.land.naver.com/complexes/2472?tab=detail&amp;rf=Y</t>
  </si>
  <si>
    <t>인천시 계양구 효성동 238-1</t>
  </si>
  <si>
    <t>인천시 계양구 아나지로 199</t>
  </si>
  <si>
    <t>유승그린</t>
  </si>
  <si>
    <t>https://new.land.naver.com/complexes/8268?tab=detail&amp;rf=Y</t>
  </si>
  <si>
    <t>인천시 계양구 효성동 273</t>
  </si>
  <si>
    <t>인천시 계양구 아나지로197번길 9</t>
  </si>
  <si>
    <t>1985.06.</t>
  </si>
  <si>
    <t>https://new.land.naver.com/complexes/8239?tab=detail&amp;rf=Y</t>
  </si>
  <si>
    <t>인천시 계양구 효성동 99-11</t>
  </si>
  <si>
    <t>인천시 계양구 안남로573번길 16</t>
  </si>
  <si>
    <t>풍림</t>
  </si>
  <si>
    <t>https://new.land.naver.com/complexes/2475?tab=detail&amp;rf=Y</t>
  </si>
  <si>
    <t>인천시 계양구 효성동 225-1</t>
  </si>
  <si>
    <t>인천시 계양구 아나지로213번길 22</t>
  </si>
  <si>
    <t>서광</t>
  </si>
  <si>
    <t>1983.11.</t>
  </si>
  <si>
    <t>https://new.land.naver.com/complexes/8267?tab=detail&amp;rf=Y</t>
  </si>
  <si>
    <t>인천시 계양구 효성동 236-6</t>
  </si>
  <si>
    <t>인천시 계양구 아나지로197번길 24</t>
  </si>
  <si>
    <t>동서</t>
  </si>
  <si>
    <t>1981.10.</t>
  </si>
  <si>
    <t>https://new.land.naver.com/complexes/14782?tab=detail&amp;rf=Y</t>
  </si>
  <si>
    <t>인천시 계양구 효성동 21-6</t>
  </si>
  <si>
    <t>인천시 계양구 길마로 57</t>
  </si>
  <si>
    <t>https://new.land.naver.com/complexes/8234?tab=detail&amp;rf=Y</t>
  </si>
  <si>
    <t>인천시 계양구 효성동 286</t>
  </si>
  <si>
    <t>인천시 계양구 새벌로 159</t>
  </si>
  <si>
    <t>https://new.land.naver.com/complexes/10366?tab=detail&amp;rf=Y</t>
  </si>
  <si>
    <t>인천시 계양구 효성동 69-4</t>
  </si>
  <si>
    <t>인천시 계양구 안남로 526</t>
  </si>
  <si>
    <t>중앙공영</t>
  </si>
  <si>
    <t>https://new.land.naver.com/complexes/2474?tab=detail&amp;rf=Y</t>
  </si>
  <si>
    <t>인천시 계양구 효성동 293-1</t>
  </si>
  <si>
    <t>인천시 계양구 봉오대로628번길 8</t>
  </si>
  <si>
    <t>경남1차</t>
  </si>
  <si>
    <t>1987.07.</t>
  </si>
  <si>
    <t>https://new.land.naver.com/complexes/8504?tab=detail&amp;rf=Y</t>
  </si>
  <si>
    <t>인천시 계양구 효성동 623-27</t>
  </si>
  <si>
    <t>인천시 계양구 봉오대로463번길 17</t>
  </si>
  <si>
    <t>피렌체하우스(도시형)</t>
  </si>
  <si>
    <t>2017.04.</t>
  </si>
  <si>
    <t>https://new.land.naver.com/complexes/135191?tab=detail&amp;rf=Y</t>
  </si>
  <si>
    <t>인천시 계양구 효성동 34-59</t>
  </si>
  <si>
    <t>인천시 계양구 길마로 23-2</t>
  </si>
  <si>
    <t>뉴서울3차</t>
  </si>
  <si>
    <t>1993.08.</t>
  </si>
  <si>
    <t>https://new.land.naver.com/complexes/2471?tab=detail&amp;rf=Y</t>
  </si>
  <si>
    <t>인천시 계양구 효성동 207-1</t>
  </si>
  <si>
    <t>인천시 계양구 새벌로 88</t>
  </si>
  <si>
    <t>2014.02.</t>
  </si>
  <si>
    <t>https://new.land.naver.com/complexes/109437?tab=detail&amp;rf=Y</t>
  </si>
  <si>
    <t>인천시 계양구 효성동 676</t>
  </si>
  <si>
    <t>인천시 계양구 효서로 10</t>
  </si>
  <si>
    <t>1991.11.</t>
  </si>
  <si>
    <t>https://new.land.naver.com/complexes/2477?tab=detail&amp;rf=Y</t>
  </si>
  <si>
    <t>인천시 계양구 효성동 21-11</t>
  </si>
  <si>
    <t>인천시 계양구 길마로 70</t>
  </si>
  <si>
    <t>86B</t>
  </si>
  <si>
    <t>현대4차</t>
  </si>
  <si>
    <t>1995.12.</t>
  </si>
  <si>
    <t>https://new.land.naver.com/complexes/2480?tab=detail&amp;rf=Y</t>
  </si>
  <si>
    <t>인천시 계양구 효성동 200-1</t>
  </si>
  <si>
    <t>인천시 계양구 새벌로112번길 12</t>
  </si>
  <si>
    <t>75C</t>
  </si>
  <si>
    <t>https://new.land.naver.com/complexes/8355?tab=detail&amp;rf=Y</t>
  </si>
  <si>
    <t>인천시 계양구 효성동 242-6</t>
  </si>
  <si>
    <t>인천시 계양구 효서로 150</t>
  </si>
  <si>
    <t>유승</t>
  </si>
  <si>
    <t>https://new.land.naver.com/complexes/8975?tab=detail&amp;rf=Y</t>
  </si>
  <si>
    <t>인천시 계양구 효성동 556</t>
  </si>
  <si>
    <t>인천시 계양구 새풀로 27</t>
  </si>
  <si>
    <t>두산</t>
  </si>
  <si>
    <t>https://new.land.naver.com/complexes/8271?tab=detail&amp;rf=Y</t>
  </si>
  <si>
    <t>인천시 계양구 효성동 33-2</t>
  </si>
  <si>
    <t>인천시 계양구 안남로573번길 18</t>
  </si>
  <si>
    <t>107C</t>
  </si>
  <si>
    <t>금호어울림</t>
  </si>
  <si>
    <t>2005.08.</t>
  </si>
  <si>
    <t>https://new.land.naver.com/complexes/14521?tab=detail&amp;rf=Y</t>
  </si>
  <si>
    <t>인천시 계양구 효성동 675</t>
  </si>
  <si>
    <t>인천시 계양구 아나지로198번길 11</t>
  </si>
  <si>
    <t>효성메트하임</t>
  </si>
  <si>
    <t>https://new.land.naver.com/complexes/127669?tab=detail&amp;rf=Y</t>
  </si>
  <si>
    <t>인천시 계양구 효성동 75-3</t>
  </si>
  <si>
    <t>인천시 계양구 안남로519번길 4</t>
  </si>
  <si>
    <t>80D</t>
  </si>
  <si>
    <t>80E</t>
  </si>
  <si>
    <t>80F</t>
  </si>
  <si>
    <t>80C</t>
  </si>
  <si>
    <t>80G</t>
  </si>
  <si>
    <t>80H</t>
  </si>
  <si>
    <t>80I</t>
  </si>
  <si>
    <t>대산</t>
  </si>
  <si>
    <t>2003.03.</t>
  </si>
  <si>
    <t>https://new.land.naver.com/complexes/14309?tab=detail&amp;rf=Y</t>
  </si>
  <si>
    <t>인천시 계양구 효성동 196-6</t>
  </si>
  <si>
    <t>인천시 계양구 새벌로 120</t>
  </si>
  <si>
    <t>뉴서울2차</t>
  </si>
  <si>
    <t>1986.12.</t>
  </si>
  <si>
    <t>https://new.land.naver.com/complexes/8240?tab=detail&amp;rf=Y</t>
  </si>
  <si>
    <t>인천시 계양구 효성동 24</t>
  </si>
  <si>
    <t>인천시 계양구 길마로 49</t>
  </si>
  <si>
    <t>성지</t>
  </si>
  <si>
    <t>1993.10.</t>
  </si>
  <si>
    <t>https://new.land.naver.com/complexes/8269?tab=detail&amp;rf=Y</t>
  </si>
  <si>
    <t>인천시 계양구 효성동 220-3</t>
  </si>
  <si>
    <t>인천시 계양구 새벌로 89</t>
  </si>
  <si>
    <t>68B</t>
  </si>
  <si>
    <t>e편한세상계양더프리미어</t>
  </si>
  <si>
    <t>2021.10.</t>
  </si>
  <si>
    <t>https://new.land.naver.com/complexes/125101?tab=detail&amp;rf=Y</t>
  </si>
  <si>
    <t>인천시 계양구 효성동 254-14</t>
  </si>
  <si>
    <t>인천시 계양구 효서로 145</t>
  </si>
  <si>
    <t>https://new.land.naver.com/complexes/8241?tab=detail&amp;rf=Y</t>
  </si>
  <si>
    <t>인천시 계양구 효성동 78-1</t>
  </si>
  <si>
    <t>인천시 계양구 봉오대로555번길 5</t>
  </si>
  <si>
    <t>계산동</t>
    <phoneticPr fontId="2" type="noConversion"/>
  </si>
  <si>
    <t>서해2차</t>
    <phoneticPr fontId="2" type="noConversion"/>
  </si>
  <si>
    <t>'90.09.</t>
    <phoneticPr fontId="2" type="noConversion"/>
  </si>
  <si>
    <t>계</t>
    <phoneticPr fontId="2" type="noConversion"/>
  </si>
  <si>
    <t>서해2차</t>
    <phoneticPr fontId="2" type="noConversion"/>
  </si>
  <si>
    <t>'90.09.</t>
    <phoneticPr fontId="2" type="noConversion"/>
  </si>
  <si>
    <t>계</t>
    <phoneticPr fontId="2" type="noConversion"/>
  </si>
  <si>
    <t>'90.09.</t>
    <phoneticPr fontId="2" type="noConversion"/>
  </si>
  <si>
    <t>계</t>
    <phoneticPr fontId="2" type="noConversion"/>
  </si>
  <si>
    <t>서해2차</t>
    <phoneticPr fontId="2" type="noConversion"/>
  </si>
  <si>
    <t>'90.09.</t>
    <phoneticPr fontId="2" type="noConversion"/>
  </si>
  <si>
    <t>삼보3차</t>
    <phoneticPr fontId="2" type="noConversion"/>
  </si>
  <si>
    <t>'88.10.</t>
    <phoneticPr fontId="2" type="noConversion"/>
  </si>
  <si>
    <t>태평</t>
    <phoneticPr fontId="2" type="noConversion"/>
  </si>
  <si>
    <t>'90.12.</t>
    <phoneticPr fontId="2" type="noConversion"/>
  </si>
  <si>
    <t>태평</t>
    <phoneticPr fontId="2" type="noConversion"/>
  </si>
  <si>
    <t>'90.12.</t>
    <phoneticPr fontId="2" type="noConversion"/>
  </si>
  <si>
    <t>신도브래뉴</t>
    <phoneticPr fontId="2" type="noConversion"/>
  </si>
  <si>
    <t>'05.05.</t>
    <phoneticPr fontId="2" type="noConversion"/>
  </si>
  <si>
    <t>복</t>
    <phoneticPr fontId="2" type="noConversion"/>
  </si>
  <si>
    <t>계</t>
    <phoneticPr fontId="2" type="noConversion"/>
  </si>
  <si>
    <t>영남</t>
    <phoneticPr fontId="2" type="noConversion"/>
  </si>
  <si>
    <t>'90.12.</t>
    <phoneticPr fontId="2" type="noConversion"/>
  </si>
  <si>
    <t>계양산파크트루엘</t>
    <phoneticPr fontId="2" type="noConversion"/>
  </si>
  <si>
    <t>'20.02.</t>
    <phoneticPr fontId="2" type="noConversion"/>
  </si>
  <si>
    <t>계양산파크트루엘</t>
    <phoneticPr fontId="2" type="noConversion"/>
  </si>
  <si>
    <t>'20.02.</t>
    <phoneticPr fontId="2" type="noConversion"/>
  </si>
  <si>
    <t>계양산파크트루엘</t>
    <phoneticPr fontId="2" type="noConversion"/>
  </si>
  <si>
    <t>'20.02.</t>
    <phoneticPr fontId="2" type="noConversion"/>
  </si>
  <si>
    <t>계</t>
    <phoneticPr fontId="2" type="noConversion"/>
  </si>
  <si>
    <t>태산</t>
    <phoneticPr fontId="2" type="noConversion"/>
  </si>
  <si>
    <t>'90.07.</t>
    <phoneticPr fontId="2" type="noConversion"/>
  </si>
  <si>
    <t>은행마을태평</t>
    <phoneticPr fontId="2" type="noConversion"/>
  </si>
  <si>
    <t>'97.06.</t>
    <phoneticPr fontId="2" type="noConversion"/>
  </si>
  <si>
    <t>삼천리열망</t>
    <phoneticPr fontId="2" type="noConversion"/>
  </si>
  <si>
    <t>'86.07.</t>
    <phoneticPr fontId="2" type="noConversion"/>
  </si>
  <si>
    <t>'86.07.</t>
    <phoneticPr fontId="2" type="noConversion"/>
  </si>
  <si>
    <t>삼천리열망</t>
    <phoneticPr fontId="2" type="noConversion"/>
  </si>
  <si>
    <t>계</t>
    <phoneticPr fontId="2" type="noConversion"/>
  </si>
  <si>
    <t>'86.07.</t>
    <phoneticPr fontId="2" type="noConversion"/>
  </si>
  <si>
    <t>인정프린스</t>
    <phoneticPr fontId="2" type="noConversion"/>
  </si>
  <si>
    <t>'92.04.</t>
    <phoneticPr fontId="2" type="noConversion"/>
  </si>
  <si>
    <t>계</t>
    <phoneticPr fontId="2" type="noConversion"/>
  </si>
  <si>
    <t>인정프린스</t>
    <phoneticPr fontId="2" type="noConversion"/>
  </si>
  <si>
    <t>'92.04.</t>
    <phoneticPr fontId="2" type="noConversion"/>
  </si>
  <si>
    <t>계</t>
    <phoneticPr fontId="2" type="noConversion"/>
  </si>
  <si>
    <t>동남(55-1)</t>
    <phoneticPr fontId="2" type="noConversion"/>
  </si>
  <si>
    <t>'90.07.</t>
    <phoneticPr fontId="2" type="noConversion"/>
  </si>
  <si>
    <t>동남(55-1)</t>
    <phoneticPr fontId="2" type="noConversion"/>
  </si>
  <si>
    <t>'90.07.</t>
    <phoneticPr fontId="2" type="noConversion"/>
  </si>
  <si>
    <t>극동</t>
    <phoneticPr fontId="2" type="noConversion"/>
  </si>
  <si>
    <t>'85.07.</t>
    <phoneticPr fontId="2" type="noConversion"/>
  </si>
  <si>
    <t>극동</t>
    <phoneticPr fontId="2" type="noConversion"/>
  </si>
  <si>
    <t>'85.07.</t>
    <phoneticPr fontId="2" type="noConversion"/>
  </si>
  <si>
    <t>현대</t>
    <phoneticPr fontId="2" type="noConversion"/>
  </si>
  <si>
    <t>'92.01.</t>
    <phoneticPr fontId="2" type="noConversion"/>
  </si>
  <si>
    <t>현대</t>
    <phoneticPr fontId="2" type="noConversion"/>
  </si>
  <si>
    <t>'92.01.</t>
    <phoneticPr fontId="2" type="noConversion"/>
  </si>
  <si>
    <t>'92.01.</t>
    <phoneticPr fontId="2" type="noConversion"/>
  </si>
  <si>
    <t>은행마을삼보</t>
    <phoneticPr fontId="2" type="noConversion"/>
  </si>
  <si>
    <t>'97.07.</t>
    <phoneticPr fontId="2" type="noConversion"/>
  </si>
  <si>
    <t>은행마을삼보</t>
    <phoneticPr fontId="2" type="noConversion"/>
  </si>
  <si>
    <t>계</t>
    <phoneticPr fontId="2" type="noConversion"/>
  </si>
  <si>
    <t>한국</t>
    <phoneticPr fontId="2" type="noConversion"/>
  </si>
  <si>
    <t>'91.05.</t>
    <phoneticPr fontId="2" type="noConversion"/>
  </si>
  <si>
    <t>은행마을태산</t>
    <phoneticPr fontId="2" type="noConversion"/>
  </si>
  <si>
    <t>'97.08.</t>
    <phoneticPr fontId="2" type="noConversion"/>
  </si>
  <si>
    <t>삼보1,2차</t>
    <phoneticPr fontId="2" type="noConversion"/>
  </si>
  <si>
    <t>'87.10.</t>
    <phoneticPr fontId="2" type="noConversion"/>
  </si>
  <si>
    <t>삼보1,2차</t>
    <phoneticPr fontId="2" type="noConversion"/>
  </si>
  <si>
    <t>'87.10.</t>
    <phoneticPr fontId="2" type="noConversion"/>
  </si>
  <si>
    <t>삼환1차</t>
    <phoneticPr fontId="2" type="noConversion"/>
  </si>
  <si>
    <t>'89.12.</t>
    <phoneticPr fontId="2" type="noConversion"/>
  </si>
  <si>
    <t>삼환1차</t>
    <phoneticPr fontId="2" type="noConversion"/>
  </si>
  <si>
    <t>'89.12.</t>
    <phoneticPr fontId="2" type="noConversion"/>
  </si>
  <si>
    <t>팬더1,2차</t>
    <phoneticPr fontId="2" type="noConversion"/>
  </si>
  <si>
    <t>'89.09.</t>
    <phoneticPr fontId="2" type="noConversion"/>
  </si>
  <si>
    <t>'89.09.</t>
    <phoneticPr fontId="2" type="noConversion"/>
  </si>
  <si>
    <t>팬더1,2차</t>
    <phoneticPr fontId="2" type="noConversion"/>
  </si>
  <si>
    <t>하나</t>
    <phoneticPr fontId="2" type="noConversion"/>
  </si>
  <si>
    <t>'87.08.</t>
    <phoneticPr fontId="2" type="noConversion"/>
  </si>
  <si>
    <t>하나</t>
    <phoneticPr fontId="2" type="noConversion"/>
  </si>
  <si>
    <t>'87.08.</t>
    <phoneticPr fontId="2" type="noConversion"/>
  </si>
  <si>
    <t>하나</t>
    <phoneticPr fontId="2" type="noConversion"/>
  </si>
  <si>
    <t>'87.08.</t>
    <phoneticPr fontId="2" type="noConversion"/>
  </si>
  <si>
    <t>서해그린3차</t>
    <phoneticPr fontId="2" type="noConversion"/>
  </si>
  <si>
    <t>'91.08.</t>
    <phoneticPr fontId="2" type="noConversion"/>
  </si>
  <si>
    <t>계</t>
    <phoneticPr fontId="2" type="noConversion"/>
  </si>
  <si>
    <t>'91.08.</t>
    <phoneticPr fontId="2" type="noConversion"/>
  </si>
  <si>
    <t>서해그린3차</t>
    <phoneticPr fontId="2" type="noConversion"/>
  </si>
  <si>
    <t>'91.08.</t>
    <phoneticPr fontId="2" type="noConversion"/>
  </si>
  <si>
    <t>은행마을아주</t>
    <phoneticPr fontId="2" type="noConversion"/>
  </si>
  <si>
    <t>은행마을아주</t>
    <phoneticPr fontId="2" type="noConversion"/>
  </si>
  <si>
    <t>계</t>
    <phoneticPr fontId="2" type="noConversion"/>
  </si>
  <si>
    <t>계산주공</t>
    <phoneticPr fontId="2" type="noConversion"/>
  </si>
  <si>
    <t>'90.06.</t>
    <phoneticPr fontId="2" type="noConversion"/>
  </si>
  <si>
    <t>복</t>
    <phoneticPr fontId="2" type="noConversion"/>
  </si>
  <si>
    <t>은행마을강북</t>
    <phoneticPr fontId="2" type="noConversion"/>
  </si>
  <si>
    <t>귤현동</t>
    <phoneticPr fontId="2" type="noConversion"/>
  </si>
  <si>
    <t>계양센트레빌3단지</t>
    <phoneticPr fontId="2" type="noConversion"/>
  </si>
  <si>
    <t>'13.06.</t>
    <phoneticPr fontId="2" type="noConversion"/>
  </si>
  <si>
    <t>112A</t>
    <phoneticPr fontId="2" type="noConversion"/>
  </si>
  <si>
    <t>112C</t>
    <phoneticPr fontId="2" type="noConversion"/>
  </si>
  <si>
    <t>153A</t>
    <phoneticPr fontId="2" type="noConversion"/>
  </si>
  <si>
    <t>153B</t>
    <phoneticPr fontId="2" type="noConversion"/>
  </si>
  <si>
    <t>177A</t>
    <phoneticPr fontId="2" type="noConversion"/>
  </si>
  <si>
    <t>177B</t>
    <phoneticPr fontId="2" type="noConversion"/>
  </si>
  <si>
    <t>귤현IPARK</t>
    <phoneticPr fontId="2" type="noConversion"/>
  </si>
  <si>
    <t>'04.10.</t>
    <phoneticPr fontId="2" type="noConversion"/>
  </si>
  <si>
    <t>계양센트레빌2단지</t>
    <phoneticPr fontId="2" type="noConversion"/>
  </si>
  <si>
    <t>110B</t>
    <phoneticPr fontId="2" type="noConversion"/>
  </si>
  <si>
    <t>110A</t>
    <phoneticPr fontId="2" type="noConversion"/>
  </si>
  <si>
    <t>111C</t>
    <phoneticPr fontId="2" type="noConversion"/>
  </si>
  <si>
    <t>150A</t>
    <phoneticPr fontId="2" type="noConversion"/>
  </si>
  <si>
    <t>150B</t>
    <phoneticPr fontId="2" type="noConversion"/>
  </si>
  <si>
    <t>계양센트레빌1단지</t>
    <phoneticPr fontId="2" type="noConversion"/>
  </si>
  <si>
    <t>'13.02.</t>
    <phoneticPr fontId="2" type="noConversion"/>
  </si>
  <si>
    <t>111A</t>
    <phoneticPr fontId="2" type="noConversion"/>
  </si>
  <si>
    <t>111B</t>
    <phoneticPr fontId="2" type="noConversion"/>
  </si>
  <si>
    <t>동양동</t>
    <phoneticPr fontId="2" type="noConversion"/>
  </si>
  <si>
    <t>동양휴먼빌</t>
    <phoneticPr fontId="2" type="noConversion"/>
  </si>
  <si>
    <t>'07.10.</t>
    <phoneticPr fontId="2" type="noConversion"/>
  </si>
  <si>
    <t>한진해모로</t>
    <phoneticPr fontId="2" type="noConversion"/>
  </si>
  <si>
    <t>'06.06.</t>
    <phoneticPr fontId="2" type="noConversion"/>
  </si>
  <si>
    <t>박촌동</t>
    <phoneticPr fontId="2" type="noConversion"/>
  </si>
  <si>
    <t>계양하우스토리1차</t>
    <phoneticPr fontId="2" type="noConversion"/>
  </si>
  <si>
    <t>'09.11.</t>
    <phoneticPr fontId="2" type="noConversion"/>
  </si>
  <si>
    <t>109B</t>
    <phoneticPr fontId="2" type="noConversion"/>
  </si>
  <si>
    <t>109C</t>
    <phoneticPr fontId="2" type="noConversion"/>
  </si>
  <si>
    <t>160A</t>
    <phoneticPr fontId="2" type="noConversion"/>
  </si>
  <si>
    <t>161B</t>
    <phoneticPr fontId="2" type="noConversion"/>
  </si>
  <si>
    <t>박촌풍림아이원</t>
    <phoneticPr fontId="2" type="noConversion"/>
  </si>
  <si>
    <t>'05.11.</t>
    <phoneticPr fontId="2" type="noConversion"/>
  </si>
  <si>
    <t>한화꿈에그린</t>
    <phoneticPr fontId="2" type="noConversion"/>
  </si>
  <si>
    <t>계양한양수자인</t>
    <phoneticPr fontId="2" type="noConversion"/>
  </si>
  <si>
    <t>'11.12.</t>
    <phoneticPr fontId="2" type="noConversion"/>
  </si>
  <si>
    <t>113A</t>
    <phoneticPr fontId="2" type="noConversion"/>
  </si>
  <si>
    <t>114B</t>
    <phoneticPr fontId="2" type="noConversion"/>
  </si>
  <si>
    <t>방축동</t>
    <phoneticPr fontId="2" type="noConversion"/>
  </si>
  <si>
    <t>계양하늘채파크포레</t>
    <phoneticPr fontId="2" type="noConversion"/>
  </si>
  <si>
    <t>'23.04.</t>
    <phoneticPr fontId="2" type="noConversion"/>
  </si>
  <si>
    <t>80B</t>
    <phoneticPr fontId="2" type="noConversion"/>
  </si>
  <si>
    <t>81C</t>
    <phoneticPr fontId="2" type="noConversion"/>
  </si>
  <si>
    <t>106C</t>
    <phoneticPr fontId="2" type="noConversion"/>
  </si>
  <si>
    <t>107B</t>
    <phoneticPr fontId="2" type="noConversion"/>
  </si>
  <si>
    <t>107A</t>
    <phoneticPr fontId="2" type="noConversion"/>
  </si>
  <si>
    <t>한성</t>
    <phoneticPr fontId="2" type="noConversion"/>
  </si>
  <si>
    <t>62B</t>
    <phoneticPr fontId="2" type="noConversion"/>
  </si>
  <si>
    <t>62A</t>
    <phoneticPr fontId="2" type="noConversion"/>
  </si>
  <si>
    <t>아주</t>
    <phoneticPr fontId="2" type="noConversion"/>
  </si>
  <si>
    <t>'91.04.</t>
    <phoneticPr fontId="2" type="noConversion"/>
  </si>
  <si>
    <t>병방동</t>
    <phoneticPr fontId="2" type="noConversion"/>
  </si>
  <si>
    <t>학마을서해</t>
    <phoneticPr fontId="2" type="noConversion"/>
  </si>
  <si>
    <t>'97.10.</t>
    <phoneticPr fontId="2" type="noConversion"/>
  </si>
  <si>
    <t>진달래2차</t>
    <phoneticPr fontId="2" type="noConversion"/>
  </si>
  <si>
    <t>'89.08.</t>
    <phoneticPr fontId="2" type="noConversion"/>
  </si>
  <si>
    <t>학마을영남</t>
    <phoneticPr fontId="2" type="noConversion"/>
  </si>
  <si>
    <t>학마을서원</t>
    <phoneticPr fontId="2" type="noConversion"/>
  </si>
  <si>
    <t>'97.05.</t>
    <phoneticPr fontId="2" type="noConversion"/>
  </si>
  <si>
    <t>신명진달래1차</t>
    <phoneticPr fontId="2" type="noConversion"/>
  </si>
  <si>
    <t>'88.12.</t>
    <phoneticPr fontId="2" type="noConversion"/>
  </si>
  <si>
    <t>학마을한진</t>
    <phoneticPr fontId="2" type="noConversion"/>
  </si>
  <si>
    <t>'98.11.</t>
    <phoneticPr fontId="2" type="noConversion"/>
  </si>
  <si>
    <t>서운동</t>
    <phoneticPr fontId="2" type="noConversion"/>
  </si>
  <si>
    <t>계양임광그대가</t>
    <phoneticPr fontId="2" type="noConversion"/>
  </si>
  <si>
    <t>'09.10.</t>
    <phoneticPr fontId="2" type="noConversion"/>
  </si>
  <si>
    <t>144A</t>
    <phoneticPr fontId="2" type="noConversion"/>
  </si>
  <si>
    <t>144B</t>
    <phoneticPr fontId="2" type="noConversion"/>
  </si>
  <si>
    <t>계양효성해링턴플레이스</t>
    <phoneticPr fontId="2" type="noConversion"/>
  </si>
  <si>
    <t>'21.02.</t>
    <phoneticPr fontId="2" type="noConversion"/>
  </si>
  <si>
    <t>82A</t>
    <phoneticPr fontId="2" type="noConversion"/>
  </si>
  <si>
    <t>82B</t>
    <phoneticPr fontId="2" type="noConversion"/>
  </si>
  <si>
    <t>99A</t>
    <phoneticPr fontId="2" type="noConversion"/>
  </si>
  <si>
    <t>99B</t>
    <phoneticPr fontId="2" type="noConversion"/>
  </si>
  <si>
    <t>115A</t>
    <phoneticPr fontId="2" type="noConversion"/>
  </si>
  <si>
    <t>116B</t>
    <phoneticPr fontId="2" type="noConversion"/>
  </si>
  <si>
    <t>서운경남아너스빌</t>
    <phoneticPr fontId="2" type="noConversion"/>
  </si>
  <si>
    <t>'07.09.</t>
    <phoneticPr fontId="2" type="noConversion"/>
  </si>
  <si>
    <t>오류동</t>
    <phoneticPr fontId="2" type="noConversion"/>
  </si>
  <si>
    <t>신동아</t>
    <phoneticPr fontId="2" type="noConversion"/>
  </si>
  <si>
    <t>'97.03.</t>
    <phoneticPr fontId="2" type="noConversion"/>
  </si>
  <si>
    <t>용종동</t>
    <phoneticPr fontId="2" type="noConversion"/>
  </si>
  <si>
    <t>초정마을하나</t>
    <phoneticPr fontId="2" type="noConversion"/>
  </si>
  <si>
    <t>복</t>
    <phoneticPr fontId="2" type="noConversion"/>
  </si>
  <si>
    <t>초정마을두산쌍용</t>
    <phoneticPr fontId="2" type="noConversion"/>
  </si>
  <si>
    <t>용종마을신대진</t>
    <phoneticPr fontId="2" type="noConversion"/>
  </si>
  <si>
    <t>초정마을동아</t>
    <phoneticPr fontId="2" type="noConversion"/>
  </si>
  <si>
    <t>'98.01.</t>
    <phoneticPr fontId="2" type="noConversion"/>
  </si>
  <si>
    <t>초정마을동아</t>
    <phoneticPr fontId="2" type="noConversion"/>
  </si>
  <si>
    <t>'98.01.</t>
    <phoneticPr fontId="2" type="noConversion"/>
  </si>
  <si>
    <t>계</t>
    <phoneticPr fontId="2" type="noConversion"/>
  </si>
  <si>
    <t>인천계양코아루센트럴파크</t>
    <phoneticPr fontId="2" type="noConversion"/>
  </si>
  <si>
    <t>'17.06.</t>
    <phoneticPr fontId="2" type="noConversion"/>
  </si>
  <si>
    <t>계</t>
    <phoneticPr fontId="2" type="noConversion"/>
  </si>
  <si>
    <t>용종마을중앙</t>
    <phoneticPr fontId="2" type="noConversion"/>
  </si>
  <si>
    <t>이화동</t>
    <phoneticPr fontId="2" type="noConversion"/>
  </si>
  <si>
    <t>이화신동아파밀리에</t>
    <phoneticPr fontId="2" type="noConversion"/>
  </si>
  <si>
    <t>'07.07.</t>
    <phoneticPr fontId="2" type="noConversion"/>
  </si>
  <si>
    <t>계</t>
    <phoneticPr fontId="2" type="noConversion"/>
  </si>
  <si>
    <t>'07.07.</t>
    <phoneticPr fontId="2" type="noConversion"/>
  </si>
  <si>
    <t>112B</t>
    <phoneticPr fontId="2" type="noConversion"/>
  </si>
  <si>
    <t>135B</t>
    <phoneticPr fontId="2" type="noConversion"/>
  </si>
  <si>
    <t>136A</t>
    <phoneticPr fontId="2" type="noConversion"/>
  </si>
  <si>
    <t>작전동</t>
    <phoneticPr fontId="2" type="noConversion"/>
  </si>
  <si>
    <t>도두리마을동남,롯데</t>
    <phoneticPr fontId="2" type="noConversion"/>
  </si>
  <si>
    <t>삼천리</t>
    <phoneticPr fontId="2" type="noConversion"/>
  </si>
  <si>
    <t>광명</t>
    <phoneticPr fontId="2" type="noConversion"/>
  </si>
  <si>
    <t>현대1차</t>
    <phoneticPr fontId="2" type="noConversion"/>
  </si>
  <si>
    <t>현대3차</t>
    <phoneticPr fontId="2" type="noConversion"/>
  </si>
  <si>
    <t>'92.11.</t>
    <phoneticPr fontId="2" type="noConversion"/>
  </si>
  <si>
    <t>선우</t>
    <phoneticPr fontId="2" type="noConversion"/>
  </si>
  <si>
    <t>'86.02.</t>
    <phoneticPr fontId="2" type="noConversion"/>
  </si>
  <si>
    <t>도두리마을동보</t>
    <phoneticPr fontId="2" type="noConversion"/>
  </si>
  <si>
    <t>'96.12.</t>
    <phoneticPr fontId="2" type="noConversion"/>
  </si>
  <si>
    <t>유호</t>
    <phoneticPr fontId="2" type="noConversion"/>
  </si>
  <si>
    <t>'95.03.</t>
    <phoneticPr fontId="2" type="noConversion"/>
  </si>
  <si>
    <t>도두리마을대동</t>
    <phoneticPr fontId="2" type="noConversion"/>
  </si>
  <si>
    <t>'97.09.</t>
    <phoneticPr fontId="2" type="noConversion"/>
  </si>
  <si>
    <t>작전동보2차</t>
    <phoneticPr fontId="2" type="noConversion"/>
  </si>
  <si>
    <t>'00.05.</t>
    <phoneticPr fontId="2" type="noConversion"/>
  </si>
  <si>
    <t>동보1차</t>
    <phoneticPr fontId="2" type="noConversion"/>
  </si>
  <si>
    <t>'95.04.</t>
    <phoneticPr fontId="2" type="noConversion"/>
  </si>
  <si>
    <t>신진</t>
    <phoneticPr fontId="2" type="noConversion"/>
  </si>
  <si>
    <t>'87.12.</t>
    <phoneticPr fontId="2" type="noConversion"/>
  </si>
  <si>
    <t>작전풍림아이원</t>
    <phoneticPr fontId="2" type="noConversion"/>
  </si>
  <si>
    <t>'03.01.</t>
    <phoneticPr fontId="2" type="noConversion"/>
  </si>
  <si>
    <t>한국</t>
    <phoneticPr fontId="2" type="noConversion"/>
  </si>
  <si>
    <t>'98.03.</t>
    <phoneticPr fontId="2" type="noConversion"/>
  </si>
  <si>
    <t>미도</t>
    <phoneticPr fontId="2" type="noConversion"/>
  </si>
  <si>
    <t>'90.11.</t>
    <phoneticPr fontId="2" type="noConversion"/>
  </si>
  <si>
    <t>작전뉴서울2차</t>
    <phoneticPr fontId="2" type="noConversion"/>
  </si>
  <si>
    <t>현대2-1차</t>
    <phoneticPr fontId="2" type="noConversion"/>
  </si>
  <si>
    <t>'91.10.</t>
    <phoneticPr fontId="2" type="noConversion"/>
  </si>
  <si>
    <t>삼보</t>
    <phoneticPr fontId="2" type="noConversion"/>
  </si>
  <si>
    <t>'94.02.</t>
    <phoneticPr fontId="2" type="noConversion"/>
  </si>
  <si>
    <t>무지개</t>
    <phoneticPr fontId="2" type="noConversion"/>
  </si>
  <si>
    <t>'89.06.</t>
    <phoneticPr fontId="2" type="noConversion"/>
  </si>
  <si>
    <t>삼우</t>
    <phoneticPr fontId="2" type="noConversion"/>
  </si>
  <si>
    <t>'89.04.</t>
    <phoneticPr fontId="2" type="noConversion"/>
  </si>
  <si>
    <t>삼우</t>
    <phoneticPr fontId="2" type="noConversion"/>
  </si>
  <si>
    <t>뉴서울1차</t>
    <phoneticPr fontId="2" type="noConversion"/>
  </si>
  <si>
    <t>'88.05.</t>
    <phoneticPr fontId="2" type="noConversion"/>
  </si>
  <si>
    <t>작전현대2-2차</t>
    <phoneticPr fontId="2" type="noConversion"/>
  </si>
  <si>
    <t>'93.12.</t>
    <phoneticPr fontId="2" type="noConversion"/>
  </si>
  <si>
    <t>작전역서해그랑블</t>
    <phoneticPr fontId="2" type="noConversion"/>
  </si>
  <si>
    <t>'20.09.</t>
    <phoneticPr fontId="2" type="noConversion"/>
  </si>
  <si>
    <t>브라운스톤계양스카이</t>
    <phoneticPr fontId="2" type="noConversion"/>
  </si>
  <si>
    <t>'20.10.</t>
    <phoneticPr fontId="2" type="noConversion"/>
  </si>
  <si>
    <t>현광</t>
    <phoneticPr fontId="2" type="noConversion"/>
  </si>
  <si>
    <t>'92.08.</t>
    <phoneticPr fontId="2" type="noConversion"/>
  </si>
  <si>
    <t>까치마을태화,한진</t>
    <phoneticPr fontId="2" type="noConversion"/>
  </si>
  <si>
    <t>'97.11.</t>
    <phoneticPr fontId="2" type="noConversion"/>
  </si>
  <si>
    <t>코오롱</t>
    <phoneticPr fontId="2" type="noConversion"/>
  </si>
  <si>
    <t>'89.10.</t>
    <phoneticPr fontId="2" type="noConversion"/>
  </si>
  <si>
    <t>힐스테이트자이계양</t>
    <phoneticPr fontId="2" type="noConversion"/>
  </si>
  <si>
    <t>'24.03.</t>
    <phoneticPr fontId="2" type="noConversion"/>
  </si>
  <si>
    <t>한양</t>
    <phoneticPr fontId="2" type="noConversion"/>
  </si>
  <si>
    <t>'85.10.</t>
    <phoneticPr fontId="2" type="noConversion"/>
  </si>
  <si>
    <t>한신</t>
    <phoneticPr fontId="2" type="noConversion"/>
  </si>
  <si>
    <t>효성동</t>
    <phoneticPr fontId="2" type="noConversion"/>
  </si>
  <si>
    <t>태산</t>
    <phoneticPr fontId="2" type="noConversion"/>
  </si>
  <si>
    <t>백영</t>
    <phoneticPr fontId="2" type="noConversion"/>
  </si>
  <si>
    <t>'96.05.</t>
    <phoneticPr fontId="2" type="noConversion"/>
  </si>
  <si>
    <t>현대2차</t>
    <phoneticPr fontId="2" type="noConversion"/>
  </si>
  <si>
    <t>'96.09.</t>
    <phoneticPr fontId="2" type="noConversion"/>
  </si>
  <si>
    <t>새사미</t>
    <phoneticPr fontId="2" type="noConversion"/>
  </si>
  <si>
    <t>'85.01.</t>
    <phoneticPr fontId="2" type="noConversion"/>
  </si>
  <si>
    <t>뉴서울6차</t>
    <phoneticPr fontId="2" type="noConversion"/>
  </si>
  <si>
    <t>'95.05.</t>
    <phoneticPr fontId="2" type="noConversion"/>
  </si>
  <si>
    <t>효성대림</t>
    <phoneticPr fontId="2" type="noConversion"/>
  </si>
  <si>
    <t>'99.09.</t>
    <phoneticPr fontId="2" type="noConversion"/>
  </si>
  <si>
    <t>중앙하이츠</t>
    <phoneticPr fontId="2" type="noConversion"/>
  </si>
  <si>
    <t>'96.11.</t>
    <phoneticPr fontId="2" type="noConversion"/>
  </si>
  <si>
    <t>뉴서울5차</t>
    <phoneticPr fontId="2" type="noConversion"/>
  </si>
  <si>
    <t>'94.12.</t>
    <phoneticPr fontId="2" type="noConversion"/>
  </si>
  <si>
    <t>유승그린</t>
    <phoneticPr fontId="2" type="noConversion"/>
  </si>
  <si>
    <t>'85.06.</t>
    <phoneticPr fontId="2" type="noConversion"/>
  </si>
  <si>
    <t>풍림</t>
    <phoneticPr fontId="2" type="noConversion"/>
  </si>
  <si>
    <t>동아</t>
    <phoneticPr fontId="2" type="noConversion"/>
  </si>
  <si>
    <t>'86.05.</t>
    <phoneticPr fontId="2" type="noConversion"/>
  </si>
  <si>
    <t>합</t>
    <phoneticPr fontId="2" type="noConversion"/>
  </si>
  <si>
    <t>경남1차</t>
    <phoneticPr fontId="2" type="noConversion"/>
  </si>
  <si>
    <t>'87.07.</t>
    <phoneticPr fontId="2" type="noConversion"/>
  </si>
  <si>
    <t>뉴서울3차</t>
    <phoneticPr fontId="2" type="noConversion"/>
  </si>
  <si>
    <t>'93.08.</t>
    <phoneticPr fontId="2" type="noConversion"/>
  </si>
  <si>
    <t>'91.11.</t>
    <phoneticPr fontId="2" type="noConversion"/>
  </si>
  <si>
    <t>현대4차</t>
    <phoneticPr fontId="2" type="noConversion"/>
  </si>
  <si>
    <t>'95.12.</t>
    <phoneticPr fontId="2" type="noConversion"/>
  </si>
  <si>
    <t>'84.12.</t>
    <phoneticPr fontId="2" type="noConversion"/>
  </si>
  <si>
    <t>유승</t>
    <phoneticPr fontId="2" type="noConversion"/>
  </si>
  <si>
    <t>'02.08.</t>
    <phoneticPr fontId="2" type="noConversion"/>
  </si>
  <si>
    <t>두산</t>
    <phoneticPr fontId="2" type="noConversion"/>
  </si>
  <si>
    <t>금호어울림</t>
    <phoneticPr fontId="2" type="noConversion"/>
  </si>
  <si>
    <t>'05.08.</t>
    <phoneticPr fontId="2" type="noConversion"/>
  </si>
  <si>
    <t>뉴서울2차</t>
    <phoneticPr fontId="2" type="noConversion"/>
  </si>
  <si>
    <t>'86.12.</t>
    <phoneticPr fontId="2" type="noConversion"/>
  </si>
  <si>
    <t>e편한세상계양더프리미어</t>
    <phoneticPr fontId="2" type="noConversion"/>
  </si>
  <si>
    <t>'21.10.</t>
    <phoneticPr fontId="2" type="noConversion"/>
  </si>
  <si>
    <t>신한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</si>
</sst>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765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7651" priority="69562" operator="lessThan">
      <formula>15.1</formula>
    </cfRule>
    <cfRule type="cellIs" dxfId="7650" priority="69563" operator="lessThan">
      <formula>18.1</formula>
    </cfRule>
    <cfRule type="cellIs" dxfId="7649" priority="69564" operator="lessThan">
      <formula>21.1</formula>
    </cfRule>
    <cfRule type="cellIs" dxfId="7648" priority="69565" operator="lessThan">
      <formula>24.1</formula>
    </cfRule>
    <cfRule type="cellIs" dxfId="7647" priority="69566" operator="lessThan">
      <formula>30</formula>
    </cfRule>
    <cfRule type="cellIs" dxfId="7646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7645" priority="69559" operator="greaterThan">
      <formula>0.9</formula>
    </cfRule>
    <cfRule type="cellIs" dxfId="7644" priority="69560" operator="greaterThan">
      <formula>0.85</formula>
    </cfRule>
  </conditionalFormatting>
  <conditionalFormatting sqref="N2">
    <cfRule type="cellIs" dxfId="7643" priority="69557" operator="greaterThan">
      <formula>0.9</formula>
    </cfRule>
    <cfRule type="cellIs" dxfId="7642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7641" priority="34334" operator="greaterThan">
      <formula>0.9</formula>
    </cfRule>
    <cfRule type="cellIs" dxfId="7640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20"/>
  <sheetViews>
    <sheetView zoomScaleNormal="100" workbookViewId="0">
      <selection activeCell="L13" sqref="L13"/>
    </sheetView>
  </sheetViews>
  <sheetFormatPr defaultRowHeight="16.5" x14ac:dyDescent="0.3"/>
  <sheetData>
    <row r="1" spans="1:38" x14ac:dyDescent="0.3">
      <c r="A1" t="s">
        <v>90</v>
      </c>
      <c r="B1">
        <v>8514</v>
      </c>
      <c r="C1">
        <v>1</v>
      </c>
      <c r="D1" t="s">
        <v>91</v>
      </c>
      <c r="E1" t="s">
        <v>92</v>
      </c>
      <c r="F1">
        <v>90</v>
      </c>
      <c r="G1">
        <v>18.75</v>
      </c>
      <c r="H1">
        <v>61.99</v>
      </c>
      <c r="I1">
        <v>14.26</v>
      </c>
      <c r="J1">
        <v>47.16</v>
      </c>
      <c r="K1">
        <v>50</v>
      </c>
      <c r="T1">
        <v>3</v>
      </c>
      <c r="U1">
        <v>1</v>
      </c>
      <c r="V1" t="s">
        <v>93</v>
      </c>
      <c r="W1">
        <v>61</v>
      </c>
      <c r="X1">
        <v>5</v>
      </c>
      <c r="Y1">
        <v>5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G1" t="s">
        <v>99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90</v>
      </c>
      <c r="B2">
        <v>8514</v>
      </c>
      <c r="C2">
        <v>2</v>
      </c>
      <c r="D2" t="s">
        <v>91</v>
      </c>
      <c r="E2" t="s">
        <v>92</v>
      </c>
      <c r="F2">
        <v>90</v>
      </c>
      <c r="G2">
        <v>19.670000000000002</v>
      </c>
      <c r="H2">
        <v>65.05</v>
      </c>
      <c r="I2">
        <v>15.05</v>
      </c>
      <c r="J2">
        <v>49.77</v>
      </c>
      <c r="K2">
        <v>40</v>
      </c>
      <c r="T2">
        <v>3</v>
      </c>
      <c r="U2">
        <v>1</v>
      </c>
      <c r="V2" t="s">
        <v>93</v>
      </c>
      <c r="W2">
        <v>65</v>
      </c>
      <c r="X2">
        <v>5</v>
      </c>
      <c r="Y2">
        <v>5</v>
      </c>
      <c r="Z2" t="s">
        <v>94</v>
      </c>
      <c r="AA2" t="s">
        <v>95</v>
      </c>
      <c r="AB2" t="s">
        <v>96</v>
      </c>
      <c r="AC2" t="s">
        <v>97</v>
      </c>
      <c r="AD2" t="s">
        <v>98</v>
      </c>
      <c r="AG2" t="s">
        <v>99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90</v>
      </c>
      <c r="B3">
        <v>8435</v>
      </c>
      <c r="C3">
        <v>1</v>
      </c>
      <c r="D3" t="s">
        <v>100</v>
      </c>
      <c r="E3" t="s">
        <v>101</v>
      </c>
      <c r="F3">
        <v>78</v>
      </c>
      <c r="G3">
        <v>20.97</v>
      </c>
      <c r="H3">
        <v>69.34</v>
      </c>
      <c r="I3">
        <v>17.489999999999998</v>
      </c>
      <c r="J3">
        <v>57.84</v>
      </c>
      <c r="K3">
        <v>29</v>
      </c>
      <c r="T3">
        <v>3</v>
      </c>
      <c r="U3">
        <v>1</v>
      </c>
      <c r="V3" t="s">
        <v>93</v>
      </c>
      <c r="W3" t="s">
        <v>102</v>
      </c>
      <c r="X3">
        <v>5</v>
      </c>
      <c r="Y3">
        <v>5</v>
      </c>
      <c r="Z3" t="s">
        <v>103</v>
      </c>
      <c r="AA3" t="s">
        <v>104</v>
      </c>
      <c r="AB3" t="s">
        <v>96</v>
      </c>
      <c r="AC3" t="s">
        <v>97</v>
      </c>
      <c r="AD3" t="s">
        <v>98</v>
      </c>
      <c r="AG3" t="s">
        <v>105</v>
      </c>
      <c r="AH3">
        <v>0</v>
      </c>
      <c r="AI3">
        <v>0</v>
      </c>
      <c r="AJ3">
        <v>0</v>
      </c>
      <c r="AK3">
        <v>78</v>
      </c>
      <c r="AL3">
        <v>1</v>
      </c>
    </row>
    <row r="4" spans="1:38" x14ac:dyDescent="0.3">
      <c r="A4" t="s">
        <v>90</v>
      </c>
      <c r="B4">
        <v>8435</v>
      </c>
      <c r="C4">
        <v>2</v>
      </c>
      <c r="D4" t="s">
        <v>100</v>
      </c>
      <c r="E4" t="s">
        <v>101</v>
      </c>
      <c r="F4">
        <v>78</v>
      </c>
      <c r="G4">
        <v>20.97</v>
      </c>
      <c r="H4">
        <v>69.349999999999994</v>
      </c>
      <c r="I4">
        <v>17.489999999999998</v>
      </c>
      <c r="J4">
        <v>57.85</v>
      </c>
      <c r="K4">
        <v>25</v>
      </c>
      <c r="T4">
        <v>3</v>
      </c>
      <c r="U4">
        <v>1</v>
      </c>
      <c r="V4" t="s">
        <v>93</v>
      </c>
      <c r="W4" t="s">
        <v>106</v>
      </c>
      <c r="X4">
        <v>5</v>
      </c>
      <c r="Y4">
        <v>5</v>
      </c>
      <c r="Z4" t="s">
        <v>103</v>
      </c>
      <c r="AA4" t="s">
        <v>104</v>
      </c>
      <c r="AB4" t="s">
        <v>96</v>
      </c>
      <c r="AC4" t="s">
        <v>97</v>
      </c>
      <c r="AD4" t="s">
        <v>98</v>
      </c>
      <c r="AG4" t="s">
        <v>105</v>
      </c>
      <c r="AH4">
        <v>0</v>
      </c>
      <c r="AI4">
        <v>0</v>
      </c>
      <c r="AJ4">
        <v>0</v>
      </c>
      <c r="AK4">
        <v>78</v>
      </c>
      <c r="AL4">
        <v>1</v>
      </c>
    </row>
    <row r="5" spans="1:38" x14ac:dyDescent="0.3">
      <c r="A5" t="s">
        <v>90</v>
      </c>
      <c r="B5">
        <v>8435</v>
      </c>
      <c r="C5">
        <v>3</v>
      </c>
      <c r="D5" t="s">
        <v>100</v>
      </c>
      <c r="E5" t="s">
        <v>101</v>
      </c>
      <c r="F5">
        <v>78</v>
      </c>
      <c r="G5">
        <v>20.94</v>
      </c>
      <c r="H5">
        <v>69.25</v>
      </c>
      <c r="I5">
        <v>17.46</v>
      </c>
      <c r="J5">
        <v>57.75</v>
      </c>
      <c r="K5">
        <v>2</v>
      </c>
      <c r="T5">
        <v>3</v>
      </c>
      <c r="U5">
        <v>1</v>
      </c>
      <c r="V5" t="s">
        <v>93</v>
      </c>
      <c r="W5" t="s">
        <v>107</v>
      </c>
      <c r="X5">
        <v>5</v>
      </c>
      <c r="Y5">
        <v>5</v>
      </c>
      <c r="Z5" t="s">
        <v>103</v>
      </c>
      <c r="AA5" t="s">
        <v>104</v>
      </c>
      <c r="AB5" t="s">
        <v>96</v>
      </c>
      <c r="AC5" t="s">
        <v>97</v>
      </c>
      <c r="AD5" t="s">
        <v>98</v>
      </c>
      <c r="AG5" t="s">
        <v>105</v>
      </c>
      <c r="AH5">
        <v>0</v>
      </c>
      <c r="AI5">
        <v>0</v>
      </c>
      <c r="AJ5">
        <v>0</v>
      </c>
      <c r="AK5">
        <v>78</v>
      </c>
      <c r="AL5">
        <v>1</v>
      </c>
    </row>
    <row r="6" spans="1:38" x14ac:dyDescent="0.3">
      <c r="A6" t="s">
        <v>90</v>
      </c>
      <c r="B6">
        <v>8435</v>
      </c>
      <c r="C6">
        <v>4</v>
      </c>
      <c r="D6" t="s">
        <v>100</v>
      </c>
      <c r="E6" t="s">
        <v>101</v>
      </c>
      <c r="F6">
        <v>78</v>
      </c>
      <c r="G6">
        <v>20.95</v>
      </c>
      <c r="H6">
        <v>69.27</v>
      </c>
      <c r="I6">
        <v>17.47</v>
      </c>
      <c r="J6">
        <v>57.77</v>
      </c>
      <c r="K6">
        <v>1</v>
      </c>
      <c r="T6">
        <v>3</v>
      </c>
      <c r="U6">
        <v>1</v>
      </c>
      <c r="V6" t="s">
        <v>93</v>
      </c>
      <c r="W6" t="s">
        <v>108</v>
      </c>
      <c r="X6">
        <v>5</v>
      </c>
      <c r="Y6">
        <v>5</v>
      </c>
      <c r="Z6" t="s">
        <v>103</v>
      </c>
      <c r="AA6" t="s">
        <v>104</v>
      </c>
      <c r="AB6" t="s">
        <v>96</v>
      </c>
      <c r="AC6" t="s">
        <v>97</v>
      </c>
      <c r="AD6" t="s">
        <v>98</v>
      </c>
      <c r="AG6" t="s">
        <v>105</v>
      </c>
      <c r="AH6">
        <v>0</v>
      </c>
      <c r="AI6">
        <v>0</v>
      </c>
      <c r="AJ6">
        <v>0</v>
      </c>
      <c r="AK6">
        <v>78</v>
      </c>
      <c r="AL6">
        <v>1</v>
      </c>
    </row>
    <row r="7" spans="1:38" x14ac:dyDescent="0.3">
      <c r="A7" t="s">
        <v>90</v>
      </c>
      <c r="B7">
        <v>8435</v>
      </c>
      <c r="C7">
        <v>5</v>
      </c>
      <c r="D7" t="s">
        <v>100</v>
      </c>
      <c r="E7" t="s">
        <v>101</v>
      </c>
      <c r="F7">
        <v>78</v>
      </c>
      <c r="G7">
        <v>21.06</v>
      </c>
      <c r="H7">
        <v>69.62</v>
      </c>
      <c r="I7">
        <v>17.579999999999998</v>
      </c>
      <c r="J7">
        <v>58.12</v>
      </c>
      <c r="K7">
        <v>1</v>
      </c>
      <c r="T7">
        <v>3</v>
      </c>
      <c r="U7">
        <v>1</v>
      </c>
      <c r="V7" t="s">
        <v>93</v>
      </c>
      <c r="W7" t="s">
        <v>109</v>
      </c>
      <c r="X7">
        <v>5</v>
      </c>
      <c r="Y7">
        <v>5</v>
      </c>
      <c r="Z7" t="s">
        <v>103</v>
      </c>
      <c r="AA7" t="s">
        <v>104</v>
      </c>
      <c r="AB7" t="s">
        <v>96</v>
      </c>
      <c r="AC7" t="s">
        <v>97</v>
      </c>
      <c r="AD7" t="s">
        <v>98</v>
      </c>
      <c r="AG7" t="s">
        <v>105</v>
      </c>
      <c r="AH7">
        <v>0</v>
      </c>
      <c r="AI7">
        <v>0</v>
      </c>
      <c r="AJ7">
        <v>0</v>
      </c>
      <c r="AK7">
        <v>78</v>
      </c>
      <c r="AL7">
        <v>1</v>
      </c>
    </row>
    <row r="8" spans="1:38" x14ac:dyDescent="0.3">
      <c r="A8" t="s">
        <v>90</v>
      </c>
      <c r="B8">
        <v>8435</v>
      </c>
      <c r="C8">
        <v>6</v>
      </c>
      <c r="D8" t="s">
        <v>100</v>
      </c>
      <c r="E8" t="s">
        <v>101</v>
      </c>
      <c r="F8">
        <v>78</v>
      </c>
      <c r="G8">
        <v>23.15</v>
      </c>
      <c r="H8">
        <v>76.540000000000006</v>
      </c>
      <c r="I8">
        <v>19.309999999999999</v>
      </c>
      <c r="J8">
        <v>63.84</v>
      </c>
      <c r="K8">
        <v>20</v>
      </c>
      <c r="T8">
        <v>3</v>
      </c>
      <c r="U8">
        <v>1</v>
      </c>
      <c r="V8" t="s">
        <v>93</v>
      </c>
      <c r="W8">
        <v>76</v>
      </c>
      <c r="X8">
        <v>5</v>
      </c>
      <c r="Y8">
        <v>5</v>
      </c>
      <c r="Z8" t="s">
        <v>103</v>
      </c>
      <c r="AA8" t="s">
        <v>104</v>
      </c>
      <c r="AB8" t="s">
        <v>96</v>
      </c>
      <c r="AC8" t="s">
        <v>97</v>
      </c>
      <c r="AD8" t="s">
        <v>98</v>
      </c>
      <c r="AG8" t="s">
        <v>105</v>
      </c>
      <c r="AH8">
        <v>0</v>
      </c>
      <c r="AI8">
        <v>0</v>
      </c>
      <c r="AJ8">
        <v>0</v>
      </c>
      <c r="AK8">
        <v>78</v>
      </c>
      <c r="AL8">
        <v>1</v>
      </c>
    </row>
    <row r="9" spans="1:38" x14ac:dyDescent="0.3">
      <c r="A9" t="s">
        <v>90</v>
      </c>
      <c r="B9">
        <v>8510</v>
      </c>
      <c r="C9">
        <v>1</v>
      </c>
      <c r="D9" t="s">
        <v>110</v>
      </c>
      <c r="E9" t="s">
        <v>111</v>
      </c>
      <c r="F9">
        <v>222</v>
      </c>
      <c r="G9">
        <v>22.35</v>
      </c>
      <c r="H9">
        <v>73.91</v>
      </c>
      <c r="I9">
        <v>17.579999999999998</v>
      </c>
      <c r="J9">
        <v>58.14</v>
      </c>
      <c r="K9">
        <v>164</v>
      </c>
      <c r="T9">
        <v>3</v>
      </c>
      <c r="U9">
        <v>1</v>
      </c>
      <c r="V9" t="s">
        <v>93</v>
      </c>
      <c r="W9">
        <v>73</v>
      </c>
      <c r="X9">
        <v>6</v>
      </c>
      <c r="Y9">
        <v>6</v>
      </c>
      <c r="Z9" t="s">
        <v>112</v>
      </c>
      <c r="AA9" t="s">
        <v>113</v>
      </c>
      <c r="AB9" t="s">
        <v>96</v>
      </c>
      <c r="AC9" t="s">
        <v>97</v>
      </c>
      <c r="AD9" t="s">
        <v>98</v>
      </c>
      <c r="AG9" t="s">
        <v>114</v>
      </c>
      <c r="AH9">
        <v>0</v>
      </c>
      <c r="AI9">
        <v>182</v>
      </c>
      <c r="AJ9">
        <v>30</v>
      </c>
      <c r="AK9">
        <v>56</v>
      </c>
      <c r="AL9">
        <v>0.25</v>
      </c>
    </row>
    <row r="10" spans="1:38" x14ac:dyDescent="0.3">
      <c r="A10" t="s">
        <v>90</v>
      </c>
      <c r="B10">
        <v>8510</v>
      </c>
      <c r="C10">
        <v>2</v>
      </c>
      <c r="D10" t="s">
        <v>110</v>
      </c>
      <c r="E10" t="s">
        <v>111</v>
      </c>
      <c r="F10">
        <v>222</v>
      </c>
      <c r="G10">
        <v>22.98</v>
      </c>
      <c r="H10">
        <v>75.989999999999995</v>
      </c>
      <c r="I10">
        <v>18.11</v>
      </c>
      <c r="J10">
        <v>59.88</v>
      </c>
      <c r="K10">
        <v>30</v>
      </c>
      <c r="T10">
        <v>3</v>
      </c>
      <c r="U10">
        <v>1</v>
      </c>
      <c r="V10" t="s">
        <v>93</v>
      </c>
      <c r="W10">
        <v>75</v>
      </c>
      <c r="X10">
        <v>6</v>
      </c>
      <c r="Y10">
        <v>6</v>
      </c>
      <c r="Z10" t="s">
        <v>112</v>
      </c>
      <c r="AA10" t="s">
        <v>113</v>
      </c>
      <c r="AB10" t="s">
        <v>96</v>
      </c>
      <c r="AC10" t="s">
        <v>97</v>
      </c>
      <c r="AD10" t="s">
        <v>98</v>
      </c>
      <c r="AG10" t="s">
        <v>114</v>
      </c>
      <c r="AH10">
        <v>0</v>
      </c>
      <c r="AI10">
        <v>182</v>
      </c>
      <c r="AJ10">
        <v>30</v>
      </c>
      <c r="AK10">
        <v>56</v>
      </c>
      <c r="AL10">
        <v>0.25</v>
      </c>
    </row>
    <row r="11" spans="1:38" x14ac:dyDescent="0.3">
      <c r="A11" t="s">
        <v>90</v>
      </c>
      <c r="B11">
        <v>8510</v>
      </c>
      <c r="C11">
        <v>3</v>
      </c>
      <c r="D11" t="s">
        <v>110</v>
      </c>
      <c r="E11" t="s">
        <v>111</v>
      </c>
      <c r="F11">
        <v>222</v>
      </c>
      <c r="G11">
        <v>25.16</v>
      </c>
      <c r="H11">
        <v>83.19</v>
      </c>
      <c r="I11">
        <v>19.96</v>
      </c>
      <c r="J11">
        <v>66</v>
      </c>
      <c r="K11">
        <v>6</v>
      </c>
      <c r="T11">
        <v>3</v>
      </c>
      <c r="U11">
        <v>1</v>
      </c>
      <c r="V11" t="s">
        <v>93</v>
      </c>
      <c r="W11" t="s">
        <v>115</v>
      </c>
      <c r="X11">
        <v>6</v>
      </c>
      <c r="Y11">
        <v>6</v>
      </c>
      <c r="Z11" t="s">
        <v>112</v>
      </c>
      <c r="AA11" t="s">
        <v>113</v>
      </c>
      <c r="AB11" t="s">
        <v>96</v>
      </c>
      <c r="AC11" t="s">
        <v>97</v>
      </c>
      <c r="AD11" t="s">
        <v>98</v>
      </c>
      <c r="AG11" t="s">
        <v>114</v>
      </c>
      <c r="AH11">
        <v>0</v>
      </c>
      <c r="AI11">
        <v>182</v>
      </c>
      <c r="AJ11">
        <v>30</v>
      </c>
      <c r="AK11">
        <v>56</v>
      </c>
      <c r="AL11">
        <v>0.25</v>
      </c>
    </row>
    <row r="12" spans="1:38" x14ac:dyDescent="0.3">
      <c r="A12" t="s">
        <v>90</v>
      </c>
      <c r="B12">
        <v>8510</v>
      </c>
      <c r="C12">
        <v>4</v>
      </c>
      <c r="D12" t="s">
        <v>110</v>
      </c>
      <c r="E12" t="s">
        <v>111</v>
      </c>
      <c r="F12">
        <v>222</v>
      </c>
      <c r="G12">
        <v>25.33</v>
      </c>
      <c r="H12">
        <v>83.75</v>
      </c>
      <c r="I12">
        <v>20.12</v>
      </c>
      <c r="J12">
        <v>66.540000000000006</v>
      </c>
      <c r="K12">
        <v>6</v>
      </c>
      <c r="T12">
        <v>3</v>
      </c>
      <c r="U12">
        <v>1</v>
      </c>
      <c r="V12" t="s">
        <v>93</v>
      </c>
      <c r="W12" t="s">
        <v>116</v>
      </c>
      <c r="X12">
        <v>6</v>
      </c>
      <c r="Y12">
        <v>6</v>
      </c>
      <c r="Z12" t="s">
        <v>112</v>
      </c>
      <c r="AA12" t="s">
        <v>113</v>
      </c>
      <c r="AB12" t="s">
        <v>96</v>
      </c>
      <c r="AC12" t="s">
        <v>97</v>
      </c>
      <c r="AD12" t="s">
        <v>98</v>
      </c>
      <c r="AG12" t="s">
        <v>114</v>
      </c>
      <c r="AH12">
        <v>0</v>
      </c>
      <c r="AI12">
        <v>182</v>
      </c>
      <c r="AJ12">
        <v>30</v>
      </c>
      <c r="AK12">
        <v>56</v>
      </c>
      <c r="AL12">
        <v>0.25</v>
      </c>
    </row>
    <row r="13" spans="1:38" x14ac:dyDescent="0.3">
      <c r="A13" t="s">
        <v>90</v>
      </c>
      <c r="B13">
        <v>8510</v>
      </c>
      <c r="C13">
        <v>5</v>
      </c>
      <c r="D13" t="s">
        <v>110</v>
      </c>
      <c r="E13" t="s">
        <v>111</v>
      </c>
      <c r="F13">
        <v>222</v>
      </c>
      <c r="G13">
        <v>27.19</v>
      </c>
      <c r="H13">
        <v>89.91</v>
      </c>
      <c r="I13">
        <v>21.78</v>
      </c>
      <c r="J13">
        <v>72</v>
      </c>
      <c r="K13">
        <v>4</v>
      </c>
      <c r="T13">
        <v>3</v>
      </c>
      <c r="U13">
        <v>1</v>
      </c>
      <c r="V13" t="s">
        <v>93</v>
      </c>
      <c r="W13">
        <v>89</v>
      </c>
      <c r="X13">
        <v>6</v>
      </c>
      <c r="Y13">
        <v>6</v>
      </c>
      <c r="Z13" t="s">
        <v>112</v>
      </c>
      <c r="AA13" t="s">
        <v>113</v>
      </c>
      <c r="AB13" t="s">
        <v>96</v>
      </c>
      <c r="AC13" t="s">
        <v>97</v>
      </c>
      <c r="AD13" t="s">
        <v>98</v>
      </c>
      <c r="AG13" t="s">
        <v>114</v>
      </c>
      <c r="AH13">
        <v>0</v>
      </c>
      <c r="AI13">
        <v>182</v>
      </c>
      <c r="AJ13">
        <v>30</v>
      </c>
      <c r="AK13">
        <v>56</v>
      </c>
      <c r="AL13">
        <v>0.25</v>
      </c>
    </row>
    <row r="14" spans="1:38" x14ac:dyDescent="0.3">
      <c r="A14" t="s">
        <v>90</v>
      </c>
      <c r="B14">
        <v>8510</v>
      </c>
      <c r="C14">
        <v>6</v>
      </c>
      <c r="D14" t="s">
        <v>110</v>
      </c>
      <c r="E14" t="s">
        <v>111</v>
      </c>
      <c r="F14">
        <v>222</v>
      </c>
      <c r="G14">
        <v>29.33</v>
      </c>
      <c r="H14">
        <v>96.98</v>
      </c>
      <c r="I14">
        <v>23.62</v>
      </c>
      <c r="J14">
        <v>78.09</v>
      </c>
      <c r="K14">
        <v>6</v>
      </c>
      <c r="T14">
        <v>3</v>
      </c>
      <c r="U14">
        <v>1</v>
      </c>
      <c r="V14" t="s">
        <v>93</v>
      </c>
      <c r="W14">
        <v>96</v>
      </c>
      <c r="X14">
        <v>6</v>
      </c>
      <c r="Y14">
        <v>6</v>
      </c>
      <c r="Z14" t="s">
        <v>112</v>
      </c>
      <c r="AA14" t="s">
        <v>113</v>
      </c>
      <c r="AB14" t="s">
        <v>96</v>
      </c>
      <c r="AC14" t="s">
        <v>97</v>
      </c>
      <c r="AD14" t="s">
        <v>98</v>
      </c>
      <c r="AG14" t="s">
        <v>114</v>
      </c>
      <c r="AH14">
        <v>0</v>
      </c>
      <c r="AI14">
        <v>182</v>
      </c>
      <c r="AJ14">
        <v>30</v>
      </c>
      <c r="AK14">
        <v>56</v>
      </c>
      <c r="AL14">
        <v>0.25</v>
      </c>
    </row>
    <row r="15" spans="1:38" x14ac:dyDescent="0.3">
      <c r="A15" t="s">
        <v>90</v>
      </c>
      <c r="B15">
        <v>8510</v>
      </c>
      <c r="C15">
        <v>7</v>
      </c>
      <c r="D15" t="s">
        <v>110</v>
      </c>
      <c r="E15" t="s">
        <v>111</v>
      </c>
      <c r="F15">
        <v>222</v>
      </c>
      <c r="G15">
        <v>31.03</v>
      </c>
      <c r="H15">
        <v>102.58</v>
      </c>
      <c r="I15">
        <v>23.31</v>
      </c>
      <c r="J15">
        <v>77.06</v>
      </c>
      <c r="K15">
        <v>6</v>
      </c>
      <c r="T15">
        <v>3</v>
      </c>
      <c r="U15">
        <v>2</v>
      </c>
      <c r="V15" t="s">
        <v>93</v>
      </c>
      <c r="W15">
        <v>102</v>
      </c>
      <c r="X15">
        <v>6</v>
      </c>
      <c r="Y15">
        <v>6</v>
      </c>
      <c r="Z15" t="s">
        <v>112</v>
      </c>
      <c r="AA15" t="s">
        <v>113</v>
      </c>
      <c r="AB15" t="s">
        <v>96</v>
      </c>
      <c r="AC15" t="s">
        <v>97</v>
      </c>
      <c r="AD15" t="s">
        <v>98</v>
      </c>
      <c r="AG15" t="s">
        <v>114</v>
      </c>
      <c r="AH15">
        <v>0</v>
      </c>
      <c r="AI15">
        <v>182</v>
      </c>
      <c r="AJ15">
        <v>30</v>
      </c>
      <c r="AK15">
        <v>56</v>
      </c>
      <c r="AL15">
        <v>0.25</v>
      </c>
    </row>
    <row r="16" spans="1:38" x14ac:dyDescent="0.3">
      <c r="A16" t="s">
        <v>90</v>
      </c>
      <c r="B16">
        <v>2260</v>
      </c>
      <c r="C16">
        <v>1</v>
      </c>
      <c r="D16" t="s">
        <v>117</v>
      </c>
      <c r="E16" t="s">
        <v>118</v>
      </c>
      <c r="F16">
        <v>170</v>
      </c>
      <c r="G16">
        <v>18.809999999999999</v>
      </c>
      <c r="H16">
        <v>62.19</v>
      </c>
      <c r="I16">
        <v>14.5</v>
      </c>
      <c r="J16">
        <v>47.94</v>
      </c>
      <c r="K16">
        <v>36</v>
      </c>
      <c r="T16">
        <v>2</v>
      </c>
      <c r="U16">
        <v>1</v>
      </c>
      <c r="V16" t="s">
        <v>93</v>
      </c>
      <c r="W16">
        <v>62</v>
      </c>
      <c r="X16">
        <v>6</v>
      </c>
      <c r="Y16">
        <v>5</v>
      </c>
      <c r="Z16" t="s">
        <v>119</v>
      </c>
      <c r="AA16" t="s">
        <v>120</v>
      </c>
      <c r="AB16" t="s">
        <v>96</v>
      </c>
      <c r="AC16" t="s">
        <v>97</v>
      </c>
      <c r="AD16" t="s">
        <v>98</v>
      </c>
      <c r="AG16" t="s">
        <v>121</v>
      </c>
      <c r="AH16">
        <v>0</v>
      </c>
      <c r="AI16">
        <v>145</v>
      </c>
      <c r="AJ16">
        <v>26</v>
      </c>
      <c r="AK16">
        <v>37</v>
      </c>
      <c r="AL16">
        <v>0.22</v>
      </c>
    </row>
    <row r="17" spans="1:38" x14ac:dyDescent="0.3">
      <c r="A17" t="s">
        <v>90</v>
      </c>
      <c r="B17">
        <v>2260</v>
      </c>
      <c r="C17">
        <v>2</v>
      </c>
      <c r="D17" t="s">
        <v>117</v>
      </c>
      <c r="E17" t="s">
        <v>118</v>
      </c>
      <c r="F17">
        <v>170</v>
      </c>
      <c r="G17">
        <v>21.07</v>
      </c>
      <c r="H17">
        <v>69.66</v>
      </c>
      <c r="I17">
        <v>16.41</v>
      </c>
      <c r="J17">
        <v>54.27</v>
      </c>
      <c r="K17">
        <v>128</v>
      </c>
      <c r="T17">
        <v>3</v>
      </c>
      <c r="U17">
        <v>1</v>
      </c>
      <c r="V17" t="s">
        <v>93</v>
      </c>
      <c r="W17">
        <v>69</v>
      </c>
      <c r="X17">
        <v>6</v>
      </c>
      <c r="Y17">
        <v>5</v>
      </c>
      <c r="Z17" t="s">
        <v>119</v>
      </c>
      <c r="AA17" t="s">
        <v>120</v>
      </c>
      <c r="AB17" t="s">
        <v>96</v>
      </c>
      <c r="AC17" t="s">
        <v>97</v>
      </c>
      <c r="AD17" t="s">
        <v>98</v>
      </c>
      <c r="AG17" t="s">
        <v>121</v>
      </c>
      <c r="AH17">
        <v>0</v>
      </c>
      <c r="AI17">
        <v>145</v>
      </c>
      <c r="AJ17">
        <v>26</v>
      </c>
      <c r="AK17">
        <v>37</v>
      </c>
      <c r="AL17">
        <v>0.22</v>
      </c>
    </row>
    <row r="18" spans="1:38" x14ac:dyDescent="0.3">
      <c r="A18" t="s">
        <v>90</v>
      </c>
      <c r="B18">
        <v>2260</v>
      </c>
      <c r="C18">
        <v>3</v>
      </c>
      <c r="D18" t="s">
        <v>117</v>
      </c>
      <c r="E18" t="s">
        <v>118</v>
      </c>
      <c r="F18">
        <v>170</v>
      </c>
      <c r="G18">
        <v>25.08</v>
      </c>
      <c r="H18">
        <v>82.92</v>
      </c>
      <c r="I18">
        <v>18.239999999999998</v>
      </c>
      <c r="J18">
        <v>60.3</v>
      </c>
      <c r="K18">
        <v>6</v>
      </c>
      <c r="T18">
        <v>3</v>
      </c>
      <c r="U18">
        <v>1</v>
      </c>
      <c r="V18" t="s">
        <v>93</v>
      </c>
      <c r="W18">
        <v>82</v>
      </c>
      <c r="X18">
        <v>6</v>
      </c>
      <c r="Y18">
        <v>5</v>
      </c>
      <c r="Z18" t="s">
        <v>119</v>
      </c>
      <c r="AA18" t="s">
        <v>120</v>
      </c>
      <c r="AB18" t="s">
        <v>96</v>
      </c>
      <c r="AC18" t="s">
        <v>97</v>
      </c>
      <c r="AD18" t="s">
        <v>98</v>
      </c>
      <c r="AG18" t="s">
        <v>121</v>
      </c>
      <c r="AH18">
        <v>0</v>
      </c>
      <c r="AI18">
        <v>145</v>
      </c>
      <c r="AJ18">
        <v>26</v>
      </c>
      <c r="AK18">
        <v>37</v>
      </c>
      <c r="AL18">
        <v>0.22</v>
      </c>
    </row>
    <row r="19" spans="1:38" x14ac:dyDescent="0.3">
      <c r="A19" t="s">
        <v>90</v>
      </c>
      <c r="B19">
        <v>8518</v>
      </c>
      <c r="C19">
        <v>1</v>
      </c>
      <c r="D19" t="s">
        <v>122</v>
      </c>
      <c r="E19" t="s">
        <v>123</v>
      </c>
      <c r="F19">
        <v>95</v>
      </c>
      <c r="G19">
        <v>19.22</v>
      </c>
      <c r="H19">
        <v>63.55</v>
      </c>
      <c r="I19">
        <v>14.56</v>
      </c>
      <c r="J19">
        <v>48.16</v>
      </c>
      <c r="K19">
        <v>20</v>
      </c>
      <c r="T19">
        <v>3</v>
      </c>
      <c r="U19">
        <v>1</v>
      </c>
      <c r="V19" t="s">
        <v>93</v>
      </c>
      <c r="W19">
        <v>63</v>
      </c>
      <c r="X19">
        <v>5</v>
      </c>
      <c r="Y19">
        <v>5</v>
      </c>
      <c r="Z19" t="s">
        <v>124</v>
      </c>
      <c r="AA19" t="s">
        <v>125</v>
      </c>
      <c r="AB19" t="s">
        <v>96</v>
      </c>
      <c r="AC19" t="s">
        <v>97</v>
      </c>
      <c r="AD19" t="s">
        <v>98</v>
      </c>
      <c r="AG19" t="s">
        <v>126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90</v>
      </c>
      <c r="B20">
        <v>8518</v>
      </c>
      <c r="C20">
        <v>2</v>
      </c>
      <c r="D20" t="s">
        <v>122</v>
      </c>
      <c r="E20" t="s">
        <v>123</v>
      </c>
      <c r="F20">
        <v>95</v>
      </c>
      <c r="G20">
        <v>20.21</v>
      </c>
      <c r="H20">
        <v>66.83</v>
      </c>
      <c r="I20">
        <v>15.41</v>
      </c>
      <c r="J20">
        <v>50.95</v>
      </c>
      <c r="K20">
        <v>40</v>
      </c>
      <c r="T20">
        <v>3</v>
      </c>
      <c r="U20">
        <v>1</v>
      </c>
      <c r="V20" t="s">
        <v>93</v>
      </c>
      <c r="W20">
        <v>66</v>
      </c>
      <c r="X20">
        <v>5</v>
      </c>
      <c r="Y20">
        <v>5</v>
      </c>
      <c r="Z20" t="s">
        <v>124</v>
      </c>
      <c r="AA20" t="s">
        <v>125</v>
      </c>
      <c r="AB20" t="s">
        <v>96</v>
      </c>
      <c r="AC20" t="s">
        <v>97</v>
      </c>
      <c r="AD20" t="s">
        <v>98</v>
      </c>
      <c r="AG20" t="s">
        <v>126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90</v>
      </c>
      <c r="B21">
        <v>8518</v>
      </c>
      <c r="C21">
        <v>3</v>
      </c>
      <c r="D21" t="s">
        <v>122</v>
      </c>
      <c r="E21" t="s">
        <v>123</v>
      </c>
      <c r="F21">
        <v>95</v>
      </c>
      <c r="G21">
        <v>21.69</v>
      </c>
      <c r="H21">
        <v>71.709999999999994</v>
      </c>
      <c r="I21">
        <v>16.010000000000002</v>
      </c>
      <c r="J21">
        <v>52.95</v>
      </c>
      <c r="K21">
        <v>15</v>
      </c>
      <c r="T21">
        <v>3</v>
      </c>
      <c r="U21">
        <v>1</v>
      </c>
      <c r="V21" t="s">
        <v>93</v>
      </c>
      <c r="W21" t="s">
        <v>127</v>
      </c>
      <c r="X21">
        <v>5</v>
      </c>
      <c r="Y21">
        <v>5</v>
      </c>
      <c r="Z21" t="s">
        <v>124</v>
      </c>
      <c r="AA21" t="s">
        <v>125</v>
      </c>
      <c r="AB21" t="s">
        <v>96</v>
      </c>
      <c r="AC21" t="s">
        <v>97</v>
      </c>
      <c r="AD21" t="s">
        <v>98</v>
      </c>
      <c r="AG21" t="s">
        <v>126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90</v>
      </c>
      <c r="B22">
        <v>8518</v>
      </c>
      <c r="C22">
        <v>4</v>
      </c>
      <c r="D22" t="s">
        <v>122</v>
      </c>
      <c r="E22" t="s">
        <v>123</v>
      </c>
      <c r="F22">
        <v>95</v>
      </c>
      <c r="G22">
        <v>21.86</v>
      </c>
      <c r="H22">
        <v>72.290000000000006</v>
      </c>
      <c r="I22">
        <v>16.149999999999999</v>
      </c>
      <c r="J22">
        <v>53.4</v>
      </c>
      <c r="K22">
        <v>10</v>
      </c>
      <c r="T22">
        <v>3</v>
      </c>
      <c r="U22">
        <v>1</v>
      </c>
      <c r="V22" t="s">
        <v>93</v>
      </c>
      <c r="W22" t="s">
        <v>128</v>
      </c>
      <c r="X22">
        <v>5</v>
      </c>
      <c r="Y22">
        <v>5</v>
      </c>
      <c r="Z22" t="s">
        <v>124</v>
      </c>
      <c r="AA22" t="s">
        <v>125</v>
      </c>
      <c r="AB22" t="s">
        <v>96</v>
      </c>
      <c r="AC22" t="s">
        <v>97</v>
      </c>
      <c r="AD22" t="s">
        <v>98</v>
      </c>
      <c r="AG22" t="s">
        <v>126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90</v>
      </c>
      <c r="B23">
        <v>8518</v>
      </c>
      <c r="C23">
        <v>5</v>
      </c>
      <c r="D23" t="s">
        <v>122</v>
      </c>
      <c r="E23" t="s">
        <v>123</v>
      </c>
      <c r="F23">
        <v>95</v>
      </c>
      <c r="G23">
        <v>22.9</v>
      </c>
      <c r="H23">
        <v>75.73</v>
      </c>
      <c r="I23">
        <v>16.71</v>
      </c>
      <c r="J23">
        <v>55.24</v>
      </c>
      <c r="K23">
        <v>10</v>
      </c>
      <c r="T23">
        <v>3</v>
      </c>
      <c r="U23">
        <v>1</v>
      </c>
      <c r="V23" t="s">
        <v>93</v>
      </c>
      <c r="W23">
        <v>75</v>
      </c>
      <c r="X23">
        <v>5</v>
      </c>
      <c r="Y23">
        <v>5</v>
      </c>
      <c r="Z23" t="s">
        <v>124</v>
      </c>
      <c r="AA23" t="s">
        <v>125</v>
      </c>
      <c r="AB23" t="s">
        <v>96</v>
      </c>
      <c r="AC23" t="s">
        <v>97</v>
      </c>
      <c r="AD23" t="s">
        <v>98</v>
      </c>
      <c r="AG23" t="s">
        <v>126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90</v>
      </c>
      <c r="B24">
        <v>8516</v>
      </c>
      <c r="C24">
        <v>1</v>
      </c>
      <c r="D24" t="s">
        <v>129</v>
      </c>
      <c r="E24" t="s">
        <v>130</v>
      </c>
      <c r="F24">
        <v>144</v>
      </c>
      <c r="G24">
        <v>21.28</v>
      </c>
      <c r="H24">
        <v>70.38</v>
      </c>
      <c r="I24">
        <v>17.47</v>
      </c>
      <c r="J24">
        <v>57.78</v>
      </c>
      <c r="K24">
        <v>42</v>
      </c>
      <c r="T24">
        <v>2</v>
      </c>
      <c r="U24">
        <v>1</v>
      </c>
      <c r="V24" t="s">
        <v>93</v>
      </c>
      <c r="W24">
        <v>70</v>
      </c>
      <c r="X24">
        <v>6</v>
      </c>
      <c r="Y24">
        <v>6</v>
      </c>
      <c r="Z24" t="s">
        <v>131</v>
      </c>
      <c r="AA24" t="s">
        <v>132</v>
      </c>
      <c r="AB24" t="s">
        <v>96</v>
      </c>
      <c r="AC24" t="s">
        <v>97</v>
      </c>
      <c r="AD24" t="s">
        <v>98</v>
      </c>
      <c r="AG24" t="s">
        <v>133</v>
      </c>
      <c r="AH24">
        <v>0</v>
      </c>
      <c r="AI24">
        <v>142</v>
      </c>
      <c r="AJ24">
        <v>23</v>
      </c>
      <c r="AK24">
        <v>60</v>
      </c>
      <c r="AL24">
        <v>0.42</v>
      </c>
    </row>
    <row r="25" spans="1:38" x14ac:dyDescent="0.3">
      <c r="A25" t="s">
        <v>90</v>
      </c>
      <c r="B25">
        <v>8516</v>
      </c>
      <c r="C25">
        <v>2</v>
      </c>
      <c r="D25" t="s">
        <v>129</v>
      </c>
      <c r="E25" t="s">
        <v>130</v>
      </c>
      <c r="F25">
        <v>144</v>
      </c>
      <c r="G25">
        <v>23.96</v>
      </c>
      <c r="H25">
        <v>79.209999999999994</v>
      </c>
      <c r="I25">
        <v>19.920000000000002</v>
      </c>
      <c r="J25">
        <v>65.88</v>
      </c>
      <c r="K25">
        <v>40</v>
      </c>
      <c r="T25">
        <v>3</v>
      </c>
      <c r="U25">
        <v>1</v>
      </c>
      <c r="V25" t="s">
        <v>93</v>
      </c>
      <c r="W25" t="s">
        <v>134</v>
      </c>
      <c r="X25">
        <v>6</v>
      </c>
      <c r="Y25">
        <v>6</v>
      </c>
      <c r="Z25" t="s">
        <v>131</v>
      </c>
      <c r="AA25" t="s">
        <v>132</v>
      </c>
      <c r="AB25" t="s">
        <v>96</v>
      </c>
      <c r="AC25" t="s">
        <v>97</v>
      </c>
      <c r="AD25" t="s">
        <v>98</v>
      </c>
      <c r="AG25" t="s">
        <v>133</v>
      </c>
      <c r="AH25">
        <v>0</v>
      </c>
      <c r="AI25">
        <v>142</v>
      </c>
      <c r="AJ25">
        <v>23</v>
      </c>
      <c r="AK25">
        <v>60</v>
      </c>
      <c r="AL25">
        <v>0.42</v>
      </c>
    </row>
    <row r="26" spans="1:38" x14ac:dyDescent="0.3">
      <c r="A26" t="s">
        <v>90</v>
      </c>
      <c r="B26">
        <v>8516</v>
      </c>
      <c r="C26">
        <v>3</v>
      </c>
      <c r="D26" t="s">
        <v>129</v>
      </c>
      <c r="E26" t="s">
        <v>130</v>
      </c>
      <c r="F26">
        <v>144</v>
      </c>
      <c r="G26">
        <v>23.96</v>
      </c>
      <c r="H26">
        <v>79.22</v>
      </c>
      <c r="I26">
        <v>19.93</v>
      </c>
      <c r="J26">
        <v>65.89</v>
      </c>
      <c r="K26">
        <v>2</v>
      </c>
      <c r="T26">
        <v>3</v>
      </c>
      <c r="U26">
        <v>1</v>
      </c>
      <c r="V26" t="s">
        <v>93</v>
      </c>
      <c r="W26" t="s">
        <v>135</v>
      </c>
      <c r="X26">
        <v>6</v>
      </c>
      <c r="Y26">
        <v>6</v>
      </c>
      <c r="Z26" t="s">
        <v>131</v>
      </c>
      <c r="AA26" t="s">
        <v>132</v>
      </c>
      <c r="AB26" t="s">
        <v>96</v>
      </c>
      <c r="AC26" t="s">
        <v>97</v>
      </c>
      <c r="AD26" t="s">
        <v>98</v>
      </c>
      <c r="AG26" t="s">
        <v>133</v>
      </c>
      <c r="AH26">
        <v>0</v>
      </c>
      <c r="AI26">
        <v>142</v>
      </c>
      <c r="AJ26">
        <v>23</v>
      </c>
      <c r="AK26">
        <v>60</v>
      </c>
      <c r="AL26">
        <v>0.42</v>
      </c>
    </row>
    <row r="27" spans="1:38" x14ac:dyDescent="0.3">
      <c r="A27" t="s">
        <v>90</v>
      </c>
      <c r="B27">
        <v>8516</v>
      </c>
      <c r="C27">
        <v>4</v>
      </c>
      <c r="D27" t="s">
        <v>129</v>
      </c>
      <c r="E27" t="s">
        <v>130</v>
      </c>
      <c r="F27">
        <v>144</v>
      </c>
      <c r="G27">
        <v>26.54</v>
      </c>
      <c r="H27">
        <v>87.76</v>
      </c>
      <c r="I27">
        <v>22.22</v>
      </c>
      <c r="J27">
        <v>73.48</v>
      </c>
      <c r="K27">
        <v>60</v>
      </c>
      <c r="T27">
        <v>3</v>
      </c>
      <c r="U27">
        <v>1</v>
      </c>
      <c r="V27" t="s">
        <v>93</v>
      </c>
      <c r="W27">
        <v>87</v>
      </c>
      <c r="X27">
        <v>6</v>
      </c>
      <c r="Y27">
        <v>6</v>
      </c>
      <c r="Z27" t="s">
        <v>131</v>
      </c>
      <c r="AA27" t="s">
        <v>132</v>
      </c>
      <c r="AB27" t="s">
        <v>96</v>
      </c>
      <c r="AC27" t="s">
        <v>97</v>
      </c>
      <c r="AD27" t="s">
        <v>98</v>
      </c>
      <c r="AG27" t="s">
        <v>133</v>
      </c>
      <c r="AH27">
        <v>0</v>
      </c>
      <c r="AI27">
        <v>142</v>
      </c>
      <c r="AJ27">
        <v>23</v>
      </c>
      <c r="AK27">
        <v>60</v>
      </c>
      <c r="AL27">
        <v>0.42</v>
      </c>
    </row>
    <row r="28" spans="1:38" x14ac:dyDescent="0.3">
      <c r="A28" t="s">
        <v>90</v>
      </c>
      <c r="B28">
        <v>8503</v>
      </c>
      <c r="C28">
        <v>1</v>
      </c>
      <c r="D28" t="s">
        <v>136</v>
      </c>
      <c r="E28" t="s">
        <v>137</v>
      </c>
      <c r="F28">
        <v>142</v>
      </c>
      <c r="G28">
        <v>24.61</v>
      </c>
      <c r="H28">
        <v>81.36</v>
      </c>
      <c r="I28">
        <v>18.05</v>
      </c>
      <c r="J28">
        <v>59.67</v>
      </c>
      <c r="K28">
        <v>76</v>
      </c>
      <c r="T28">
        <v>3</v>
      </c>
      <c r="U28">
        <v>1</v>
      </c>
      <c r="V28" t="s">
        <v>138</v>
      </c>
      <c r="W28">
        <v>81</v>
      </c>
      <c r="X28">
        <v>18</v>
      </c>
      <c r="Y28">
        <v>8</v>
      </c>
      <c r="Z28" t="s">
        <v>139</v>
      </c>
      <c r="AA28" t="s">
        <v>140</v>
      </c>
      <c r="AB28" t="s">
        <v>96</v>
      </c>
      <c r="AC28" t="s">
        <v>97</v>
      </c>
      <c r="AD28" t="s">
        <v>98</v>
      </c>
      <c r="AG28" t="s">
        <v>141</v>
      </c>
      <c r="AH28">
        <v>0</v>
      </c>
      <c r="AI28">
        <v>330</v>
      </c>
      <c r="AJ28">
        <v>28</v>
      </c>
      <c r="AK28">
        <v>86</v>
      </c>
      <c r="AL28">
        <v>0.61</v>
      </c>
    </row>
    <row r="29" spans="1:38" x14ac:dyDescent="0.3">
      <c r="A29" t="s">
        <v>90</v>
      </c>
      <c r="B29">
        <v>8503</v>
      </c>
      <c r="C29">
        <v>2</v>
      </c>
      <c r="D29" t="s">
        <v>136</v>
      </c>
      <c r="E29" t="s">
        <v>137</v>
      </c>
      <c r="F29">
        <v>142</v>
      </c>
      <c r="G29">
        <v>28.21</v>
      </c>
      <c r="H29">
        <v>93.26</v>
      </c>
      <c r="I29">
        <v>20.69</v>
      </c>
      <c r="J29">
        <v>68.400000000000006</v>
      </c>
      <c r="K29">
        <v>66</v>
      </c>
      <c r="T29">
        <v>3</v>
      </c>
      <c r="U29">
        <v>1</v>
      </c>
      <c r="V29" t="s">
        <v>138</v>
      </c>
      <c r="W29">
        <v>93</v>
      </c>
      <c r="X29">
        <v>18</v>
      </c>
      <c r="Y29">
        <v>8</v>
      </c>
      <c r="Z29" t="s">
        <v>139</v>
      </c>
      <c r="AA29" t="s">
        <v>140</v>
      </c>
      <c r="AB29" t="s">
        <v>96</v>
      </c>
      <c r="AC29" t="s">
        <v>97</v>
      </c>
      <c r="AD29" t="s">
        <v>98</v>
      </c>
      <c r="AG29" t="s">
        <v>141</v>
      </c>
      <c r="AH29">
        <v>0</v>
      </c>
      <c r="AI29">
        <v>330</v>
      </c>
      <c r="AJ29">
        <v>28</v>
      </c>
      <c r="AK29">
        <v>86</v>
      </c>
      <c r="AL29">
        <v>0.61</v>
      </c>
    </row>
    <row r="30" spans="1:38" x14ac:dyDescent="0.3">
      <c r="A30" t="s">
        <v>90</v>
      </c>
      <c r="B30">
        <v>2256</v>
      </c>
      <c r="C30">
        <v>1</v>
      </c>
      <c r="D30" t="s">
        <v>142</v>
      </c>
      <c r="E30" t="s">
        <v>143</v>
      </c>
      <c r="F30">
        <v>366</v>
      </c>
      <c r="G30">
        <v>16.28</v>
      </c>
      <c r="H30">
        <v>53.83</v>
      </c>
      <c r="I30">
        <v>12.6</v>
      </c>
      <c r="J30">
        <v>41.67</v>
      </c>
      <c r="K30">
        <v>60</v>
      </c>
      <c r="T30">
        <v>2</v>
      </c>
      <c r="U30">
        <v>1</v>
      </c>
      <c r="V30" t="s">
        <v>93</v>
      </c>
      <c r="W30">
        <v>53</v>
      </c>
      <c r="X30">
        <v>6</v>
      </c>
      <c r="Y30">
        <v>6</v>
      </c>
      <c r="Z30" t="s">
        <v>144</v>
      </c>
      <c r="AA30" t="s">
        <v>145</v>
      </c>
      <c r="AB30" t="s">
        <v>96</v>
      </c>
      <c r="AC30" t="s">
        <v>97</v>
      </c>
      <c r="AD30" t="s">
        <v>98</v>
      </c>
      <c r="AG30" t="s">
        <v>146</v>
      </c>
      <c r="AH30">
        <v>0</v>
      </c>
      <c r="AI30">
        <v>179</v>
      </c>
      <c r="AJ30">
        <v>30</v>
      </c>
      <c r="AK30">
        <v>366</v>
      </c>
      <c r="AL30">
        <v>1</v>
      </c>
    </row>
    <row r="31" spans="1:38" x14ac:dyDescent="0.3">
      <c r="A31" t="s">
        <v>90</v>
      </c>
      <c r="B31">
        <v>2256</v>
      </c>
      <c r="C31">
        <v>2</v>
      </c>
      <c r="D31" t="s">
        <v>142</v>
      </c>
      <c r="E31" t="s">
        <v>143</v>
      </c>
      <c r="F31">
        <v>366</v>
      </c>
      <c r="G31">
        <v>19.13</v>
      </c>
      <c r="H31">
        <v>63.27</v>
      </c>
      <c r="I31">
        <v>15</v>
      </c>
      <c r="J31">
        <v>49.59</v>
      </c>
      <c r="K31">
        <v>181</v>
      </c>
      <c r="T31">
        <v>3</v>
      </c>
      <c r="U31">
        <v>1</v>
      </c>
      <c r="V31" t="s">
        <v>93</v>
      </c>
      <c r="W31">
        <v>63</v>
      </c>
      <c r="X31">
        <v>6</v>
      </c>
      <c r="Y31">
        <v>6</v>
      </c>
      <c r="Z31" t="s">
        <v>144</v>
      </c>
      <c r="AA31" t="s">
        <v>145</v>
      </c>
      <c r="AB31" t="s">
        <v>96</v>
      </c>
      <c r="AC31" t="s">
        <v>97</v>
      </c>
      <c r="AD31" t="s">
        <v>98</v>
      </c>
      <c r="AG31" t="s">
        <v>146</v>
      </c>
      <c r="AH31">
        <v>0</v>
      </c>
      <c r="AI31">
        <v>179</v>
      </c>
      <c r="AJ31">
        <v>30</v>
      </c>
      <c r="AK31">
        <v>366</v>
      </c>
      <c r="AL31">
        <v>1</v>
      </c>
    </row>
    <row r="32" spans="1:38" x14ac:dyDescent="0.3">
      <c r="A32" t="s">
        <v>90</v>
      </c>
      <c r="B32">
        <v>2256</v>
      </c>
      <c r="C32">
        <v>3</v>
      </c>
      <c r="D32" t="s">
        <v>142</v>
      </c>
      <c r="E32" t="s">
        <v>143</v>
      </c>
      <c r="F32">
        <v>366</v>
      </c>
      <c r="G32">
        <v>22.07</v>
      </c>
      <c r="H32">
        <v>72.959999999999994</v>
      </c>
      <c r="I32">
        <v>17.53</v>
      </c>
      <c r="J32">
        <v>57.96</v>
      </c>
      <c r="K32">
        <v>120</v>
      </c>
      <c r="T32">
        <v>3</v>
      </c>
      <c r="U32">
        <v>1</v>
      </c>
      <c r="V32" t="s">
        <v>93</v>
      </c>
      <c r="W32">
        <v>72</v>
      </c>
      <c r="X32">
        <v>6</v>
      </c>
      <c r="Y32">
        <v>6</v>
      </c>
      <c r="Z32" t="s">
        <v>144</v>
      </c>
      <c r="AA32" t="s">
        <v>145</v>
      </c>
      <c r="AB32" t="s">
        <v>96</v>
      </c>
      <c r="AC32" t="s">
        <v>97</v>
      </c>
      <c r="AD32" t="s">
        <v>98</v>
      </c>
      <c r="AG32" t="s">
        <v>146</v>
      </c>
      <c r="AH32">
        <v>0</v>
      </c>
      <c r="AI32">
        <v>179</v>
      </c>
      <c r="AJ32">
        <v>30</v>
      </c>
      <c r="AK32">
        <v>366</v>
      </c>
      <c r="AL32">
        <v>1</v>
      </c>
    </row>
    <row r="33" spans="1:38" x14ac:dyDescent="0.3">
      <c r="A33" t="s">
        <v>90</v>
      </c>
      <c r="B33">
        <v>2256</v>
      </c>
      <c r="C33">
        <v>4</v>
      </c>
      <c r="D33" t="s">
        <v>142</v>
      </c>
      <c r="E33" t="s">
        <v>143</v>
      </c>
      <c r="F33">
        <v>366</v>
      </c>
      <c r="G33">
        <v>23.15</v>
      </c>
      <c r="H33">
        <v>76.540000000000006</v>
      </c>
      <c r="I33">
        <v>16.850000000000001</v>
      </c>
      <c r="J33">
        <v>55.71</v>
      </c>
      <c r="K33">
        <v>5</v>
      </c>
      <c r="T33">
        <v>3</v>
      </c>
      <c r="U33">
        <v>1</v>
      </c>
      <c r="V33" t="s">
        <v>93</v>
      </c>
      <c r="W33">
        <v>76</v>
      </c>
      <c r="X33">
        <v>6</v>
      </c>
      <c r="Y33">
        <v>6</v>
      </c>
      <c r="Z33" t="s">
        <v>144</v>
      </c>
      <c r="AA33" t="s">
        <v>145</v>
      </c>
      <c r="AB33" t="s">
        <v>96</v>
      </c>
      <c r="AC33" t="s">
        <v>97</v>
      </c>
      <c r="AD33" t="s">
        <v>98</v>
      </c>
      <c r="AG33" t="s">
        <v>146</v>
      </c>
      <c r="AH33">
        <v>0</v>
      </c>
      <c r="AI33">
        <v>179</v>
      </c>
      <c r="AJ33">
        <v>30</v>
      </c>
      <c r="AK33">
        <v>366</v>
      </c>
      <c r="AL33">
        <v>1</v>
      </c>
    </row>
    <row r="34" spans="1:38" x14ac:dyDescent="0.3">
      <c r="A34" t="s">
        <v>90</v>
      </c>
      <c r="B34">
        <v>8522</v>
      </c>
      <c r="C34">
        <v>1</v>
      </c>
      <c r="D34" t="s">
        <v>147</v>
      </c>
      <c r="E34" t="s">
        <v>148</v>
      </c>
      <c r="F34">
        <v>80</v>
      </c>
      <c r="G34">
        <v>14.13</v>
      </c>
      <c r="H34">
        <v>46.72</v>
      </c>
      <c r="I34">
        <v>11.18</v>
      </c>
      <c r="J34">
        <v>36.99</v>
      </c>
      <c r="K34">
        <v>40</v>
      </c>
      <c r="T34">
        <v>2</v>
      </c>
      <c r="U34">
        <v>1</v>
      </c>
      <c r="V34" t="s">
        <v>93</v>
      </c>
      <c r="W34">
        <v>46</v>
      </c>
      <c r="X34">
        <v>5</v>
      </c>
      <c r="Y34">
        <v>5</v>
      </c>
      <c r="Z34" t="s">
        <v>149</v>
      </c>
      <c r="AA34" t="s">
        <v>150</v>
      </c>
      <c r="AB34" t="s">
        <v>96</v>
      </c>
      <c r="AC34" t="s">
        <v>97</v>
      </c>
      <c r="AD34" t="s">
        <v>98</v>
      </c>
      <c r="AG34" t="s">
        <v>151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90</v>
      </c>
      <c r="B35">
        <v>8522</v>
      </c>
      <c r="C35">
        <v>2</v>
      </c>
      <c r="D35" t="s">
        <v>147</v>
      </c>
      <c r="E35" t="s">
        <v>148</v>
      </c>
      <c r="F35">
        <v>80</v>
      </c>
      <c r="G35">
        <v>16.95</v>
      </c>
      <c r="H35">
        <v>56.04</v>
      </c>
      <c r="I35">
        <v>13.72</v>
      </c>
      <c r="J35">
        <v>45.36</v>
      </c>
      <c r="K35">
        <v>40</v>
      </c>
      <c r="T35">
        <v>2</v>
      </c>
      <c r="U35">
        <v>1</v>
      </c>
      <c r="V35" t="s">
        <v>93</v>
      </c>
      <c r="W35">
        <v>56</v>
      </c>
      <c r="X35">
        <v>5</v>
      </c>
      <c r="Y35">
        <v>5</v>
      </c>
      <c r="Z35" t="s">
        <v>149</v>
      </c>
      <c r="AA35" t="s">
        <v>150</v>
      </c>
      <c r="AB35" t="s">
        <v>96</v>
      </c>
      <c r="AC35" t="s">
        <v>97</v>
      </c>
      <c r="AD35" t="s">
        <v>98</v>
      </c>
      <c r="AG35" t="s">
        <v>151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90</v>
      </c>
      <c r="B36">
        <v>8528</v>
      </c>
      <c r="C36">
        <v>1</v>
      </c>
      <c r="D36" t="s">
        <v>152</v>
      </c>
      <c r="E36" t="s">
        <v>153</v>
      </c>
      <c r="F36">
        <v>432</v>
      </c>
      <c r="G36">
        <v>17.52</v>
      </c>
      <c r="H36">
        <v>57.94</v>
      </c>
      <c r="I36">
        <v>13.55</v>
      </c>
      <c r="J36">
        <v>44.81</v>
      </c>
      <c r="K36">
        <v>168</v>
      </c>
      <c r="T36">
        <v>2</v>
      </c>
      <c r="U36">
        <v>1</v>
      </c>
      <c r="V36" t="s">
        <v>93</v>
      </c>
      <c r="W36">
        <v>57</v>
      </c>
      <c r="X36">
        <v>6</v>
      </c>
      <c r="Y36">
        <v>6</v>
      </c>
      <c r="Z36" t="s">
        <v>154</v>
      </c>
      <c r="AA36" t="s">
        <v>155</v>
      </c>
      <c r="AB36" t="s">
        <v>96</v>
      </c>
      <c r="AC36" t="s">
        <v>97</v>
      </c>
      <c r="AD36" t="s">
        <v>98</v>
      </c>
      <c r="AG36" t="s">
        <v>156</v>
      </c>
      <c r="AH36">
        <v>0</v>
      </c>
      <c r="AI36">
        <v>191</v>
      </c>
      <c r="AJ36">
        <v>32</v>
      </c>
      <c r="AK36">
        <v>97</v>
      </c>
      <c r="AL36">
        <v>0.22</v>
      </c>
    </row>
    <row r="37" spans="1:38" x14ac:dyDescent="0.3">
      <c r="A37" t="s">
        <v>90</v>
      </c>
      <c r="B37">
        <v>8528</v>
      </c>
      <c r="C37">
        <v>2</v>
      </c>
      <c r="D37" t="s">
        <v>152</v>
      </c>
      <c r="E37" t="s">
        <v>153</v>
      </c>
      <c r="F37">
        <v>432</v>
      </c>
      <c r="G37">
        <v>21.86</v>
      </c>
      <c r="H37">
        <v>72.27</v>
      </c>
      <c r="I37">
        <v>17.25</v>
      </c>
      <c r="J37">
        <v>57.03</v>
      </c>
      <c r="K37">
        <v>168</v>
      </c>
      <c r="T37">
        <v>3</v>
      </c>
      <c r="U37">
        <v>1</v>
      </c>
      <c r="V37" t="s">
        <v>93</v>
      </c>
      <c r="W37">
        <v>72</v>
      </c>
      <c r="X37">
        <v>6</v>
      </c>
      <c r="Y37">
        <v>6</v>
      </c>
      <c r="Z37" t="s">
        <v>154</v>
      </c>
      <c r="AA37" t="s">
        <v>155</v>
      </c>
      <c r="AB37" t="s">
        <v>96</v>
      </c>
      <c r="AC37" t="s">
        <v>97</v>
      </c>
      <c r="AD37" t="s">
        <v>98</v>
      </c>
      <c r="AG37" t="s">
        <v>156</v>
      </c>
      <c r="AH37">
        <v>0</v>
      </c>
      <c r="AI37">
        <v>191</v>
      </c>
      <c r="AJ37">
        <v>32</v>
      </c>
      <c r="AK37">
        <v>97</v>
      </c>
      <c r="AL37">
        <v>0.22</v>
      </c>
    </row>
    <row r="38" spans="1:38" x14ac:dyDescent="0.3">
      <c r="A38" t="s">
        <v>90</v>
      </c>
      <c r="B38">
        <v>8528</v>
      </c>
      <c r="C38">
        <v>3</v>
      </c>
      <c r="D38" t="s">
        <v>152</v>
      </c>
      <c r="E38" t="s">
        <v>153</v>
      </c>
      <c r="F38">
        <v>432</v>
      </c>
      <c r="G38">
        <v>22.82</v>
      </c>
      <c r="H38">
        <v>75.459999999999994</v>
      </c>
      <c r="I38">
        <v>18.09</v>
      </c>
      <c r="J38">
        <v>59.82</v>
      </c>
      <c r="K38">
        <v>48</v>
      </c>
      <c r="T38">
        <v>3</v>
      </c>
      <c r="U38">
        <v>1</v>
      </c>
      <c r="V38" t="s">
        <v>93</v>
      </c>
      <c r="W38">
        <v>75</v>
      </c>
      <c r="X38">
        <v>6</v>
      </c>
      <c r="Y38">
        <v>6</v>
      </c>
      <c r="Z38" t="s">
        <v>154</v>
      </c>
      <c r="AA38" t="s">
        <v>155</v>
      </c>
      <c r="AB38" t="s">
        <v>96</v>
      </c>
      <c r="AC38" t="s">
        <v>97</v>
      </c>
      <c r="AD38" t="s">
        <v>98</v>
      </c>
      <c r="AG38" t="s">
        <v>156</v>
      </c>
      <c r="AH38">
        <v>0</v>
      </c>
      <c r="AI38">
        <v>191</v>
      </c>
      <c r="AJ38">
        <v>32</v>
      </c>
      <c r="AK38">
        <v>97</v>
      </c>
      <c r="AL38">
        <v>0.22</v>
      </c>
    </row>
    <row r="39" spans="1:38" x14ac:dyDescent="0.3">
      <c r="A39" t="s">
        <v>90</v>
      </c>
      <c r="B39">
        <v>8528</v>
      </c>
      <c r="C39">
        <v>4</v>
      </c>
      <c r="D39" t="s">
        <v>152</v>
      </c>
      <c r="E39" t="s">
        <v>153</v>
      </c>
      <c r="F39">
        <v>432</v>
      </c>
      <c r="G39">
        <v>24.16</v>
      </c>
      <c r="H39">
        <v>79.88</v>
      </c>
      <c r="I39">
        <v>19.25</v>
      </c>
      <c r="J39">
        <v>63.66</v>
      </c>
      <c r="K39">
        <v>48</v>
      </c>
      <c r="T39">
        <v>3</v>
      </c>
      <c r="U39">
        <v>1</v>
      </c>
      <c r="V39" t="s">
        <v>93</v>
      </c>
      <c r="W39">
        <v>79</v>
      </c>
      <c r="X39">
        <v>6</v>
      </c>
      <c r="Y39">
        <v>6</v>
      </c>
      <c r="Z39" t="s">
        <v>154</v>
      </c>
      <c r="AA39" t="s">
        <v>155</v>
      </c>
      <c r="AB39" t="s">
        <v>96</v>
      </c>
      <c r="AC39" t="s">
        <v>97</v>
      </c>
      <c r="AD39" t="s">
        <v>98</v>
      </c>
      <c r="AG39" t="s">
        <v>156</v>
      </c>
      <c r="AH39">
        <v>0</v>
      </c>
      <c r="AI39">
        <v>191</v>
      </c>
      <c r="AJ39">
        <v>32</v>
      </c>
      <c r="AK39">
        <v>97</v>
      </c>
      <c r="AL39">
        <v>0.22</v>
      </c>
    </row>
    <row r="40" spans="1:38" x14ac:dyDescent="0.3">
      <c r="A40" t="s">
        <v>90</v>
      </c>
      <c r="B40">
        <v>124979</v>
      </c>
      <c r="C40">
        <v>1</v>
      </c>
      <c r="D40" t="s">
        <v>157</v>
      </c>
      <c r="E40" t="s">
        <v>158</v>
      </c>
      <c r="F40">
        <v>16</v>
      </c>
      <c r="G40">
        <v>13.11</v>
      </c>
      <c r="H40">
        <v>43.35</v>
      </c>
      <c r="I40">
        <v>11.85</v>
      </c>
      <c r="J40">
        <v>39.19</v>
      </c>
      <c r="K40">
        <v>1</v>
      </c>
      <c r="T40">
        <v>1</v>
      </c>
      <c r="U40">
        <v>1</v>
      </c>
      <c r="V40" t="s">
        <v>93</v>
      </c>
      <c r="W40">
        <v>43</v>
      </c>
      <c r="X40">
        <v>6</v>
      </c>
      <c r="Y40">
        <v>6</v>
      </c>
      <c r="Z40" t="s">
        <v>159</v>
      </c>
      <c r="AA40" t="s">
        <v>160</v>
      </c>
      <c r="AB40" t="s">
        <v>96</v>
      </c>
      <c r="AC40" t="s">
        <v>97</v>
      </c>
      <c r="AD40" t="s">
        <v>98</v>
      </c>
      <c r="AG40" t="s">
        <v>161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90</v>
      </c>
      <c r="B41">
        <v>124979</v>
      </c>
      <c r="C41">
        <v>2</v>
      </c>
      <c r="D41" t="s">
        <v>157</v>
      </c>
      <c r="E41" t="s">
        <v>158</v>
      </c>
      <c r="F41">
        <v>16</v>
      </c>
      <c r="G41">
        <v>14.7</v>
      </c>
      <c r="H41">
        <v>48.61</v>
      </c>
      <c r="I41">
        <v>13.24</v>
      </c>
      <c r="J41">
        <v>43.77</v>
      </c>
      <c r="K41">
        <v>1</v>
      </c>
      <c r="T41">
        <v>2</v>
      </c>
      <c r="U41">
        <v>1</v>
      </c>
      <c r="V41" t="s">
        <v>93</v>
      </c>
      <c r="W41">
        <v>48</v>
      </c>
      <c r="X41">
        <v>6</v>
      </c>
      <c r="Y41">
        <v>6</v>
      </c>
      <c r="Z41" t="s">
        <v>159</v>
      </c>
      <c r="AA41" t="s">
        <v>160</v>
      </c>
      <c r="AB41" t="s">
        <v>96</v>
      </c>
      <c r="AC41" t="s">
        <v>97</v>
      </c>
      <c r="AD41" t="s">
        <v>98</v>
      </c>
      <c r="AG41" t="s">
        <v>161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90</v>
      </c>
      <c r="B42">
        <v>124979</v>
      </c>
      <c r="C42">
        <v>3</v>
      </c>
      <c r="D42" t="s">
        <v>157</v>
      </c>
      <c r="E42" t="s">
        <v>158</v>
      </c>
      <c r="F42">
        <v>16</v>
      </c>
      <c r="G42">
        <v>20.03</v>
      </c>
      <c r="H42">
        <v>66.22</v>
      </c>
      <c r="I42">
        <v>18.11</v>
      </c>
      <c r="J42">
        <v>59.87</v>
      </c>
      <c r="K42">
        <v>1</v>
      </c>
      <c r="T42">
        <v>3</v>
      </c>
      <c r="U42">
        <v>1</v>
      </c>
      <c r="V42" t="s">
        <v>93</v>
      </c>
      <c r="W42">
        <v>66</v>
      </c>
      <c r="X42">
        <v>6</v>
      </c>
      <c r="Y42">
        <v>6</v>
      </c>
      <c r="Z42" t="s">
        <v>159</v>
      </c>
      <c r="AA42" t="s">
        <v>160</v>
      </c>
      <c r="AB42" t="s">
        <v>96</v>
      </c>
      <c r="AC42" t="s">
        <v>97</v>
      </c>
      <c r="AD42" t="s">
        <v>98</v>
      </c>
      <c r="AG42" t="s">
        <v>161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90</v>
      </c>
      <c r="B43">
        <v>124979</v>
      </c>
      <c r="C43">
        <v>4</v>
      </c>
      <c r="D43" t="s">
        <v>157</v>
      </c>
      <c r="E43" t="s">
        <v>158</v>
      </c>
      <c r="F43">
        <v>16</v>
      </c>
      <c r="G43">
        <v>21.42</v>
      </c>
      <c r="H43">
        <v>70.84</v>
      </c>
      <c r="I43">
        <v>19.37</v>
      </c>
      <c r="J43">
        <v>64.05</v>
      </c>
      <c r="K43">
        <v>3</v>
      </c>
      <c r="T43">
        <v>3</v>
      </c>
      <c r="U43">
        <v>1</v>
      </c>
      <c r="V43" t="s">
        <v>93</v>
      </c>
      <c r="W43">
        <v>70</v>
      </c>
      <c r="X43">
        <v>6</v>
      </c>
      <c r="Y43">
        <v>6</v>
      </c>
      <c r="Z43" t="s">
        <v>159</v>
      </c>
      <c r="AA43" t="s">
        <v>160</v>
      </c>
      <c r="AB43" t="s">
        <v>96</v>
      </c>
      <c r="AC43" t="s">
        <v>97</v>
      </c>
      <c r="AD43" t="s">
        <v>98</v>
      </c>
      <c r="AG43" t="s">
        <v>161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90</v>
      </c>
      <c r="B44">
        <v>124979</v>
      </c>
      <c r="C44">
        <v>5</v>
      </c>
      <c r="D44" t="s">
        <v>157</v>
      </c>
      <c r="E44" t="s">
        <v>158</v>
      </c>
      <c r="F44">
        <v>16</v>
      </c>
      <c r="G44">
        <v>21.81</v>
      </c>
      <c r="H44">
        <v>72.099999999999994</v>
      </c>
      <c r="I44">
        <v>19.64</v>
      </c>
      <c r="J44">
        <v>64.930000000000007</v>
      </c>
      <c r="K44">
        <v>7</v>
      </c>
      <c r="T44">
        <v>3</v>
      </c>
      <c r="U44">
        <v>1</v>
      </c>
      <c r="V44" t="s">
        <v>93</v>
      </c>
      <c r="W44" t="s">
        <v>162</v>
      </c>
      <c r="X44">
        <v>6</v>
      </c>
      <c r="Y44">
        <v>6</v>
      </c>
      <c r="Z44" t="s">
        <v>159</v>
      </c>
      <c r="AA44" t="s">
        <v>160</v>
      </c>
      <c r="AB44" t="s">
        <v>96</v>
      </c>
      <c r="AC44" t="s">
        <v>97</v>
      </c>
      <c r="AD44" t="s">
        <v>98</v>
      </c>
      <c r="AG44" t="s">
        <v>161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90</v>
      </c>
      <c r="B45">
        <v>124979</v>
      </c>
      <c r="C45">
        <v>6</v>
      </c>
      <c r="D45" t="s">
        <v>157</v>
      </c>
      <c r="E45" t="s">
        <v>158</v>
      </c>
      <c r="F45">
        <v>16</v>
      </c>
      <c r="G45">
        <v>22.01</v>
      </c>
      <c r="H45">
        <v>72.78</v>
      </c>
      <c r="I45">
        <v>19.899999999999999</v>
      </c>
      <c r="J45">
        <v>65.8</v>
      </c>
      <c r="K45">
        <v>3</v>
      </c>
      <c r="T45">
        <v>3</v>
      </c>
      <c r="U45">
        <v>1</v>
      </c>
      <c r="V45" t="s">
        <v>93</v>
      </c>
      <c r="W45" t="s">
        <v>128</v>
      </c>
      <c r="X45">
        <v>6</v>
      </c>
      <c r="Y45">
        <v>6</v>
      </c>
      <c r="Z45" t="s">
        <v>159</v>
      </c>
      <c r="AA45" t="s">
        <v>160</v>
      </c>
      <c r="AB45" t="s">
        <v>96</v>
      </c>
      <c r="AC45" t="s">
        <v>97</v>
      </c>
      <c r="AD45" t="s">
        <v>98</v>
      </c>
      <c r="AG45" t="s">
        <v>161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90</v>
      </c>
      <c r="B46">
        <v>11386</v>
      </c>
      <c r="C46">
        <v>1</v>
      </c>
      <c r="D46" t="s">
        <v>163</v>
      </c>
      <c r="E46" t="s">
        <v>164</v>
      </c>
      <c r="F46">
        <v>481</v>
      </c>
      <c r="G46">
        <v>24.08</v>
      </c>
      <c r="H46">
        <v>79.63</v>
      </c>
      <c r="I46">
        <v>17.440000000000001</v>
      </c>
      <c r="J46">
        <v>57.68</v>
      </c>
      <c r="K46">
        <v>234</v>
      </c>
      <c r="T46">
        <v>3</v>
      </c>
      <c r="U46">
        <v>1</v>
      </c>
      <c r="V46" t="s">
        <v>138</v>
      </c>
      <c r="W46">
        <v>79</v>
      </c>
      <c r="X46">
        <v>21</v>
      </c>
      <c r="Y46">
        <v>12</v>
      </c>
      <c r="Z46" t="s">
        <v>165</v>
      </c>
      <c r="AA46" t="s">
        <v>166</v>
      </c>
      <c r="AB46" t="s">
        <v>96</v>
      </c>
      <c r="AC46" t="s">
        <v>97</v>
      </c>
      <c r="AD46" t="s">
        <v>98</v>
      </c>
      <c r="AG46" t="s">
        <v>167</v>
      </c>
      <c r="AH46">
        <v>0</v>
      </c>
      <c r="AI46">
        <v>336</v>
      </c>
      <c r="AJ46">
        <v>25</v>
      </c>
      <c r="AK46">
        <v>497</v>
      </c>
      <c r="AL46">
        <v>1.03</v>
      </c>
    </row>
    <row r="47" spans="1:38" x14ac:dyDescent="0.3">
      <c r="A47" t="s">
        <v>90</v>
      </c>
      <c r="B47">
        <v>11386</v>
      </c>
      <c r="C47">
        <v>2</v>
      </c>
      <c r="D47" t="s">
        <v>163</v>
      </c>
      <c r="E47" t="s">
        <v>164</v>
      </c>
      <c r="F47">
        <v>481</v>
      </c>
      <c r="G47">
        <v>31.91</v>
      </c>
      <c r="H47">
        <v>105.49</v>
      </c>
      <c r="I47">
        <v>25.67</v>
      </c>
      <c r="J47">
        <v>84.87</v>
      </c>
      <c r="K47">
        <v>207</v>
      </c>
      <c r="T47">
        <v>3</v>
      </c>
      <c r="U47">
        <v>2</v>
      </c>
      <c r="V47" t="s">
        <v>93</v>
      </c>
      <c r="W47">
        <v>105</v>
      </c>
      <c r="X47">
        <v>21</v>
      </c>
      <c r="Y47">
        <v>12</v>
      </c>
      <c r="Z47" t="s">
        <v>165</v>
      </c>
      <c r="AA47" t="s">
        <v>166</v>
      </c>
      <c r="AB47" t="s">
        <v>96</v>
      </c>
      <c r="AC47" t="s">
        <v>97</v>
      </c>
      <c r="AD47" t="s">
        <v>98</v>
      </c>
      <c r="AG47" t="s">
        <v>167</v>
      </c>
      <c r="AH47">
        <v>0</v>
      </c>
      <c r="AI47">
        <v>336</v>
      </c>
      <c r="AJ47">
        <v>25</v>
      </c>
      <c r="AK47">
        <v>497</v>
      </c>
      <c r="AL47">
        <v>1.03</v>
      </c>
    </row>
    <row r="48" spans="1:38" x14ac:dyDescent="0.3">
      <c r="A48" t="s">
        <v>90</v>
      </c>
      <c r="B48">
        <v>11386</v>
      </c>
      <c r="C48">
        <v>3</v>
      </c>
      <c r="D48" t="s">
        <v>163</v>
      </c>
      <c r="E48" t="s">
        <v>164</v>
      </c>
      <c r="F48">
        <v>481</v>
      </c>
      <c r="G48">
        <v>35.04</v>
      </c>
      <c r="H48">
        <v>115.84</v>
      </c>
      <c r="I48">
        <v>25.69</v>
      </c>
      <c r="J48">
        <v>84.95</v>
      </c>
      <c r="K48">
        <v>40</v>
      </c>
      <c r="T48">
        <v>3</v>
      </c>
      <c r="U48">
        <v>2</v>
      </c>
      <c r="V48" t="s">
        <v>93</v>
      </c>
      <c r="W48">
        <v>115</v>
      </c>
      <c r="X48">
        <v>21</v>
      </c>
      <c r="Y48">
        <v>12</v>
      </c>
      <c r="Z48" t="s">
        <v>165</v>
      </c>
      <c r="AA48" t="s">
        <v>166</v>
      </c>
      <c r="AB48" t="s">
        <v>96</v>
      </c>
      <c r="AC48" t="s">
        <v>97</v>
      </c>
      <c r="AD48" t="s">
        <v>98</v>
      </c>
      <c r="AG48" t="s">
        <v>167</v>
      </c>
      <c r="AH48">
        <v>0</v>
      </c>
      <c r="AI48">
        <v>336</v>
      </c>
      <c r="AJ48">
        <v>25</v>
      </c>
      <c r="AK48">
        <v>497</v>
      </c>
      <c r="AL48">
        <v>1.03</v>
      </c>
    </row>
    <row r="49" spans="1:38" x14ac:dyDescent="0.3">
      <c r="A49" t="s">
        <v>90</v>
      </c>
      <c r="B49">
        <v>8506</v>
      </c>
      <c r="C49">
        <v>1</v>
      </c>
      <c r="D49" t="s">
        <v>168</v>
      </c>
      <c r="E49" t="s">
        <v>169</v>
      </c>
      <c r="F49">
        <v>100</v>
      </c>
      <c r="G49">
        <v>16.260000000000002</v>
      </c>
      <c r="H49">
        <v>53.76</v>
      </c>
      <c r="I49">
        <v>12.57</v>
      </c>
      <c r="J49">
        <v>41.56</v>
      </c>
      <c r="K49">
        <v>30</v>
      </c>
      <c r="T49">
        <v>2</v>
      </c>
      <c r="U49">
        <v>1</v>
      </c>
      <c r="V49" t="s">
        <v>93</v>
      </c>
      <c r="W49">
        <v>53</v>
      </c>
      <c r="X49">
        <v>5</v>
      </c>
      <c r="Y49">
        <v>5</v>
      </c>
      <c r="Z49" t="s">
        <v>170</v>
      </c>
      <c r="AA49" t="s">
        <v>171</v>
      </c>
      <c r="AB49" t="s">
        <v>96</v>
      </c>
      <c r="AC49" t="s">
        <v>97</v>
      </c>
      <c r="AD49" t="s">
        <v>98</v>
      </c>
      <c r="AG49" t="s">
        <v>172</v>
      </c>
      <c r="AH49">
        <v>0</v>
      </c>
      <c r="AI49">
        <v>157</v>
      </c>
      <c r="AJ49">
        <v>31</v>
      </c>
      <c r="AK49">
        <v>0</v>
      </c>
      <c r="AL49">
        <v>0</v>
      </c>
    </row>
    <row r="50" spans="1:38" x14ac:dyDescent="0.3">
      <c r="A50" t="s">
        <v>90</v>
      </c>
      <c r="B50">
        <v>8506</v>
      </c>
      <c r="C50">
        <v>2</v>
      </c>
      <c r="D50" t="s">
        <v>168</v>
      </c>
      <c r="E50" t="s">
        <v>169</v>
      </c>
      <c r="F50">
        <v>100</v>
      </c>
      <c r="G50">
        <v>17.36</v>
      </c>
      <c r="H50">
        <v>57.42</v>
      </c>
      <c r="I50">
        <v>13.52</v>
      </c>
      <c r="J50">
        <v>44.7</v>
      </c>
      <c r="K50">
        <v>20</v>
      </c>
      <c r="T50">
        <v>2</v>
      </c>
      <c r="U50">
        <v>1</v>
      </c>
      <c r="V50" t="s">
        <v>93</v>
      </c>
      <c r="W50">
        <v>57</v>
      </c>
      <c r="X50">
        <v>5</v>
      </c>
      <c r="Y50">
        <v>5</v>
      </c>
      <c r="Z50" t="s">
        <v>170</v>
      </c>
      <c r="AA50" t="s">
        <v>171</v>
      </c>
      <c r="AB50" t="s">
        <v>96</v>
      </c>
      <c r="AC50" t="s">
        <v>97</v>
      </c>
      <c r="AD50" t="s">
        <v>98</v>
      </c>
      <c r="AG50" t="s">
        <v>172</v>
      </c>
      <c r="AH50">
        <v>0</v>
      </c>
      <c r="AI50">
        <v>157</v>
      </c>
      <c r="AJ50">
        <v>31</v>
      </c>
      <c r="AK50">
        <v>0</v>
      </c>
      <c r="AL50">
        <v>0</v>
      </c>
    </row>
    <row r="51" spans="1:38" x14ac:dyDescent="0.3">
      <c r="A51" t="s">
        <v>90</v>
      </c>
      <c r="B51">
        <v>8506</v>
      </c>
      <c r="C51">
        <v>3</v>
      </c>
      <c r="D51" t="s">
        <v>168</v>
      </c>
      <c r="E51" t="s">
        <v>169</v>
      </c>
      <c r="F51">
        <v>100</v>
      </c>
      <c r="G51">
        <v>18.84</v>
      </c>
      <c r="H51">
        <v>62.29</v>
      </c>
      <c r="I51">
        <v>14.78</v>
      </c>
      <c r="J51">
        <v>48.87</v>
      </c>
      <c r="K51">
        <v>50</v>
      </c>
      <c r="T51">
        <v>3</v>
      </c>
      <c r="U51">
        <v>1</v>
      </c>
      <c r="V51" t="s">
        <v>93</v>
      </c>
      <c r="W51">
        <v>62</v>
      </c>
      <c r="X51">
        <v>5</v>
      </c>
      <c r="Y51">
        <v>5</v>
      </c>
      <c r="Z51" t="s">
        <v>170</v>
      </c>
      <c r="AA51" t="s">
        <v>171</v>
      </c>
      <c r="AB51" t="s">
        <v>96</v>
      </c>
      <c r="AC51" t="s">
        <v>97</v>
      </c>
      <c r="AD51" t="s">
        <v>98</v>
      </c>
      <c r="AG51" t="s">
        <v>172</v>
      </c>
      <c r="AH51">
        <v>0</v>
      </c>
      <c r="AI51">
        <v>157</v>
      </c>
      <c r="AJ51">
        <v>31</v>
      </c>
      <c r="AK51">
        <v>0</v>
      </c>
      <c r="AL51">
        <v>0</v>
      </c>
    </row>
    <row r="52" spans="1:38" x14ac:dyDescent="0.3">
      <c r="A52" t="s">
        <v>90</v>
      </c>
      <c r="B52">
        <v>8527</v>
      </c>
      <c r="C52">
        <v>1</v>
      </c>
      <c r="D52" t="s">
        <v>173</v>
      </c>
      <c r="E52" t="s">
        <v>174</v>
      </c>
      <c r="F52">
        <v>90</v>
      </c>
      <c r="G52">
        <v>16.170000000000002</v>
      </c>
      <c r="H52">
        <v>53.46</v>
      </c>
      <c r="I52">
        <v>11.84</v>
      </c>
      <c r="J52">
        <v>39.15</v>
      </c>
      <c r="K52">
        <v>50</v>
      </c>
      <c r="T52">
        <v>2</v>
      </c>
      <c r="U52">
        <v>1</v>
      </c>
      <c r="V52" t="s">
        <v>93</v>
      </c>
      <c r="W52" t="s">
        <v>175</v>
      </c>
      <c r="X52">
        <v>5</v>
      </c>
      <c r="Y52">
        <v>5</v>
      </c>
      <c r="Z52" t="s">
        <v>176</v>
      </c>
      <c r="AA52" t="s">
        <v>177</v>
      </c>
      <c r="AB52" t="s">
        <v>96</v>
      </c>
      <c r="AC52" t="s">
        <v>97</v>
      </c>
      <c r="AD52" t="s">
        <v>98</v>
      </c>
      <c r="AG52" t="s">
        <v>178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90</v>
      </c>
      <c r="B53">
        <v>8527</v>
      </c>
      <c r="C53">
        <v>2</v>
      </c>
      <c r="D53" t="s">
        <v>173</v>
      </c>
      <c r="E53" t="s">
        <v>174</v>
      </c>
      <c r="F53">
        <v>90</v>
      </c>
      <c r="G53">
        <v>16.559999999999999</v>
      </c>
      <c r="H53">
        <v>54.75</v>
      </c>
      <c r="I53">
        <v>12.16</v>
      </c>
      <c r="J53">
        <v>40.229999999999997</v>
      </c>
      <c r="K53">
        <v>40</v>
      </c>
      <c r="T53">
        <v>2</v>
      </c>
      <c r="U53">
        <v>1</v>
      </c>
      <c r="V53" t="s">
        <v>93</v>
      </c>
      <c r="W53">
        <v>54</v>
      </c>
      <c r="X53">
        <v>5</v>
      </c>
      <c r="Y53">
        <v>5</v>
      </c>
      <c r="Z53" t="s">
        <v>176</v>
      </c>
      <c r="AA53" t="s">
        <v>177</v>
      </c>
      <c r="AB53" t="s">
        <v>96</v>
      </c>
      <c r="AC53" t="s">
        <v>97</v>
      </c>
      <c r="AD53" t="s">
        <v>98</v>
      </c>
      <c r="AG53" t="s">
        <v>178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90</v>
      </c>
      <c r="B54">
        <v>2259</v>
      </c>
      <c r="C54">
        <v>1</v>
      </c>
      <c r="D54" t="s">
        <v>179</v>
      </c>
      <c r="E54" t="s">
        <v>153</v>
      </c>
      <c r="F54">
        <v>360</v>
      </c>
      <c r="G54">
        <v>18.829999999999998</v>
      </c>
      <c r="H54">
        <v>62.25</v>
      </c>
      <c r="I54">
        <v>14.6</v>
      </c>
      <c r="J54">
        <v>48.27</v>
      </c>
      <c r="K54">
        <v>60</v>
      </c>
      <c r="T54">
        <v>2</v>
      </c>
      <c r="U54">
        <v>1</v>
      </c>
      <c r="V54" t="s">
        <v>93</v>
      </c>
      <c r="W54">
        <v>62</v>
      </c>
      <c r="X54">
        <v>6</v>
      </c>
      <c r="Y54">
        <v>6</v>
      </c>
      <c r="Z54" t="s">
        <v>180</v>
      </c>
      <c r="AA54" t="s">
        <v>181</v>
      </c>
      <c r="AB54" t="s">
        <v>96</v>
      </c>
      <c r="AC54" t="s">
        <v>97</v>
      </c>
      <c r="AD54" t="s">
        <v>98</v>
      </c>
      <c r="AG54" t="s">
        <v>182</v>
      </c>
      <c r="AH54">
        <v>0</v>
      </c>
      <c r="AI54">
        <v>198</v>
      </c>
      <c r="AJ54">
        <v>32</v>
      </c>
      <c r="AK54">
        <v>78</v>
      </c>
      <c r="AL54">
        <v>0.22</v>
      </c>
    </row>
    <row r="55" spans="1:38" x14ac:dyDescent="0.3">
      <c r="A55" t="s">
        <v>90</v>
      </c>
      <c r="B55">
        <v>2259</v>
      </c>
      <c r="C55">
        <v>2</v>
      </c>
      <c r="D55" t="s">
        <v>179</v>
      </c>
      <c r="E55" t="s">
        <v>153</v>
      </c>
      <c r="F55">
        <v>360</v>
      </c>
      <c r="G55">
        <v>21.04</v>
      </c>
      <c r="H55">
        <v>69.569999999999993</v>
      </c>
      <c r="I55">
        <v>16.489999999999998</v>
      </c>
      <c r="J55">
        <v>54.54</v>
      </c>
      <c r="K55">
        <v>60</v>
      </c>
      <c r="T55">
        <v>3</v>
      </c>
      <c r="U55">
        <v>1</v>
      </c>
      <c r="V55" t="s">
        <v>93</v>
      </c>
      <c r="W55">
        <v>69</v>
      </c>
      <c r="X55">
        <v>6</v>
      </c>
      <c r="Y55">
        <v>6</v>
      </c>
      <c r="Z55" t="s">
        <v>180</v>
      </c>
      <c r="AA55" t="s">
        <v>181</v>
      </c>
      <c r="AB55" t="s">
        <v>96</v>
      </c>
      <c r="AC55" t="s">
        <v>97</v>
      </c>
      <c r="AD55" t="s">
        <v>98</v>
      </c>
      <c r="AG55" t="s">
        <v>182</v>
      </c>
      <c r="AH55">
        <v>0</v>
      </c>
      <c r="AI55">
        <v>198</v>
      </c>
      <c r="AJ55">
        <v>32</v>
      </c>
      <c r="AK55">
        <v>78</v>
      </c>
      <c r="AL55">
        <v>0.22</v>
      </c>
    </row>
    <row r="56" spans="1:38" x14ac:dyDescent="0.3">
      <c r="A56" t="s">
        <v>90</v>
      </c>
      <c r="B56">
        <v>2259</v>
      </c>
      <c r="C56">
        <v>3</v>
      </c>
      <c r="D56" t="s">
        <v>179</v>
      </c>
      <c r="E56" t="s">
        <v>153</v>
      </c>
      <c r="F56">
        <v>360</v>
      </c>
      <c r="G56">
        <v>22.22</v>
      </c>
      <c r="H56">
        <v>73.459999999999994</v>
      </c>
      <c r="I56">
        <v>17.5</v>
      </c>
      <c r="J56">
        <v>57.87</v>
      </c>
      <c r="K56">
        <v>180</v>
      </c>
      <c r="T56">
        <v>3</v>
      </c>
      <c r="U56">
        <v>1</v>
      </c>
      <c r="V56" t="s">
        <v>93</v>
      </c>
      <c r="W56">
        <v>73</v>
      </c>
      <c r="X56">
        <v>6</v>
      </c>
      <c r="Y56">
        <v>6</v>
      </c>
      <c r="Z56" t="s">
        <v>180</v>
      </c>
      <c r="AA56" t="s">
        <v>181</v>
      </c>
      <c r="AB56" t="s">
        <v>96</v>
      </c>
      <c r="AC56" t="s">
        <v>97</v>
      </c>
      <c r="AD56" t="s">
        <v>98</v>
      </c>
      <c r="AG56" t="s">
        <v>182</v>
      </c>
      <c r="AH56">
        <v>0</v>
      </c>
      <c r="AI56">
        <v>198</v>
      </c>
      <c r="AJ56">
        <v>32</v>
      </c>
      <c r="AK56">
        <v>78</v>
      </c>
      <c r="AL56">
        <v>0.22</v>
      </c>
    </row>
    <row r="57" spans="1:38" x14ac:dyDescent="0.3">
      <c r="A57" t="s">
        <v>90</v>
      </c>
      <c r="B57">
        <v>2259</v>
      </c>
      <c r="C57">
        <v>4</v>
      </c>
      <c r="D57" t="s">
        <v>179</v>
      </c>
      <c r="E57" t="s">
        <v>153</v>
      </c>
      <c r="F57">
        <v>360</v>
      </c>
      <c r="G57">
        <v>22.94</v>
      </c>
      <c r="H57">
        <v>75.86</v>
      </c>
      <c r="I57">
        <v>18.12</v>
      </c>
      <c r="J57">
        <v>59.92</v>
      </c>
      <c r="K57">
        <v>60</v>
      </c>
      <c r="T57">
        <v>3</v>
      </c>
      <c r="U57">
        <v>1</v>
      </c>
      <c r="V57" t="s">
        <v>93</v>
      </c>
      <c r="W57">
        <v>75</v>
      </c>
      <c r="X57">
        <v>6</v>
      </c>
      <c r="Y57">
        <v>6</v>
      </c>
      <c r="Z57" t="s">
        <v>180</v>
      </c>
      <c r="AA57" t="s">
        <v>181</v>
      </c>
      <c r="AB57" t="s">
        <v>96</v>
      </c>
      <c r="AC57" t="s">
        <v>97</v>
      </c>
      <c r="AD57" t="s">
        <v>98</v>
      </c>
      <c r="AG57" t="s">
        <v>182</v>
      </c>
      <c r="AH57">
        <v>0</v>
      </c>
      <c r="AI57">
        <v>198</v>
      </c>
      <c r="AJ57">
        <v>32</v>
      </c>
      <c r="AK57">
        <v>78</v>
      </c>
      <c r="AL57">
        <v>0.22</v>
      </c>
    </row>
    <row r="58" spans="1:38" x14ac:dyDescent="0.3">
      <c r="A58" t="s">
        <v>90</v>
      </c>
      <c r="B58">
        <v>120493</v>
      </c>
      <c r="C58">
        <v>1</v>
      </c>
      <c r="D58" t="s">
        <v>183</v>
      </c>
      <c r="E58" t="s">
        <v>184</v>
      </c>
      <c r="F58">
        <v>369</v>
      </c>
      <c r="G58">
        <v>24.85</v>
      </c>
      <c r="H58">
        <v>82.16</v>
      </c>
      <c r="I58">
        <v>18.14</v>
      </c>
      <c r="J58">
        <v>59.99</v>
      </c>
      <c r="K58">
        <v>80</v>
      </c>
      <c r="T58">
        <v>3</v>
      </c>
      <c r="U58">
        <v>2</v>
      </c>
      <c r="V58" t="s">
        <v>93</v>
      </c>
      <c r="W58" t="s">
        <v>185</v>
      </c>
      <c r="X58">
        <v>14</v>
      </c>
      <c r="Y58">
        <v>10</v>
      </c>
      <c r="Z58" t="s">
        <v>186</v>
      </c>
      <c r="AA58" t="s">
        <v>187</v>
      </c>
      <c r="AB58" t="s">
        <v>96</v>
      </c>
      <c r="AC58" t="s">
        <v>97</v>
      </c>
      <c r="AD58" t="s">
        <v>98</v>
      </c>
      <c r="AG58" t="s">
        <v>188</v>
      </c>
      <c r="AH58">
        <v>0</v>
      </c>
      <c r="AI58">
        <v>222</v>
      </c>
      <c r="AJ58">
        <v>24</v>
      </c>
      <c r="AK58">
        <v>375</v>
      </c>
      <c r="AL58">
        <v>1.02</v>
      </c>
    </row>
    <row r="59" spans="1:38" x14ac:dyDescent="0.3">
      <c r="A59" t="s">
        <v>90</v>
      </c>
      <c r="B59">
        <v>120493</v>
      </c>
      <c r="C59">
        <v>2</v>
      </c>
      <c r="D59" t="s">
        <v>183</v>
      </c>
      <c r="E59" t="s">
        <v>184</v>
      </c>
      <c r="F59">
        <v>369</v>
      </c>
      <c r="G59">
        <v>24.95</v>
      </c>
      <c r="H59">
        <v>82.48</v>
      </c>
      <c r="I59">
        <v>18.14</v>
      </c>
      <c r="J59">
        <v>59.99</v>
      </c>
      <c r="K59">
        <v>36</v>
      </c>
      <c r="T59">
        <v>3</v>
      </c>
      <c r="U59">
        <v>2</v>
      </c>
      <c r="V59" t="s">
        <v>93</v>
      </c>
      <c r="W59" t="s">
        <v>189</v>
      </c>
      <c r="X59">
        <v>14</v>
      </c>
      <c r="Y59">
        <v>10</v>
      </c>
      <c r="Z59" t="s">
        <v>186</v>
      </c>
      <c r="AA59" t="s">
        <v>187</v>
      </c>
      <c r="AB59" t="s">
        <v>96</v>
      </c>
      <c r="AC59" t="s">
        <v>97</v>
      </c>
      <c r="AD59" t="s">
        <v>98</v>
      </c>
      <c r="AG59" t="s">
        <v>188</v>
      </c>
      <c r="AH59">
        <v>0</v>
      </c>
      <c r="AI59">
        <v>222</v>
      </c>
      <c r="AJ59">
        <v>24</v>
      </c>
      <c r="AK59">
        <v>375</v>
      </c>
      <c r="AL59">
        <v>1.02</v>
      </c>
    </row>
    <row r="60" spans="1:38" x14ac:dyDescent="0.3">
      <c r="A60" t="s">
        <v>90</v>
      </c>
      <c r="B60">
        <v>120493</v>
      </c>
      <c r="C60">
        <v>3</v>
      </c>
      <c r="D60" t="s">
        <v>183</v>
      </c>
      <c r="E60" t="s">
        <v>184</v>
      </c>
      <c r="F60">
        <v>369</v>
      </c>
      <c r="G60">
        <v>25.01</v>
      </c>
      <c r="H60">
        <v>82.71</v>
      </c>
      <c r="I60">
        <v>18.14</v>
      </c>
      <c r="J60">
        <v>59.99</v>
      </c>
      <c r="K60">
        <v>13</v>
      </c>
      <c r="T60">
        <v>3</v>
      </c>
      <c r="U60">
        <v>2</v>
      </c>
      <c r="V60" t="s">
        <v>93</v>
      </c>
      <c r="W60" t="s">
        <v>190</v>
      </c>
      <c r="X60">
        <v>14</v>
      </c>
      <c r="Y60">
        <v>10</v>
      </c>
      <c r="Z60" t="s">
        <v>186</v>
      </c>
      <c r="AA60" t="s">
        <v>187</v>
      </c>
      <c r="AB60" t="s">
        <v>96</v>
      </c>
      <c r="AC60" t="s">
        <v>97</v>
      </c>
      <c r="AD60" t="s">
        <v>98</v>
      </c>
      <c r="AG60" t="s">
        <v>188</v>
      </c>
      <c r="AH60">
        <v>0</v>
      </c>
      <c r="AI60">
        <v>222</v>
      </c>
      <c r="AJ60">
        <v>24</v>
      </c>
      <c r="AK60">
        <v>375</v>
      </c>
      <c r="AL60">
        <v>1.02</v>
      </c>
    </row>
    <row r="61" spans="1:38" x14ac:dyDescent="0.3">
      <c r="A61" t="s">
        <v>90</v>
      </c>
      <c r="B61">
        <v>120493</v>
      </c>
      <c r="C61">
        <v>4</v>
      </c>
      <c r="D61" t="s">
        <v>183</v>
      </c>
      <c r="E61" t="s">
        <v>184</v>
      </c>
      <c r="F61">
        <v>369</v>
      </c>
      <c r="G61">
        <v>25.17</v>
      </c>
      <c r="H61">
        <v>83.22</v>
      </c>
      <c r="I61">
        <v>18.14</v>
      </c>
      <c r="J61">
        <v>59.99</v>
      </c>
      <c r="K61">
        <v>156</v>
      </c>
      <c r="T61">
        <v>3</v>
      </c>
      <c r="U61">
        <v>2</v>
      </c>
      <c r="V61" t="s">
        <v>93</v>
      </c>
      <c r="W61" t="s">
        <v>115</v>
      </c>
      <c r="X61">
        <v>14</v>
      </c>
      <c r="Y61">
        <v>10</v>
      </c>
      <c r="Z61" t="s">
        <v>186</v>
      </c>
      <c r="AA61" t="s">
        <v>187</v>
      </c>
      <c r="AB61" t="s">
        <v>96</v>
      </c>
      <c r="AC61" t="s">
        <v>97</v>
      </c>
      <c r="AD61" t="s">
        <v>98</v>
      </c>
      <c r="AG61" t="s">
        <v>188</v>
      </c>
      <c r="AH61">
        <v>0</v>
      </c>
      <c r="AI61">
        <v>222</v>
      </c>
      <c r="AJ61">
        <v>24</v>
      </c>
      <c r="AK61">
        <v>375</v>
      </c>
      <c r="AL61">
        <v>1.02</v>
      </c>
    </row>
    <row r="62" spans="1:38" x14ac:dyDescent="0.3">
      <c r="A62" t="s">
        <v>90</v>
      </c>
      <c r="B62">
        <v>120493</v>
      </c>
      <c r="C62">
        <v>5</v>
      </c>
      <c r="D62" t="s">
        <v>183</v>
      </c>
      <c r="E62" t="s">
        <v>184</v>
      </c>
      <c r="F62">
        <v>369</v>
      </c>
      <c r="G62">
        <v>25.37</v>
      </c>
      <c r="H62">
        <v>83.9</v>
      </c>
      <c r="I62">
        <v>18.14</v>
      </c>
      <c r="J62">
        <v>59.99</v>
      </c>
      <c r="K62">
        <v>38</v>
      </c>
      <c r="T62">
        <v>3</v>
      </c>
      <c r="U62">
        <v>2</v>
      </c>
      <c r="V62" t="s">
        <v>93</v>
      </c>
      <c r="W62" t="s">
        <v>191</v>
      </c>
      <c r="X62">
        <v>14</v>
      </c>
      <c r="Y62">
        <v>10</v>
      </c>
      <c r="Z62" t="s">
        <v>186</v>
      </c>
      <c r="AA62" t="s">
        <v>187</v>
      </c>
      <c r="AB62" t="s">
        <v>96</v>
      </c>
      <c r="AC62" t="s">
        <v>97</v>
      </c>
      <c r="AD62" t="s">
        <v>98</v>
      </c>
      <c r="AG62" t="s">
        <v>188</v>
      </c>
      <c r="AH62">
        <v>0</v>
      </c>
      <c r="AI62">
        <v>222</v>
      </c>
      <c r="AJ62">
        <v>24</v>
      </c>
      <c r="AK62">
        <v>375</v>
      </c>
      <c r="AL62">
        <v>1.02</v>
      </c>
    </row>
    <row r="63" spans="1:38" x14ac:dyDescent="0.3">
      <c r="A63" t="s">
        <v>90</v>
      </c>
      <c r="B63">
        <v>120493</v>
      </c>
      <c r="C63">
        <v>6</v>
      </c>
      <c r="D63" t="s">
        <v>183</v>
      </c>
      <c r="E63" t="s">
        <v>184</v>
      </c>
      <c r="F63">
        <v>369</v>
      </c>
      <c r="G63">
        <v>25.35</v>
      </c>
      <c r="H63">
        <v>83.83</v>
      </c>
      <c r="I63">
        <v>18.14</v>
      </c>
      <c r="J63">
        <v>59.99</v>
      </c>
      <c r="K63">
        <v>35</v>
      </c>
      <c r="T63">
        <v>3</v>
      </c>
      <c r="U63">
        <v>2</v>
      </c>
      <c r="V63" t="s">
        <v>93</v>
      </c>
      <c r="W63" t="s">
        <v>116</v>
      </c>
      <c r="X63">
        <v>14</v>
      </c>
      <c r="Y63">
        <v>10</v>
      </c>
      <c r="Z63" t="s">
        <v>186</v>
      </c>
      <c r="AA63" t="s">
        <v>187</v>
      </c>
      <c r="AB63" t="s">
        <v>96</v>
      </c>
      <c r="AC63" t="s">
        <v>97</v>
      </c>
      <c r="AD63" t="s">
        <v>98</v>
      </c>
      <c r="AG63" t="s">
        <v>188</v>
      </c>
      <c r="AH63">
        <v>0</v>
      </c>
      <c r="AI63">
        <v>222</v>
      </c>
      <c r="AJ63">
        <v>24</v>
      </c>
      <c r="AK63">
        <v>375</v>
      </c>
      <c r="AL63">
        <v>1.02</v>
      </c>
    </row>
    <row r="64" spans="1:38" x14ac:dyDescent="0.3">
      <c r="A64" t="s">
        <v>90</v>
      </c>
      <c r="B64">
        <v>120493</v>
      </c>
      <c r="C64">
        <v>7</v>
      </c>
      <c r="D64" t="s">
        <v>183</v>
      </c>
      <c r="E64" t="s">
        <v>184</v>
      </c>
      <c r="F64">
        <v>369</v>
      </c>
      <c r="G64">
        <v>25.21</v>
      </c>
      <c r="H64">
        <v>83.37</v>
      </c>
      <c r="I64">
        <v>18.14</v>
      </c>
      <c r="J64">
        <v>59.99</v>
      </c>
      <c r="K64">
        <v>11</v>
      </c>
      <c r="T64">
        <v>3</v>
      </c>
      <c r="U64">
        <v>2</v>
      </c>
      <c r="V64" t="s">
        <v>93</v>
      </c>
      <c r="W64" t="s">
        <v>192</v>
      </c>
      <c r="X64">
        <v>14</v>
      </c>
      <c r="Y64">
        <v>10</v>
      </c>
      <c r="Z64" t="s">
        <v>186</v>
      </c>
      <c r="AA64" t="s">
        <v>187</v>
      </c>
      <c r="AB64" t="s">
        <v>96</v>
      </c>
      <c r="AC64" t="s">
        <v>97</v>
      </c>
      <c r="AD64" t="s">
        <v>98</v>
      </c>
      <c r="AG64" t="s">
        <v>188</v>
      </c>
      <c r="AH64">
        <v>0</v>
      </c>
      <c r="AI64">
        <v>222</v>
      </c>
      <c r="AJ64">
        <v>24</v>
      </c>
      <c r="AK64">
        <v>375</v>
      </c>
      <c r="AL64">
        <v>1.02</v>
      </c>
    </row>
    <row r="65" spans="1:38" x14ac:dyDescent="0.3">
      <c r="A65" t="s">
        <v>90</v>
      </c>
      <c r="B65">
        <v>2264</v>
      </c>
      <c r="C65">
        <v>1</v>
      </c>
      <c r="D65" t="s">
        <v>193</v>
      </c>
      <c r="E65" t="s">
        <v>194</v>
      </c>
      <c r="F65">
        <v>126</v>
      </c>
      <c r="G65">
        <v>14.56</v>
      </c>
      <c r="H65">
        <v>48.15</v>
      </c>
      <c r="I65">
        <v>11.7</v>
      </c>
      <c r="J65">
        <v>38.700000000000003</v>
      </c>
      <c r="K65">
        <v>126</v>
      </c>
      <c r="T65">
        <v>2</v>
      </c>
      <c r="U65">
        <v>1</v>
      </c>
      <c r="V65" t="s">
        <v>93</v>
      </c>
      <c r="W65">
        <v>48</v>
      </c>
      <c r="X65">
        <v>6</v>
      </c>
      <c r="Y65">
        <v>6</v>
      </c>
      <c r="Z65" t="s">
        <v>195</v>
      </c>
      <c r="AA65" t="s">
        <v>196</v>
      </c>
      <c r="AB65" t="s">
        <v>96</v>
      </c>
      <c r="AC65" t="s">
        <v>97</v>
      </c>
      <c r="AD65" t="s">
        <v>98</v>
      </c>
      <c r="AG65" t="s">
        <v>197</v>
      </c>
      <c r="AH65">
        <v>0</v>
      </c>
      <c r="AI65">
        <v>156</v>
      </c>
      <c r="AJ65">
        <v>26</v>
      </c>
      <c r="AK65">
        <v>0</v>
      </c>
      <c r="AL65">
        <v>0</v>
      </c>
    </row>
    <row r="66" spans="1:38" x14ac:dyDescent="0.3">
      <c r="A66" t="s">
        <v>90</v>
      </c>
      <c r="B66">
        <v>8507</v>
      </c>
      <c r="C66">
        <v>1</v>
      </c>
      <c r="D66" t="s">
        <v>198</v>
      </c>
      <c r="E66" t="s">
        <v>174</v>
      </c>
      <c r="F66">
        <v>25</v>
      </c>
      <c r="G66">
        <v>24.93</v>
      </c>
      <c r="H66">
        <v>82.42</v>
      </c>
      <c r="I66">
        <v>20.96</v>
      </c>
      <c r="J66">
        <v>69.3</v>
      </c>
      <c r="K66">
        <v>20</v>
      </c>
      <c r="T66">
        <v>3</v>
      </c>
      <c r="U66">
        <v>2</v>
      </c>
      <c r="V66" t="s">
        <v>93</v>
      </c>
      <c r="W66" t="s">
        <v>199</v>
      </c>
      <c r="X66">
        <v>5</v>
      </c>
      <c r="Y66">
        <v>5</v>
      </c>
      <c r="Z66" t="s">
        <v>200</v>
      </c>
      <c r="AA66" t="s">
        <v>201</v>
      </c>
      <c r="AB66" t="s">
        <v>96</v>
      </c>
      <c r="AC66" t="s">
        <v>97</v>
      </c>
      <c r="AD66" t="s">
        <v>98</v>
      </c>
      <c r="AG66" t="s">
        <v>202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90</v>
      </c>
      <c r="B67">
        <v>8507</v>
      </c>
      <c r="C67">
        <v>2</v>
      </c>
      <c r="D67" t="s">
        <v>198</v>
      </c>
      <c r="E67" t="s">
        <v>174</v>
      </c>
      <c r="F67">
        <v>25</v>
      </c>
      <c r="G67">
        <v>24.98</v>
      </c>
      <c r="H67">
        <v>82.61</v>
      </c>
      <c r="I67">
        <v>21.28</v>
      </c>
      <c r="J67">
        <v>70.38</v>
      </c>
      <c r="K67">
        <v>5</v>
      </c>
      <c r="T67">
        <v>3</v>
      </c>
      <c r="U67">
        <v>2</v>
      </c>
      <c r="V67" t="s">
        <v>93</v>
      </c>
      <c r="W67" t="s">
        <v>203</v>
      </c>
      <c r="X67">
        <v>5</v>
      </c>
      <c r="Y67">
        <v>5</v>
      </c>
      <c r="Z67" t="s">
        <v>200</v>
      </c>
      <c r="AA67" t="s">
        <v>201</v>
      </c>
      <c r="AB67" t="s">
        <v>96</v>
      </c>
      <c r="AC67" t="s">
        <v>97</v>
      </c>
      <c r="AD67" t="s">
        <v>98</v>
      </c>
      <c r="AG67" t="s">
        <v>202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90</v>
      </c>
      <c r="B68">
        <v>8450</v>
      </c>
      <c r="C68">
        <v>1</v>
      </c>
      <c r="D68" t="s">
        <v>204</v>
      </c>
      <c r="E68" t="s">
        <v>205</v>
      </c>
      <c r="F68">
        <v>408</v>
      </c>
      <c r="G68">
        <v>16.670000000000002</v>
      </c>
      <c r="H68">
        <v>55.11</v>
      </c>
      <c r="I68">
        <v>12.8</v>
      </c>
      <c r="J68">
        <v>42.33</v>
      </c>
      <c r="K68">
        <v>119</v>
      </c>
      <c r="T68">
        <v>2</v>
      </c>
      <c r="U68">
        <v>1</v>
      </c>
      <c r="V68" t="s">
        <v>93</v>
      </c>
      <c r="W68" t="s">
        <v>206</v>
      </c>
      <c r="X68">
        <v>6</v>
      </c>
      <c r="Y68">
        <v>6</v>
      </c>
      <c r="Z68" t="s">
        <v>207</v>
      </c>
      <c r="AA68" t="s">
        <v>208</v>
      </c>
      <c r="AB68" t="s">
        <v>96</v>
      </c>
      <c r="AC68" t="s">
        <v>97</v>
      </c>
      <c r="AD68" t="s">
        <v>98</v>
      </c>
      <c r="AG68" t="s">
        <v>209</v>
      </c>
      <c r="AH68">
        <v>0</v>
      </c>
      <c r="AI68">
        <v>186</v>
      </c>
      <c r="AJ68">
        <v>32</v>
      </c>
      <c r="AK68">
        <v>82</v>
      </c>
      <c r="AL68">
        <v>0.2</v>
      </c>
    </row>
    <row r="69" spans="1:38" x14ac:dyDescent="0.3">
      <c r="A69" t="s">
        <v>90</v>
      </c>
      <c r="B69">
        <v>8450</v>
      </c>
      <c r="C69">
        <v>2</v>
      </c>
      <c r="D69" t="s">
        <v>204</v>
      </c>
      <c r="E69" t="s">
        <v>205</v>
      </c>
      <c r="F69">
        <v>408</v>
      </c>
      <c r="G69">
        <v>16.66</v>
      </c>
      <c r="H69">
        <v>55.08</v>
      </c>
      <c r="I69">
        <v>12.79</v>
      </c>
      <c r="J69">
        <v>42.3</v>
      </c>
      <c r="K69">
        <v>1</v>
      </c>
      <c r="T69">
        <v>2</v>
      </c>
      <c r="U69">
        <v>1</v>
      </c>
      <c r="V69" t="s">
        <v>93</v>
      </c>
      <c r="W69" t="s">
        <v>210</v>
      </c>
      <c r="X69">
        <v>6</v>
      </c>
      <c r="Y69">
        <v>6</v>
      </c>
      <c r="Z69" t="s">
        <v>207</v>
      </c>
      <c r="AA69" t="s">
        <v>208</v>
      </c>
      <c r="AB69" t="s">
        <v>96</v>
      </c>
      <c r="AC69" t="s">
        <v>97</v>
      </c>
      <c r="AD69" t="s">
        <v>98</v>
      </c>
      <c r="AG69" t="s">
        <v>209</v>
      </c>
      <c r="AH69">
        <v>0</v>
      </c>
      <c r="AI69">
        <v>186</v>
      </c>
      <c r="AJ69">
        <v>32</v>
      </c>
      <c r="AK69">
        <v>82</v>
      </c>
      <c r="AL69">
        <v>0.2</v>
      </c>
    </row>
    <row r="70" spans="1:38" x14ac:dyDescent="0.3">
      <c r="A70" t="s">
        <v>90</v>
      </c>
      <c r="B70">
        <v>8450</v>
      </c>
      <c r="C70">
        <v>3</v>
      </c>
      <c r="D70" t="s">
        <v>204</v>
      </c>
      <c r="E70" t="s">
        <v>205</v>
      </c>
      <c r="F70">
        <v>408</v>
      </c>
      <c r="G70">
        <v>17.690000000000001</v>
      </c>
      <c r="H70">
        <v>58.51</v>
      </c>
      <c r="I70">
        <v>13.7</v>
      </c>
      <c r="J70">
        <v>45.3</v>
      </c>
      <c r="K70">
        <v>180</v>
      </c>
      <c r="T70">
        <v>2</v>
      </c>
      <c r="U70">
        <v>1</v>
      </c>
      <c r="V70" t="s">
        <v>93</v>
      </c>
      <c r="W70">
        <v>58</v>
      </c>
      <c r="X70">
        <v>6</v>
      </c>
      <c r="Y70">
        <v>6</v>
      </c>
      <c r="Z70" t="s">
        <v>207</v>
      </c>
      <c r="AA70" t="s">
        <v>208</v>
      </c>
      <c r="AB70" t="s">
        <v>96</v>
      </c>
      <c r="AC70" t="s">
        <v>97</v>
      </c>
      <c r="AD70" t="s">
        <v>98</v>
      </c>
      <c r="AG70" t="s">
        <v>209</v>
      </c>
      <c r="AH70">
        <v>0</v>
      </c>
      <c r="AI70">
        <v>186</v>
      </c>
      <c r="AJ70">
        <v>32</v>
      </c>
      <c r="AK70">
        <v>82</v>
      </c>
      <c r="AL70">
        <v>0.2</v>
      </c>
    </row>
    <row r="71" spans="1:38" x14ac:dyDescent="0.3">
      <c r="A71" t="s">
        <v>90</v>
      </c>
      <c r="B71">
        <v>8450</v>
      </c>
      <c r="C71">
        <v>4</v>
      </c>
      <c r="D71" t="s">
        <v>204</v>
      </c>
      <c r="E71" t="s">
        <v>205</v>
      </c>
      <c r="F71">
        <v>408</v>
      </c>
      <c r="G71">
        <v>18.02</v>
      </c>
      <c r="H71">
        <v>59.6</v>
      </c>
      <c r="I71">
        <v>13.91</v>
      </c>
      <c r="J71">
        <v>45.99</v>
      </c>
      <c r="K71">
        <v>36</v>
      </c>
      <c r="T71">
        <v>3</v>
      </c>
      <c r="U71">
        <v>1</v>
      </c>
      <c r="V71" t="s">
        <v>93</v>
      </c>
      <c r="W71">
        <v>59</v>
      </c>
      <c r="X71">
        <v>6</v>
      </c>
      <c r="Y71">
        <v>6</v>
      </c>
      <c r="Z71" t="s">
        <v>207</v>
      </c>
      <c r="AA71" t="s">
        <v>208</v>
      </c>
      <c r="AB71" t="s">
        <v>96</v>
      </c>
      <c r="AC71" t="s">
        <v>97</v>
      </c>
      <c r="AD71" t="s">
        <v>98</v>
      </c>
      <c r="AG71" t="s">
        <v>209</v>
      </c>
      <c r="AH71">
        <v>0</v>
      </c>
      <c r="AI71">
        <v>186</v>
      </c>
      <c r="AJ71">
        <v>32</v>
      </c>
      <c r="AK71">
        <v>82</v>
      </c>
      <c r="AL71">
        <v>0.2</v>
      </c>
    </row>
    <row r="72" spans="1:38" x14ac:dyDescent="0.3">
      <c r="A72" t="s">
        <v>90</v>
      </c>
      <c r="B72">
        <v>8450</v>
      </c>
      <c r="C72">
        <v>5</v>
      </c>
      <c r="D72" t="s">
        <v>204</v>
      </c>
      <c r="E72" t="s">
        <v>205</v>
      </c>
      <c r="F72">
        <v>408</v>
      </c>
      <c r="G72">
        <v>21.04</v>
      </c>
      <c r="H72">
        <v>69.569999999999993</v>
      </c>
      <c r="I72">
        <v>16.489999999999998</v>
      </c>
      <c r="J72">
        <v>54.54</v>
      </c>
      <c r="K72">
        <v>72</v>
      </c>
      <c r="T72">
        <v>3</v>
      </c>
      <c r="U72">
        <v>1</v>
      </c>
      <c r="V72" t="s">
        <v>93</v>
      </c>
      <c r="W72">
        <v>69</v>
      </c>
      <c r="X72">
        <v>6</v>
      </c>
      <c r="Y72">
        <v>6</v>
      </c>
      <c r="Z72" t="s">
        <v>207</v>
      </c>
      <c r="AA72" t="s">
        <v>208</v>
      </c>
      <c r="AB72" t="s">
        <v>96</v>
      </c>
      <c r="AC72" t="s">
        <v>97</v>
      </c>
      <c r="AD72" t="s">
        <v>98</v>
      </c>
      <c r="AG72" t="s">
        <v>209</v>
      </c>
      <c r="AH72">
        <v>0</v>
      </c>
      <c r="AI72">
        <v>186</v>
      </c>
      <c r="AJ72">
        <v>32</v>
      </c>
      <c r="AK72">
        <v>82</v>
      </c>
      <c r="AL72">
        <v>0.2</v>
      </c>
    </row>
    <row r="73" spans="1:38" x14ac:dyDescent="0.3">
      <c r="A73" t="s">
        <v>90</v>
      </c>
      <c r="B73">
        <v>2263</v>
      </c>
      <c r="C73">
        <v>1</v>
      </c>
      <c r="D73" t="s">
        <v>211</v>
      </c>
      <c r="E73" t="s">
        <v>212</v>
      </c>
      <c r="F73">
        <v>574</v>
      </c>
      <c r="G73">
        <v>26.3</v>
      </c>
      <c r="H73">
        <v>86.97</v>
      </c>
      <c r="I73">
        <v>20.58</v>
      </c>
      <c r="J73">
        <v>68.05</v>
      </c>
      <c r="K73">
        <v>460</v>
      </c>
      <c r="T73">
        <v>3</v>
      </c>
      <c r="U73">
        <v>1</v>
      </c>
      <c r="V73" t="s">
        <v>93</v>
      </c>
      <c r="W73">
        <v>86</v>
      </c>
      <c r="X73">
        <v>24</v>
      </c>
      <c r="Y73">
        <v>19</v>
      </c>
      <c r="Z73" t="s">
        <v>213</v>
      </c>
      <c r="AA73" t="s">
        <v>214</v>
      </c>
      <c r="AB73" t="s">
        <v>96</v>
      </c>
      <c r="AC73" t="s">
        <v>97</v>
      </c>
      <c r="AD73" t="s">
        <v>98</v>
      </c>
      <c r="AG73" t="s">
        <v>215</v>
      </c>
      <c r="AH73">
        <v>0</v>
      </c>
      <c r="AI73">
        <v>249</v>
      </c>
      <c r="AJ73">
        <v>20</v>
      </c>
      <c r="AK73">
        <v>628</v>
      </c>
      <c r="AL73">
        <v>1.0900000000000001</v>
      </c>
    </row>
    <row r="74" spans="1:38" x14ac:dyDescent="0.3">
      <c r="A74" t="s">
        <v>90</v>
      </c>
      <c r="B74">
        <v>2263</v>
      </c>
      <c r="C74">
        <v>2</v>
      </c>
      <c r="D74" t="s">
        <v>211</v>
      </c>
      <c r="E74" t="s">
        <v>212</v>
      </c>
      <c r="F74">
        <v>574</v>
      </c>
      <c r="G74">
        <v>31.45</v>
      </c>
      <c r="H74">
        <v>103.98</v>
      </c>
      <c r="I74">
        <v>25.45</v>
      </c>
      <c r="J74">
        <v>84.16</v>
      </c>
      <c r="K74">
        <v>114</v>
      </c>
      <c r="T74">
        <v>3</v>
      </c>
      <c r="U74">
        <v>2</v>
      </c>
      <c r="V74" t="s">
        <v>93</v>
      </c>
      <c r="W74">
        <v>103</v>
      </c>
      <c r="X74">
        <v>24</v>
      </c>
      <c r="Y74">
        <v>19</v>
      </c>
      <c r="Z74" t="s">
        <v>213</v>
      </c>
      <c r="AA74" t="s">
        <v>214</v>
      </c>
      <c r="AB74" t="s">
        <v>96</v>
      </c>
      <c r="AC74" t="s">
        <v>97</v>
      </c>
      <c r="AD74" t="s">
        <v>98</v>
      </c>
      <c r="AG74" t="s">
        <v>215</v>
      </c>
      <c r="AH74">
        <v>0</v>
      </c>
      <c r="AI74">
        <v>249</v>
      </c>
      <c r="AJ74">
        <v>20</v>
      </c>
      <c r="AK74">
        <v>628</v>
      </c>
      <c r="AL74">
        <v>1.0900000000000001</v>
      </c>
    </row>
    <row r="75" spans="1:38" x14ac:dyDescent="0.3">
      <c r="A75" t="s">
        <v>90</v>
      </c>
      <c r="B75">
        <v>9695</v>
      </c>
      <c r="C75">
        <v>1</v>
      </c>
      <c r="D75" t="s">
        <v>216</v>
      </c>
      <c r="E75" t="s">
        <v>217</v>
      </c>
      <c r="F75">
        <v>137</v>
      </c>
      <c r="G75">
        <v>15.35</v>
      </c>
      <c r="H75">
        <v>50.76</v>
      </c>
      <c r="I75">
        <v>11.8</v>
      </c>
      <c r="J75">
        <v>39.04</v>
      </c>
      <c r="K75">
        <v>10</v>
      </c>
      <c r="T75">
        <v>1</v>
      </c>
      <c r="U75">
        <v>1</v>
      </c>
      <c r="V75" t="s">
        <v>93</v>
      </c>
      <c r="W75">
        <v>50</v>
      </c>
      <c r="X75">
        <v>12</v>
      </c>
      <c r="Y75">
        <v>7</v>
      </c>
      <c r="Z75" t="s">
        <v>218</v>
      </c>
      <c r="AA75" t="s">
        <v>219</v>
      </c>
      <c r="AB75" t="s">
        <v>96</v>
      </c>
      <c r="AC75" t="s">
        <v>97</v>
      </c>
      <c r="AD75" t="s">
        <v>98</v>
      </c>
      <c r="AG75" t="s">
        <v>220</v>
      </c>
      <c r="AH75">
        <v>0</v>
      </c>
      <c r="AI75">
        <v>345</v>
      </c>
      <c r="AJ75">
        <v>33</v>
      </c>
      <c r="AK75">
        <v>144</v>
      </c>
      <c r="AL75">
        <v>1.05</v>
      </c>
    </row>
    <row r="76" spans="1:38" x14ac:dyDescent="0.3">
      <c r="A76" t="s">
        <v>90</v>
      </c>
      <c r="B76">
        <v>9695</v>
      </c>
      <c r="C76">
        <v>2</v>
      </c>
      <c r="D76" t="s">
        <v>216</v>
      </c>
      <c r="E76" t="s">
        <v>217</v>
      </c>
      <c r="F76">
        <v>137</v>
      </c>
      <c r="G76">
        <v>24.85</v>
      </c>
      <c r="H76">
        <v>82.17</v>
      </c>
      <c r="I76">
        <v>19.11</v>
      </c>
      <c r="J76">
        <v>63.2</v>
      </c>
      <c r="K76">
        <v>48</v>
      </c>
      <c r="T76">
        <v>3</v>
      </c>
      <c r="U76">
        <v>2</v>
      </c>
      <c r="V76" t="s">
        <v>93</v>
      </c>
      <c r="W76">
        <v>82</v>
      </c>
      <c r="X76">
        <v>12</v>
      </c>
      <c r="Y76">
        <v>7</v>
      </c>
      <c r="Z76" t="s">
        <v>218</v>
      </c>
      <c r="AA76" t="s">
        <v>219</v>
      </c>
      <c r="AB76" t="s">
        <v>96</v>
      </c>
      <c r="AC76" t="s">
        <v>97</v>
      </c>
      <c r="AD76" t="s">
        <v>98</v>
      </c>
      <c r="AG76" t="s">
        <v>220</v>
      </c>
      <c r="AH76">
        <v>0</v>
      </c>
      <c r="AI76">
        <v>345</v>
      </c>
      <c r="AJ76">
        <v>33</v>
      </c>
      <c r="AK76">
        <v>144</v>
      </c>
      <c r="AL76">
        <v>1.05</v>
      </c>
    </row>
    <row r="77" spans="1:38" x14ac:dyDescent="0.3">
      <c r="A77" t="s">
        <v>90</v>
      </c>
      <c r="B77">
        <v>9695</v>
      </c>
      <c r="C77">
        <v>3</v>
      </c>
      <c r="D77" t="s">
        <v>216</v>
      </c>
      <c r="E77" t="s">
        <v>217</v>
      </c>
      <c r="F77">
        <v>137</v>
      </c>
      <c r="G77">
        <v>33.159999999999997</v>
      </c>
      <c r="H77">
        <v>109.62</v>
      </c>
      <c r="I77">
        <v>25.5</v>
      </c>
      <c r="J77">
        <v>84.31</v>
      </c>
      <c r="K77">
        <v>69</v>
      </c>
      <c r="T77">
        <v>3</v>
      </c>
      <c r="U77">
        <v>2</v>
      </c>
      <c r="V77" t="s">
        <v>93</v>
      </c>
      <c r="W77">
        <v>109</v>
      </c>
      <c r="X77">
        <v>12</v>
      </c>
      <c r="Y77">
        <v>7</v>
      </c>
      <c r="Z77" t="s">
        <v>218</v>
      </c>
      <c r="AA77" t="s">
        <v>219</v>
      </c>
      <c r="AB77" t="s">
        <v>96</v>
      </c>
      <c r="AC77" t="s">
        <v>97</v>
      </c>
      <c r="AD77" t="s">
        <v>98</v>
      </c>
      <c r="AG77" t="s">
        <v>220</v>
      </c>
      <c r="AH77">
        <v>0</v>
      </c>
      <c r="AI77">
        <v>345</v>
      </c>
      <c r="AJ77">
        <v>33</v>
      </c>
      <c r="AK77">
        <v>144</v>
      </c>
      <c r="AL77">
        <v>1.05</v>
      </c>
    </row>
    <row r="78" spans="1:38" x14ac:dyDescent="0.3">
      <c r="A78" t="s">
        <v>90</v>
      </c>
      <c r="B78">
        <v>9695</v>
      </c>
      <c r="C78">
        <v>4</v>
      </c>
      <c r="D78" t="s">
        <v>216</v>
      </c>
      <c r="E78" t="s">
        <v>217</v>
      </c>
      <c r="F78">
        <v>137</v>
      </c>
      <c r="G78">
        <v>36.119999999999997</v>
      </c>
      <c r="H78">
        <v>119.43</v>
      </c>
      <c r="I78">
        <v>27.78</v>
      </c>
      <c r="J78">
        <v>91.86</v>
      </c>
      <c r="K78">
        <v>10</v>
      </c>
      <c r="T78">
        <v>3</v>
      </c>
      <c r="U78">
        <v>2</v>
      </c>
      <c r="V78" t="s">
        <v>93</v>
      </c>
      <c r="W78">
        <v>119</v>
      </c>
      <c r="X78">
        <v>12</v>
      </c>
      <c r="Y78">
        <v>7</v>
      </c>
      <c r="Z78" t="s">
        <v>218</v>
      </c>
      <c r="AA78" t="s">
        <v>219</v>
      </c>
      <c r="AB78" t="s">
        <v>96</v>
      </c>
      <c r="AC78" t="s">
        <v>97</v>
      </c>
      <c r="AD78" t="s">
        <v>98</v>
      </c>
      <c r="AG78" t="s">
        <v>220</v>
      </c>
      <c r="AH78">
        <v>0</v>
      </c>
      <c r="AI78">
        <v>345</v>
      </c>
      <c r="AJ78">
        <v>33</v>
      </c>
      <c r="AK78">
        <v>144</v>
      </c>
      <c r="AL78">
        <v>1.05</v>
      </c>
    </row>
    <row r="79" spans="1:38" x14ac:dyDescent="0.3">
      <c r="A79" t="s">
        <v>90</v>
      </c>
      <c r="B79">
        <v>141839</v>
      </c>
      <c r="C79">
        <v>1</v>
      </c>
      <c r="D79" t="s">
        <v>221</v>
      </c>
      <c r="E79" t="s">
        <v>222</v>
      </c>
      <c r="F79">
        <v>32</v>
      </c>
      <c r="G79">
        <v>11.29</v>
      </c>
      <c r="H79">
        <v>37.33</v>
      </c>
      <c r="I79">
        <v>10.119999999999999</v>
      </c>
      <c r="J79">
        <v>33.479999999999997</v>
      </c>
      <c r="K79">
        <v>4</v>
      </c>
      <c r="T79">
        <v>1</v>
      </c>
      <c r="U79">
        <v>1</v>
      </c>
      <c r="V79" t="s">
        <v>93</v>
      </c>
      <c r="W79">
        <v>37</v>
      </c>
      <c r="X79">
        <v>5</v>
      </c>
      <c r="Y79">
        <v>5</v>
      </c>
      <c r="Z79" t="s">
        <v>223</v>
      </c>
      <c r="AA79" t="s">
        <v>224</v>
      </c>
      <c r="AB79" t="s">
        <v>96</v>
      </c>
      <c r="AC79" t="s">
        <v>97</v>
      </c>
      <c r="AD79" t="s">
        <v>98</v>
      </c>
      <c r="AG79" t="s">
        <v>225</v>
      </c>
      <c r="AH79">
        <v>0</v>
      </c>
      <c r="AI79">
        <v>0</v>
      </c>
      <c r="AJ79">
        <v>0</v>
      </c>
      <c r="AK79">
        <v>14</v>
      </c>
      <c r="AL79">
        <v>0.44</v>
      </c>
    </row>
    <row r="80" spans="1:38" x14ac:dyDescent="0.3">
      <c r="A80" t="s">
        <v>90</v>
      </c>
      <c r="B80">
        <v>141839</v>
      </c>
      <c r="C80">
        <v>2</v>
      </c>
      <c r="D80" t="s">
        <v>221</v>
      </c>
      <c r="E80" t="s">
        <v>222</v>
      </c>
      <c r="F80">
        <v>32</v>
      </c>
      <c r="G80">
        <v>13.99</v>
      </c>
      <c r="H80">
        <v>46.26</v>
      </c>
      <c r="I80">
        <v>12.54</v>
      </c>
      <c r="J80">
        <v>41.48</v>
      </c>
      <c r="K80">
        <v>4</v>
      </c>
      <c r="T80">
        <v>1</v>
      </c>
      <c r="U80">
        <v>1</v>
      </c>
      <c r="V80" t="s">
        <v>93</v>
      </c>
      <c r="W80" t="s">
        <v>226</v>
      </c>
      <c r="X80">
        <v>5</v>
      </c>
      <c r="Y80">
        <v>5</v>
      </c>
      <c r="Z80" t="s">
        <v>223</v>
      </c>
      <c r="AA80" t="s">
        <v>224</v>
      </c>
      <c r="AB80" t="s">
        <v>96</v>
      </c>
      <c r="AC80" t="s">
        <v>97</v>
      </c>
      <c r="AD80" t="s">
        <v>98</v>
      </c>
      <c r="AG80" t="s">
        <v>225</v>
      </c>
      <c r="AH80">
        <v>0</v>
      </c>
      <c r="AI80">
        <v>0</v>
      </c>
      <c r="AJ80">
        <v>0</v>
      </c>
      <c r="AK80">
        <v>14</v>
      </c>
      <c r="AL80">
        <v>0.44</v>
      </c>
    </row>
    <row r="81" spans="1:38" x14ac:dyDescent="0.3">
      <c r="A81" t="s">
        <v>90</v>
      </c>
      <c r="B81">
        <v>141839</v>
      </c>
      <c r="C81">
        <v>3</v>
      </c>
      <c r="D81" t="s">
        <v>221</v>
      </c>
      <c r="E81" t="s">
        <v>222</v>
      </c>
      <c r="F81">
        <v>32</v>
      </c>
      <c r="G81">
        <v>14.27</v>
      </c>
      <c r="H81">
        <v>47.19</v>
      </c>
      <c r="I81">
        <v>12.79</v>
      </c>
      <c r="J81">
        <v>42.31</v>
      </c>
      <c r="K81">
        <v>8</v>
      </c>
      <c r="T81">
        <v>1</v>
      </c>
      <c r="U81">
        <v>1</v>
      </c>
      <c r="V81" t="s">
        <v>93</v>
      </c>
      <c r="W81" t="s">
        <v>227</v>
      </c>
      <c r="X81">
        <v>5</v>
      </c>
      <c r="Y81">
        <v>5</v>
      </c>
      <c r="Z81" t="s">
        <v>223</v>
      </c>
      <c r="AA81" t="s">
        <v>224</v>
      </c>
      <c r="AB81" t="s">
        <v>96</v>
      </c>
      <c r="AC81" t="s">
        <v>97</v>
      </c>
      <c r="AD81" t="s">
        <v>98</v>
      </c>
      <c r="AG81" t="s">
        <v>225</v>
      </c>
      <c r="AH81">
        <v>0</v>
      </c>
      <c r="AI81">
        <v>0</v>
      </c>
      <c r="AJ81">
        <v>0</v>
      </c>
      <c r="AK81">
        <v>14</v>
      </c>
      <c r="AL81">
        <v>0.44</v>
      </c>
    </row>
    <row r="82" spans="1:38" x14ac:dyDescent="0.3">
      <c r="A82" t="s">
        <v>90</v>
      </c>
      <c r="B82">
        <v>141839</v>
      </c>
      <c r="C82">
        <v>4</v>
      </c>
      <c r="D82" t="s">
        <v>221</v>
      </c>
      <c r="E82" t="s">
        <v>222</v>
      </c>
      <c r="F82">
        <v>32</v>
      </c>
      <c r="G82">
        <v>15.91</v>
      </c>
      <c r="H82">
        <v>52.61</v>
      </c>
      <c r="I82">
        <v>14.41</v>
      </c>
      <c r="J82">
        <v>47.64</v>
      </c>
      <c r="K82">
        <v>16</v>
      </c>
      <c r="T82">
        <v>2</v>
      </c>
      <c r="U82">
        <v>1</v>
      </c>
      <c r="V82" t="s">
        <v>93</v>
      </c>
      <c r="W82">
        <v>52</v>
      </c>
      <c r="X82">
        <v>5</v>
      </c>
      <c r="Y82">
        <v>5</v>
      </c>
      <c r="Z82" t="s">
        <v>223</v>
      </c>
      <c r="AA82" t="s">
        <v>224</v>
      </c>
      <c r="AB82" t="s">
        <v>96</v>
      </c>
      <c r="AC82" t="s">
        <v>97</v>
      </c>
      <c r="AD82" t="s">
        <v>98</v>
      </c>
      <c r="AG82" t="s">
        <v>225</v>
      </c>
      <c r="AH82">
        <v>0</v>
      </c>
      <c r="AI82">
        <v>0</v>
      </c>
      <c r="AJ82">
        <v>0</v>
      </c>
      <c r="AK82">
        <v>14</v>
      </c>
      <c r="AL82">
        <v>0.44</v>
      </c>
    </row>
    <row r="83" spans="1:38" x14ac:dyDescent="0.3">
      <c r="A83" t="s">
        <v>90</v>
      </c>
      <c r="B83">
        <v>8509</v>
      </c>
      <c r="C83">
        <v>1</v>
      </c>
      <c r="D83" t="s">
        <v>228</v>
      </c>
      <c r="E83" t="s">
        <v>229</v>
      </c>
      <c r="F83">
        <v>460</v>
      </c>
      <c r="G83">
        <v>15.59</v>
      </c>
      <c r="H83">
        <v>51.56</v>
      </c>
      <c r="I83">
        <v>11.37</v>
      </c>
      <c r="J83">
        <v>37.61</v>
      </c>
      <c r="K83">
        <v>90</v>
      </c>
      <c r="T83">
        <v>2</v>
      </c>
      <c r="U83">
        <v>1</v>
      </c>
      <c r="V83" t="s">
        <v>93</v>
      </c>
      <c r="W83">
        <v>51</v>
      </c>
      <c r="X83">
        <v>5</v>
      </c>
      <c r="Y83">
        <v>5</v>
      </c>
      <c r="Z83" t="s">
        <v>230</v>
      </c>
      <c r="AA83" t="s">
        <v>231</v>
      </c>
      <c r="AB83" t="s">
        <v>96</v>
      </c>
      <c r="AC83" t="s">
        <v>97</v>
      </c>
      <c r="AD83" t="s">
        <v>98</v>
      </c>
      <c r="AG83" t="s">
        <v>232</v>
      </c>
      <c r="AH83">
        <v>0</v>
      </c>
      <c r="AI83">
        <v>150</v>
      </c>
      <c r="AJ83">
        <v>30</v>
      </c>
      <c r="AK83">
        <v>230</v>
      </c>
      <c r="AL83">
        <v>0.5</v>
      </c>
    </row>
    <row r="84" spans="1:38" x14ac:dyDescent="0.3">
      <c r="A84" t="s">
        <v>90</v>
      </c>
      <c r="B84">
        <v>8509</v>
      </c>
      <c r="C84">
        <v>2</v>
      </c>
      <c r="D84" t="s">
        <v>228</v>
      </c>
      <c r="E84" t="s">
        <v>229</v>
      </c>
      <c r="F84">
        <v>460</v>
      </c>
      <c r="G84">
        <v>16.59</v>
      </c>
      <c r="H84">
        <v>54.85</v>
      </c>
      <c r="I84">
        <v>12.2</v>
      </c>
      <c r="J84">
        <v>40.36</v>
      </c>
      <c r="K84">
        <v>80</v>
      </c>
      <c r="T84">
        <v>2</v>
      </c>
      <c r="U84">
        <v>1</v>
      </c>
      <c r="V84" t="s">
        <v>93</v>
      </c>
      <c r="W84">
        <v>54</v>
      </c>
      <c r="X84">
        <v>5</v>
      </c>
      <c r="Y84">
        <v>5</v>
      </c>
      <c r="Z84" t="s">
        <v>230</v>
      </c>
      <c r="AA84" t="s">
        <v>231</v>
      </c>
      <c r="AB84" t="s">
        <v>96</v>
      </c>
      <c r="AC84" t="s">
        <v>97</v>
      </c>
      <c r="AD84" t="s">
        <v>98</v>
      </c>
      <c r="AG84" t="s">
        <v>232</v>
      </c>
      <c r="AH84">
        <v>0</v>
      </c>
      <c r="AI84">
        <v>150</v>
      </c>
      <c r="AJ84">
        <v>30</v>
      </c>
      <c r="AK84">
        <v>230</v>
      </c>
      <c r="AL84">
        <v>0.5</v>
      </c>
    </row>
    <row r="85" spans="1:38" x14ac:dyDescent="0.3">
      <c r="A85" t="s">
        <v>90</v>
      </c>
      <c r="B85">
        <v>8509</v>
      </c>
      <c r="C85">
        <v>3</v>
      </c>
      <c r="D85" t="s">
        <v>228</v>
      </c>
      <c r="E85" t="s">
        <v>229</v>
      </c>
      <c r="F85">
        <v>460</v>
      </c>
      <c r="G85">
        <v>17.579999999999998</v>
      </c>
      <c r="H85">
        <v>58.14</v>
      </c>
      <c r="I85">
        <v>13.03</v>
      </c>
      <c r="J85">
        <v>43.1</v>
      </c>
      <c r="K85">
        <v>80</v>
      </c>
      <c r="T85">
        <v>2</v>
      </c>
      <c r="U85">
        <v>1</v>
      </c>
      <c r="V85" t="s">
        <v>93</v>
      </c>
      <c r="W85">
        <v>58</v>
      </c>
      <c r="X85">
        <v>5</v>
      </c>
      <c r="Y85">
        <v>5</v>
      </c>
      <c r="Z85" t="s">
        <v>230</v>
      </c>
      <c r="AA85" t="s">
        <v>231</v>
      </c>
      <c r="AB85" t="s">
        <v>96</v>
      </c>
      <c r="AC85" t="s">
        <v>97</v>
      </c>
      <c r="AD85" t="s">
        <v>98</v>
      </c>
      <c r="AG85" t="s">
        <v>232</v>
      </c>
      <c r="AH85">
        <v>0</v>
      </c>
      <c r="AI85">
        <v>150</v>
      </c>
      <c r="AJ85">
        <v>30</v>
      </c>
      <c r="AK85">
        <v>230</v>
      </c>
      <c r="AL85">
        <v>0.5</v>
      </c>
    </row>
    <row r="86" spans="1:38" x14ac:dyDescent="0.3">
      <c r="A86" t="s">
        <v>90</v>
      </c>
      <c r="B86">
        <v>8509</v>
      </c>
      <c r="C86">
        <v>4</v>
      </c>
      <c r="D86" t="s">
        <v>228</v>
      </c>
      <c r="E86" t="s">
        <v>229</v>
      </c>
      <c r="F86">
        <v>460</v>
      </c>
      <c r="G86">
        <v>18.86</v>
      </c>
      <c r="H86">
        <v>62.36</v>
      </c>
      <c r="I86">
        <v>14.09</v>
      </c>
      <c r="J86">
        <v>46.61</v>
      </c>
      <c r="K86">
        <v>80</v>
      </c>
      <c r="T86">
        <v>3</v>
      </c>
      <c r="U86">
        <v>1</v>
      </c>
      <c r="V86" t="s">
        <v>93</v>
      </c>
      <c r="W86">
        <v>62</v>
      </c>
      <c r="X86">
        <v>5</v>
      </c>
      <c r="Y86">
        <v>5</v>
      </c>
      <c r="Z86" t="s">
        <v>230</v>
      </c>
      <c r="AA86" t="s">
        <v>231</v>
      </c>
      <c r="AB86" t="s">
        <v>96</v>
      </c>
      <c r="AC86" t="s">
        <v>97</v>
      </c>
      <c r="AD86" t="s">
        <v>98</v>
      </c>
      <c r="AG86" t="s">
        <v>232</v>
      </c>
      <c r="AH86">
        <v>0</v>
      </c>
      <c r="AI86">
        <v>150</v>
      </c>
      <c r="AJ86">
        <v>30</v>
      </c>
      <c r="AK86">
        <v>230</v>
      </c>
      <c r="AL86">
        <v>0.5</v>
      </c>
    </row>
    <row r="87" spans="1:38" x14ac:dyDescent="0.3">
      <c r="A87" t="s">
        <v>90</v>
      </c>
      <c r="B87">
        <v>8509</v>
      </c>
      <c r="C87">
        <v>5</v>
      </c>
      <c r="D87" t="s">
        <v>228</v>
      </c>
      <c r="E87" t="s">
        <v>229</v>
      </c>
      <c r="F87">
        <v>460</v>
      </c>
      <c r="G87">
        <v>19.82</v>
      </c>
      <c r="H87">
        <v>65.540000000000006</v>
      </c>
      <c r="I87">
        <v>14.9</v>
      </c>
      <c r="J87">
        <v>49.27</v>
      </c>
      <c r="K87">
        <v>100</v>
      </c>
      <c r="T87">
        <v>3</v>
      </c>
      <c r="U87">
        <v>1</v>
      </c>
      <c r="V87" t="s">
        <v>93</v>
      </c>
      <c r="W87">
        <v>65</v>
      </c>
      <c r="X87">
        <v>5</v>
      </c>
      <c r="Y87">
        <v>5</v>
      </c>
      <c r="Z87" t="s">
        <v>230</v>
      </c>
      <c r="AA87" t="s">
        <v>231</v>
      </c>
      <c r="AB87" t="s">
        <v>96</v>
      </c>
      <c r="AC87" t="s">
        <v>97</v>
      </c>
      <c r="AD87" t="s">
        <v>98</v>
      </c>
      <c r="AG87" t="s">
        <v>232</v>
      </c>
      <c r="AH87">
        <v>0</v>
      </c>
      <c r="AI87">
        <v>150</v>
      </c>
      <c r="AJ87">
        <v>30</v>
      </c>
      <c r="AK87">
        <v>230</v>
      </c>
      <c r="AL87">
        <v>0.5</v>
      </c>
    </row>
    <row r="88" spans="1:38" x14ac:dyDescent="0.3">
      <c r="A88" t="s">
        <v>90</v>
      </c>
      <c r="B88">
        <v>8509</v>
      </c>
      <c r="C88">
        <v>6</v>
      </c>
      <c r="D88" t="s">
        <v>228</v>
      </c>
      <c r="E88" t="s">
        <v>229</v>
      </c>
      <c r="F88">
        <v>460</v>
      </c>
      <c r="G88">
        <v>20.79</v>
      </c>
      <c r="H88">
        <v>68.73</v>
      </c>
      <c r="I88">
        <v>15.7</v>
      </c>
      <c r="J88">
        <v>51.92</v>
      </c>
      <c r="K88">
        <v>30</v>
      </c>
      <c r="T88">
        <v>3</v>
      </c>
      <c r="U88">
        <v>1</v>
      </c>
      <c r="V88" t="s">
        <v>93</v>
      </c>
      <c r="W88">
        <v>68</v>
      </c>
      <c r="X88">
        <v>5</v>
      </c>
      <c r="Y88">
        <v>5</v>
      </c>
      <c r="Z88" t="s">
        <v>230</v>
      </c>
      <c r="AA88" t="s">
        <v>231</v>
      </c>
      <c r="AB88" t="s">
        <v>96</v>
      </c>
      <c r="AC88" t="s">
        <v>97</v>
      </c>
      <c r="AD88" t="s">
        <v>98</v>
      </c>
      <c r="AG88" t="s">
        <v>232</v>
      </c>
      <c r="AH88">
        <v>0</v>
      </c>
      <c r="AI88">
        <v>150</v>
      </c>
      <c r="AJ88">
        <v>30</v>
      </c>
      <c r="AK88">
        <v>230</v>
      </c>
      <c r="AL88">
        <v>0.5</v>
      </c>
    </row>
    <row r="89" spans="1:38" x14ac:dyDescent="0.3">
      <c r="A89" t="s">
        <v>90</v>
      </c>
      <c r="B89">
        <v>8521</v>
      </c>
      <c r="C89">
        <v>1</v>
      </c>
      <c r="D89" t="s">
        <v>233</v>
      </c>
      <c r="E89" t="s">
        <v>234</v>
      </c>
      <c r="F89">
        <v>40</v>
      </c>
      <c r="G89">
        <v>18.97</v>
      </c>
      <c r="H89">
        <v>62.72</v>
      </c>
      <c r="I89">
        <v>14.22</v>
      </c>
      <c r="J89">
        <v>47.03</v>
      </c>
      <c r="K89">
        <v>40</v>
      </c>
      <c r="T89">
        <v>2</v>
      </c>
      <c r="U89">
        <v>1</v>
      </c>
      <c r="V89" t="s">
        <v>93</v>
      </c>
      <c r="W89">
        <v>62</v>
      </c>
      <c r="X89">
        <v>5</v>
      </c>
      <c r="Y89">
        <v>5</v>
      </c>
      <c r="Z89" t="s">
        <v>235</v>
      </c>
      <c r="AA89" t="s">
        <v>236</v>
      </c>
      <c r="AB89" t="s">
        <v>96</v>
      </c>
      <c r="AC89" t="s">
        <v>97</v>
      </c>
      <c r="AD89" t="s">
        <v>98</v>
      </c>
      <c r="AG89" t="s">
        <v>237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90</v>
      </c>
      <c r="B90">
        <v>8530</v>
      </c>
      <c r="C90">
        <v>1</v>
      </c>
      <c r="D90" t="s">
        <v>238</v>
      </c>
      <c r="E90" t="s">
        <v>239</v>
      </c>
      <c r="F90">
        <v>110</v>
      </c>
      <c r="G90">
        <v>15.02</v>
      </c>
      <c r="H90">
        <v>49.68</v>
      </c>
      <c r="I90">
        <v>11.76</v>
      </c>
      <c r="J90">
        <v>38.880000000000003</v>
      </c>
      <c r="K90">
        <v>5</v>
      </c>
      <c r="T90">
        <v>2</v>
      </c>
      <c r="U90">
        <v>1</v>
      </c>
      <c r="V90" t="s">
        <v>93</v>
      </c>
      <c r="W90">
        <v>49</v>
      </c>
      <c r="X90">
        <v>5</v>
      </c>
      <c r="Y90">
        <v>5</v>
      </c>
      <c r="Z90" t="s">
        <v>240</v>
      </c>
      <c r="AA90" t="s">
        <v>241</v>
      </c>
      <c r="AB90" t="s">
        <v>96</v>
      </c>
      <c r="AC90" t="s">
        <v>97</v>
      </c>
      <c r="AD90" t="s">
        <v>98</v>
      </c>
      <c r="AG90" t="s">
        <v>242</v>
      </c>
      <c r="AH90">
        <v>0</v>
      </c>
      <c r="AI90">
        <v>118</v>
      </c>
      <c r="AJ90">
        <v>23</v>
      </c>
      <c r="AK90">
        <v>0</v>
      </c>
      <c r="AL90">
        <v>0</v>
      </c>
    </row>
    <row r="91" spans="1:38" x14ac:dyDescent="0.3">
      <c r="A91" t="s">
        <v>90</v>
      </c>
      <c r="B91">
        <v>8530</v>
      </c>
      <c r="C91">
        <v>2</v>
      </c>
      <c r="D91" t="s">
        <v>238</v>
      </c>
      <c r="E91" t="s">
        <v>239</v>
      </c>
      <c r="F91">
        <v>110</v>
      </c>
      <c r="G91">
        <v>16.11</v>
      </c>
      <c r="H91">
        <v>53.28</v>
      </c>
      <c r="I91">
        <v>12.85</v>
      </c>
      <c r="J91">
        <v>42.48</v>
      </c>
      <c r="K91">
        <v>25</v>
      </c>
      <c r="T91">
        <v>2</v>
      </c>
      <c r="U91">
        <v>1</v>
      </c>
      <c r="V91" t="s">
        <v>93</v>
      </c>
      <c r="W91">
        <v>53</v>
      </c>
      <c r="X91">
        <v>5</v>
      </c>
      <c r="Y91">
        <v>5</v>
      </c>
      <c r="Z91" t="s">
        <v>240</v>
      </c>
      <c r="AA91" t="s">
        <v>241</v>
      </c>
      <c r="AB91" t="s">
        <v>96</v>
      </c>
      <c r="AC91" t="s">
        <v>97</v>
      </c>
      <c r="AD91" t="s">
        <v>98</v>
      </c>
      <c r="AG91" t="s">
        <v>242</v>
      </c>
      <c r="AH91">
        <v>0</v>
      </c>
      <c r="AI91">
        <v>118</v>
      </c>
      <c r="AJ91">
        <v>23</v>
      </c>
      <c r="AK91">
        <v>0</v>
      </c>
      <c r="AL91">
        <v>0</v>
      </c>
    </row>
    <row r="92" spans="1:38" x14ac:dyDescent="0.3">
      <c r="A92" t="s">
        <v>90</v>
      </c>
      <c r="B92">
        <v>8530</v>
      </c>
      <c r="C92">
        <v>3</v>
      </c>
      <c r="D92" t="s">
        <v>238</v>
      </c>
      <c r="E92" t="s">
        <v>239</v>
      </c>
      <c r="F92">
        <v>110</v>
      </c>
      <c r="G92">
        <v>16.940000000000001</v>
      </c>
      <c r="H92">
        <v>56.03</v>
      </c>
      <c r="I92">
        <v>13.66</v>
      </c>
      <c r="J92">
        <v>45.18</v>
      </c>
      <c r="K92">
        <v>30</v>
      </c>
      <c r="T92">
        <v>2</v>
      </c>
      <c r="U92">
        <v>1</v>
      </c>
      <c r="V92" t="s">
        <v>93</v>
      </c>
      <c r="W92" t="s">
        <v>243</v>
      </c>
      <c r="X92">
        <v>5</v>
      </c>
      <c r="Y92">
        <v>5</v>
      </c>
      <c r="Z92" t="s">
        <v>240</v>
      </c>
      <c r="AA92" t="s">
        <v>241</v>
      </c>
      <c r="AB92" t="s">
        <v>96</v>
      </c>
      <c r="AC92" t="s">
        <v>97</v>
      </c>
      <c r="AD92" t="s">
        <v>98</v>
      </c>
      <c r="AG92" t="s">
        <v>242</v>
      </c>
      <c r="AH92">
        <v>0</v>
      </c>
      <c r="AI92">
        <v>118</v>
      </c>
      <c r="AJ92">
        <v>23</v>
      </c>
      <c r="AK92">
        <v>0</v>
      </c>
      <c r="AL92">
        <v>0</v>
      </c>
    </row>
    <row r="93" spans="1:38" x14ac:dyDescent="0.3">
      <c r="A93" t="s">
        <v>90</v>
      </c>
      <c r="B93">
        <v>8530</v>
      </c>
      <c r="C93">
        <v>4</v>
      </c>
      <c r="D93" t="s">
        <v>238</v>
      </c>
      <c r="E93" t="s">
        <v>239</v>
      </c>
      <c r="F93">
        <v>110</v>
      </c>
      <c r="G93">
        <v>17.059999999999999</v>
      </c>
      <c r="H93">
        <v>56.4</v>
      </c>
      <c r="I93">
        <v>12.14</v>
      </c>
      <c r="J93">
        <v>40.14</v>
      </c>
      <c r="K93">
        <v>5</v>
      </c>
      <c r="T93">
        <v>2</v>
      </c>
      <c r="U93">
        <v>1</v>
      </c>
      <c r="V93" t="s">
        <v>93</v>
      </c>
      <c r="W93" t="s">
        <v>244</v>
      </c>
      <c r="X93">
        <v>5</v>
      </c>
      <c r="Y93">
        <v>5</v>
      </c>
      <c r="Z93" t="s">
        <v>240</v>
      </c>
      <c r="AA93" t="s">
        <v>241</v>
      </c>
      <c r="AB93" t="s">
        <v>96</v>
      </c>
      <c r="AC93" t="s">
        <v>97</v>
      </c>
      <c r="AD93" t="s">
        <v>98</v>
      </c>
      <c r="AG93" t="s">
        <v>242</v>
      </c>
      <c r="AH93">
        <v>0</v>
      </c>
      <c r="AI93">
        <v>118</v>
      </c>
      <c r="AJ93">
        <v>23</v>
      </c>
      <c r="AK93">
        <v>0</v>
      </c>
      <c r="AL93">
        <v>0</v>
      </c>
    </row>
    <row r="94" spans="1:38" x14ac:dyDescent="0.3">
      <c r="A94" t="s">
        <v>90</v>
      </c>
      <c r="B94">
        <v>8530</v>
      </c>
      <c r="C94">
        <v>5</v>
      </c>
      <c r="D94" t="s">
        <v>238</v>
      </c>
      <c r="E94" t="s">
        <v>239</v>
      </c>
      <c r="F94">
        <v>110</v>
      </c>
      <c r="G94">
        <v>17.98</v>
      </c>
      <c r="H94">
        <v>59.47</v>
      </c>
      <c r="I94">
        <v>14.81</v>
      </c>
      <c r="J94">
        <v>48.96</v>
      </c>
      <c r="K94">
        <v>30</v>
      </c>
      <c r="T94">
        <v>3</v>
      </c>
      <c r="U94">
        <v>1</v>
      </c>
      <c r="V94" t="s">
        <v>93</v>
      </c>
      <c r="W94" t="s">
        <v>245</v>
      </c>
      <c r="X94">
        <v>5</v>
      </c>
      <c r="Y94">
        <v>5</v>
      </c>
      <c r="Z94" t="s">
        <v>240</v>
      </c>
      <c r="AA94" t="s">
        <v>241</v>
      </c>
      <c r="AB94" t="s">
        <v>96</v>
      </c>
      <c r="AC94" t="s">
        <v>97</v>
      </c>
      <c r="AD94" t="s">
        <v>98</v>
      </c>
      <c r="AG94" t="s">
        <v>242</v>
      </c>
      <c r="AH94">
        <v>0</v>
      </c>
      <c r="AI94">
        <v>118</v>
      </c>
      <c r="AJ94">
        <v>23</v>
      </c>
      <c r="AK94">
        <v>0</v>
      </c>
      <c r="AL94">
        <v>0</v>
      </c>
    </row>
    <row r="95" spans="1:38" x14ac:dyDescent="0.3">
      <c r="A95" t="s">
        <v>90</v>
      </c>
      <c r="B95">
        <v>8530</v>
      </c>
      <c r="C95">
        <v>6</v>
      </c>
      <c r="D95" t="s">
        <v>238</v>
      </c>
      <c r="E95" t="s">
        <v>239</v>
      </c>
      <c r="F95">
        <v>110</v>
      </c>
      <c r="G95">
        <v>17.91</v>
      </c>
      <c r="H95">
        <v>59.22</v>
      </c>
      <c r="I95">
        <v>14.64</v>
      </c>
      <c r="J95">
        <v>48.42</v>
      </c>
      <c r="K95">
        <v>9</v>
      </c>
      <c r="T95">
        <v>3</v>
      </c>
      <c r="U95">
        <v>1</v>
      </c>
      <c r="V95" t="s">
        <v>93</v>
      </c>
      <c r="W95" t="s">
        <v>246</v>
      </c>
      <c r="X95">
        <v>5</v>
      </c>
      <c r="Y95">
        <v>5</v>
      </c>
      <c r="Z95" t="s">
        <v>240</v>
      </c>
      <c r="AA95" t="s">
        <v>241</v>
      </c>
      <c r="AB95" t="s">
        <v>96</v>
      </c>
      <c r="AC95" t="s">
        <v>97</v>
      </c>
      <c r="AD95" t="s">
        <v>98</v>
      </c>
      <c r="AG95" t="s">
        <v>242</v>
      </c>
      <c r="AH95">
        <v>0</v>
      </c>
      <c r="AI95">
        <v>118</v>
      </c>
      <c r="AJ95">
        <v>23</v>
      </c>
      <c r="AK95">
        <v>0</v>
      </c>
      <c r="AL95">
        <v>0</v>
      </c>
    </row>
    <row r="96" spans="1:38" x14ac:dyDescent="0.3">
      <c r="A96" t="s">
        <v>90</v>
      </c>
      <c r="B96">
        <v>8530</v>
      </c>
      <c r="C96">
        <v>7</v>
      </c>
      <c r="D96" t="s">
        <v>238</v>
      </c>
      <c r="E96" t="s">
        <v>239</v>
      </c>
      <c r="F96">
        <v>110</v>
      </c>
      <c r="G96">
        <v>18.02</v>
      </c>
      <c r="H96">
        <v>59.58</v>
      </c>
      <c r="I96">
        <v>13.12</v>
      </c>
      <c r="J96">
        <v>43.38</v>
      </c>
      <c r="K96">
        <v>4</v>
      </c>
      <c r="T96">
        <v>2</v>
      </c>
      <c r="U96">
        <v>1</v>
      </c>
      <c r="V96" t="s">
        <v>93</v>
      </c>
      <c r="W96" t="s">
        <v>247</v>
      </c>
      <c r="X96">
        <v>5</v>
      </c>
      <c r="Y96">
        <v>5</v>
      </c>
      <c r="Z96" t="s">
        <v>240</v>
      </c>
      <c r="AA96" t="s">
        <v>241</v>
      </c>
      <c r="AB96" t="s">
        <v>96</v>
      </c>
      <c r="AC96" t="s">
        <v>97</v>
      </c>
      <c r="AD96" t="s">
        <v>98</v>
      </c>
      <c r="AG96" t="s">
        <v>242</v>
      </c>
      <c r="AH96">
        <v>0</v>
      </c>
      <c r="AI96">
        <v>118</v>
      </c>
      <c r="AJ96">
        <v>23</v>
      </c>
      <c r="AK96">
        <v>0</v>
      </c>
      <c r="AL96">
        <v>0</v>
      </c>
    </row>
    <row r="97" spans="1:38" x14ac:dyDescent="0.3">
      <c r="A97" t="s">
        <v>90</v>
      </c>
      <c r="B97">
        <v>8530</v>
      </c>
      <c r="C97">
        <v>8</v>
      </c>
      <c r="D97" t="s">
        <v>238</v>
      </c>
      <c r="E97" t="s">
        <v>239</v>
      </c>
      <c r="F97">
        <v>110</v>
      </c>
      <c r="G97">
        <v>17.989999999999998</v>
      </c>
      <c r="H97">
        <v>59.5</v>
      </c>
      <c r="I97">
        <v>13.09</v>
      </c>
      <c r="J97">
        <v>43.3</v>
      </c>
      <c r="K97">
        <v>1</v>
      </c>
      <c r="T97">
        <v>2</v>
      </c>
      <c r="U97">
        <v>1</v>
      </c>
      <c r="V97" t="s">
        <v>93</v>
      </c>
      <c r="W97" t="s">
        <v>248</v>
      </c>
      <c r="X97">
        <v>5</v>
      </c>
      <c r="Y97">
        <v>5</v>
      </c>
      <c r="Z97" t="s">
        <v>240</v>
      </c>
      <c r="AA97" t="s">
        <v>241</v>
      </c>
      <c r="AB97" t="s">
        <v>96</v>
      </c>
      <c r="AC97" t="s">
        <v>97</v>
      </c>
      <c r="AD97" t="s">
        <v>98</v>
      </c>
      <c r="AG97" t="s">
        <v>242</v>
      </c>
      <c r="AH97">
        <v>0</v>
      </c>
      <c r="AI97">
        <v>118</v>
      </c>
      <c r="AJ97">
        <v>23</v>
      </c>
      <c r="AK97">
        <v>0</v>
      </c>
      <c r="AL97">
        <v>0</v>
      </c>
    </row>
    <row r="98" spans="1:38" x14ac:dyDescent="0.3">
      <c r="A98" t="s">
        <v>90</v>
      </c>
      <c r="B98">
        <v>8530</v>
      </c>
      <c r="C98">
        <v>9</v>
      </c>
      <c r="D98" t="s">
        <v>238</v>
      </c>
      <c r="E98" t="s">
        <v>239</v>
      </c>
      <c r="F98">
        <v>110</v>
      </c>
      <c r="G98">
        <v>17.899999999999999</v>
      </c>
      <c r="H98">
        <v>59.2</v>
      </c>
      <c r="I98">
        <v>14.64</v>
      </c>
      <c r="J98">
        <v>48.4</v>
      </c>
      <c r="K98">
        <v>1</v>
      </c>
      <c r="T98">
        <v>3</v>
      </c>
      <c r="U98">
        <v>1</v>
      </c>
      <c r="V98" t="s">
        <v>93</v>
      </c>
      <c r="W98" t="s">
        <v>249</v>
      </c>
      <c r="X98">
        <v>5</v>
      </c>
      <c r="Y98">
        <v>5</v>
      </c>
      <c r="Z98" t="s">
        <v>240</v>
      </c>
      <c r="AA98" t="s">
        <v>241</v>
      </c>
      <c r="AB98" t="s">
        <v>96</v>
      </c>
      <c r="AC98" t="s">
        <v>97</v>
      </c>
      <c r="AD98" t="s">
        <v>98</v>
      </c>
      <c r="AG98" t="s">
        <v>242</v>
      </c>
      <c r="AH98">
        <v>0</v>
      </c>
      <c r="AI98">
        <v>118</v>
      </c>
      <c r="AJ98">
        <v>23</v>
      </c>
      <c r="AK98">
        <v>0</v>
      </c>
      <c r="AL98">
        <v>0</v>
      </c>
    </row>
    <row r="99" spans="1:38" x14ac:dyDescent="0.3">
      <c r="A99" t="s">
        <v>90</v>
      </c>
      <c r="B99">
        <v>2261</v>
      </c>
      <c r="C99">
        <v>1</v>
      </c>
      <c r="D99" t="s">
        <v>250</v>
      </c>
      <c r="E99" t="s">
        <v>251</v>
      </c>
      <c r="F99">
        <v>299</v>
      </c>
      <c r="G99">
        <v>25.88</v>
      </c>
      <c r="H99">
        <v>85.58</v>
      </c>
      <c r="I99">
        <v>19.88</v>
      </c>
      <c r="J99">
        <v>65.75</v>
      </c>
      <c r="K99">
        <v>22</v>
      </c>
      <c r="T99">
        <v>2</v>
      </c>
      <c r="U99">
        <v>1</v>
      </c>
      <c r="V99" t="s">
        <v>93</v>
      </c>
      <c r="W99">
        <v>85</v>
      </c>
      <c r="X99">
        <v>18</v>
      </c>
      <c r="Y99">
        <v>10</v>
      </c>
      <c r="Z99" t="s">
        <v>252</v>
      </c>
      <c r="AA99" t="s">
        <v>253</v>
      </c>
      <c r="AB99" t="s">
        <v>96</v>
      </c>
      <c r="AC99" t="s">
        <v>97</v>
      </c>
      <c r="AD99" t="s">
        <v>98</v>
      </c>
      <c r="AG99" t="s">
        <v>254</v>
      </c>
      <c r="AH99">
        <v>0</v>
      </c>
      <c r="AI99">
        <v>293</v>
      </c>
      <c r="AJ99">
        <v>21</v>
      </c>
      <c r="AK99">
        <v>133</v>
      </c>
      <c r="AL99">
        <v>0.44</v>
      </c>
    </row>
    <row r="100" spans="1:38" x14ac:dyDescent="0.3">
      <c r="A100" t="s">
        <v>90</v>
      </c>
      <c r="B100">
        <v>2261</v>
      </c>
      <c r="C100">
        <v>2</v>
      </c>
      <c r="D100" t="s">
        <v>250</v>
      </c>
      <c r="E100" t="s">
        <v>251</v>
      </c>
      <c r="F100">
        <v>299</v>
      </c>
      <c r="G100">
        <v>28.35</v>
      </c>
      <c r="H100">
        <v>93.73</v>
      </c>
      <c r="I100">
        <v>20.73</v>
      </c>
      <c r="J100">
        <v>68.53</v>
      </c>
      <c r="K100">
        <v>31</v>
      </c>
      <c r="T100">
        <v>2</v>
      </c>
      <c r="U100">
        <v>1</v>
      </c>
      <c r="V100" t="s">
        <v>93</v>
      </c>
      <c r="W100">
        <v>93</v>
      </c>
      <c r="X100">
        <v>18</v>
      </c>
      <c r="Y100">
        <v>10</v>
      </c>
      <c r="Z100" t="s">
        <v>252</v>
      </c>
      <c r="AA100" t="s">
        <v>253</v>
      </c>
      <c r="AB100" t="s">
        <v>96</v>
      </c>
      <c r="AC100" t="s">
        <v>97</v>
      </c>
      <c r="AD100" t="s">
        <v>98</v>
      </c>
      <c r="AG100" t="s">
        <v>254</v>
      </c>
      <c r="AH100">
        <v>0</v>
      </c>
      <c r="AI100">
        <v>293</v>
      </c>
      <c r="AJ100">
        <v>21</v>
      </c>
      <c r="AK100">
        <v>133</v>
      </c>
      <c r="AL100">
        <v>0.44</v>
      </c>
    </row>
    <row r="101" spans="1:38" x14ac:dyDescent="0.3">
      <c r="A101" t="s">
        <v>90</v>
      </c>
      <c r="B101">
        <v>2261</v>
      </c>
      <c r="C101">
        <v>3</v>
      </c>
      <c r="D101" t="s">
        <v>250</v>
      </c>
      <c r="E101" t="s">
        <v>251</v>
      </c>
      <c r="F101">
        <v>299</v>
      </c>
      <c r="G101">
        <v>29.6</v>
      </c>
      <c r="H101">
        <v>97.87</v>
      </c>
      <c r="I101">
        <v>22.75</v>
      </c>
      <c r="J101">
        <v>75.22</v>
      </c>
      <c r="K101">
        <v>22</v>
      </c>
      <c r="T101">
        <v>2</v>
      </c>
      <c r="U101">
        <v>1</v>
      </c>
      <c r="V101" t="s">
        <v>93</v>
      </c>
      <c r="W101">
        <v>97</v>
      </c>
      <c r="X101">
        <v>18</v>
      </c>
      <c r="Y101">
        <v>10</v>
      </c>
      <c r="Z101" t="s">
        <v>252</v>
      </c>
      <c r="AA101" t="s">
        <v>253</v>
      </c>
      <c r="AB101" t="s">
        <v>96</v>
      </c>
      <c r="AC101" t="s">
        <v>97</v>
      </c>
      <c r="AD101" t="s">
        <v>98</v>
      </c>
      <c r="AG101" t="s">
        <v>254</v>
      </c>
      <c r="AH101">
        <v>0</v>
      </c>
      <c r="AI101">
        <v>293</v>
      </c>
      <c r="AJ101">
        <v>21</v>
      </c>
      <c r="AK101">
        <v>133</v>
      </c>
      <c r="AL101">
        <v>0.44</v>
      </c>
    </row>
    <row r="102" spans="1:38" x14ac:dyDescent="0.3">
      <c r="A102" t="s">
        <v>90</v>
      </c>
      <c r="B102">
        <v>2261</v>
      </c>
      <c r="C102">
        <v>4</v>
      </c>
      <c r="D102" t="s">
        <v>250</v>
      </c>
      <c r="E102" t="s">
        <v>251</v>
      </c>
      <c r="F102">
        <v>299</v>
      </c>
      <c r="G102">
        <v>30.59</v>
      </c>
      <c r="H102">
        <v>101.14</v>
      </c>
      <c r="I102">
        <v>23.21</v>
      </c>
      <c r="J102">
        <v>76.739999999999995</v>
      </c>
      <c r="K102">
        <v>61</v>
      </c>
      <c r="T102">
        <v>3</v>
      </c>
      <c r="U102">
        <v>2</v>
      </c>
      <c r="V102" t="s">
        <v>93</v>
      </c>
      <c r="W102">
        <v>101</v>
      </c>
      <c r="X102">
        <v>18</v>
      </c>
      <c r="Y102">
        <v>10</v>
      </c>
      <c r="Z102" t="s">
        <v>252</v>
      </c>
      <c r="AA102" t="s">
        <v>253</v>
      </c>
      <c r="AB102" t="s">
        <v>96</v>
      </c>
      <c r="AC102" t="s">
        <v>97</v>
      </c>
      <c r="AD102" t="s">
        <v>98</v>
      </c>
      <c r="AG102" t="s">
        <v>254</v>
      </c>
      <c r="AH102">
        <v>0</v>
      </c>
      <c r="AI102">
        <v>293</v>
      </c>
      <c r="AJ102">
        <v>21</v>
      </c>
      <c r="AK102">
        <v>133</v>
      </c>
      <c r="AL102">
        <v>0.44</v>
      </c>
    </row>
    <row r="103" spans="1:38" x14ac:dyDescent="0.3">
      <c r="A103" t="s">
        <v>90</v>
      </c>
      <c r="B103">
        <v>2261</v>
      </c>
      <c r="C103">
        <v>5</v>
      </c>
      <c r="D103" t="s">
        <v>250</v>
      </c>
      <c r="E103" t="s">
        <v>251</v>
      </c>
      <c r="F103">
        <v>299</v>
      </c>
      <c r="G103">
        <v>32.74</v>
      </c>
      <c r="H103">
        <v>108.24</v>
      </c>
      <c r="I103">
        <v>25.66</v>
      </c>
      <c r="J103">
        <v>84.83</v>
      </c>
      <c r="K103">
        <v>72</v>
      </c>
      <c r="T103">
        <v>3</v>
      </c>
      <c r="U103">
        <v>2</v>
      </c>
      <c r="V103" t="s">
        <v>93</v>
      </c>
      <c r="W103">
        <v>108</v>
      </c>
      <c r="X103">
        <v>18</v>
      </c>
      <c r="Y103">
        <v>10</v>
      </c>
      <c r="Z103" t="s">
        <v>252</v>
      </c>
      <c r="AA103" t="s">
        <v>253</v>
      </c>
      <c r="AB103" t="s">
        <v>96</v>
      </c>
      <c r="AC103" t="s">
        <v>97</v>
      </c>
      <c r="AD103" t="s">
        <v>98</v>
      </c>
      <c r="AG103" t="s">
        <v>254</v>
      </c>
      <c r="AH103">
        <v>0</v>
      </c>
      <c r="AI103">
        <v>293</v>
      </c>
      <c r="AJ103">
        <v>21</v>
      </c>
      <c r="AK103">
        <v>133</v>
      </c>
      <c r="AL103">
        <v>0.44</v>
      </c>
    </row>
    <row r="104" spans="1:38" x14ac:dyDescent="0.3">
      <c r="A104" t="s">
        <v>90</v>
      </c>
      <c r="B104">
        <v>2261</v>
      </c>
      <c r="C104">
        <v>6</v>
      </c>
      <c r="D104" t="s">
        <v>250</v>
      </c>
      <c r="E104" t="s">
        <v>251</v>
      </c>
      <c r="F104">
        <v>299</v>
      </c>
      <c r="G104">
        <v>34.01</v>
      </c>
      <c r="H104">
        <v>112.46</v>
      </c>
      <c r="I104">
        <v>25.51</v>
      </c>
      <c r="J104">
        <v>84.36</v>
      </c>
      <c r="K104">
        <v>28</v>
      </c>
      <c r="T104">
        <v>3</v>
      </c>
      <c r="U104">
        <v>2</v>
      </c>
      <c r="V104" t="s">
        <v>93</v>
      </c>
      <c r="W104">
        <v>112</v>
      </c>
      <c r="X104">
        <v>18</v>
      </c>
      <c r="Y104">
        <v>10</v>
      </c>
      <c r="Z104" t="s">
        <v>252</v>
      </c>
      <c r="AA104" t="s">
        <v>253</v>
      </c>
      <c r="AB104" t="s">
        <v>96</v>
      </c>
      <c r="AC104" t="s">
        <v>97</v>
      </c>
      <c r="AD104" t="s">
        <v>98</v>
      </c>
      <c r="AG104" t="s">
        <v>254</v>
      </c>
      <c r="AH104">
        <v>0</v>
      </c>
      <c r="AI104">
        <v>293</v>
      </c>
      <c r="AJ104">
        <v>21</v>
      </c>
      <c r="AK104">
        <v>133</v>
      </c>
      <c r="AL104">
        <v>0.44</v>
      </c>
    </row>
    <row r="105" spans="1:38" x14ac:dyDescent="0.3">
      <c r="A105" t="s">
        <v>90</v>
      </c>
      <c r="B105">
        <v>2261</v>
      </c>
      <c r="C105">
        <v>7</v>
      </c>
      <c r="D105" t="s">
        <v>250</v>
      </c>
      <c r="E105" t="s">
        <v>251</v>
      </c>
      <c r="F105">
        <v>299</v>
      </c>
      <c r="G105">
        <v>39.75</v>
      </c>
      <c r="H105">
        <v>131.41</v>
      </c>
      <c r="I105">
        <v>31.62</v>
      </c>
      <c r="J105">
        <v>104.55</v>
      </c>
      <c r="K105">
        <v>63</v>
      </c>
      <c r="T105">
        <v>4</v>
      </c>
      <c r="U105">
        <v>2</v>
      </c>
      <c r="V105" t="s">
        <v>93</v>
      </c>
      <c r="W105">
        <v>131</v>
      </c>
      <c r="X105">
        <v>18</v>
      </c>
      <c r="Y105">
        <v>10</v>
      </c>
      <c r="Z105" t="s">
        <v>252</v>
      </c>
      <c r="AA105" t="s">
        <v>253</v>
      </c>
      <c r="AB105" t="s">
        <v>96</v>
      </c>
      <c r="AC105" t="s">
        <v>97</v>
      </c>
      <c r="AD105" t="s">
        <v>98</v>
      </c>
      <c r="AG105" t="s">
        <v>254</v>
      </c>
      <c r="AH105">
        <v>0</v>
      </c>
      <c r="AI105">
        <v>293</v>
      </c>
      <c r="AJ105">
        <v>21</v>
      </c>
      <c r="AK105">
        <v>133</v>
      </c>
      <c r="AL105">
        <v>0.44</v>
      </c>
    </row>
    <row r="106" spans="1:38" x14ac:dyDescent="0.3">
      <c r="A106" t="s">
        <v>90</v>
      </c>
      <c r="B106">
        <v>8523</v>
      </c>
      <c r="C106">
        <v>1</v>
      </c>
      <c r="D106" t="s">
        <v>255</v>
      </c>
      <c r="E106" t="s">
        <v>256</v>
      </c>
      <c r="F106">
        <v>92</v>
      </c>
      <c r="G106">
        <v>20.54</v>
      </c>
      <c r="H106">
        <v>67.930000000000007</v>
      </c>
      <c r="I106">
        <v>15.93</v>
      </c>
      <c r="J106">
        <v>52.68</v>
      </c>
      <c r="K106">
        <v>46</v>
      </c>
      <c r="T106">
        <v>3</v>
      </c>
      <c r="U106">
        <v>1</v>
      </c>
      <c r="V106" t="s">
        <v>138</v>
      </c>
      <c r="W106">
        <v>67</v>
      </c>
      <c r="X106">
        <v>23</v>
      </c>
      <c r="Y106">
        <v>23</v>
      </c>
      <c r="Z106" t="s">
        <v>257</v>
      </c>
      <c r="AA106" t="s">
        <v>258</v>
      </c>
      <c r="AB106" t="s">
        <v>96</v>
      </c>
      <c r="AC106" t="s">
        <v>97</v>
      </c>
      <c r="AD106" t="s">
        <v>98</v>
      </c>
      <c r="AG106" t="s">
        <v>259</v>
      </c>
      <c r="AH106">
        <v>0</v>
      </c>
      <c r="AI106">
        <v>301</v>
      </c>
      <c r="AJ106">
        <v>15</v>
      </c>
      <c r="AK106">
        <v>48</v>
      </c>
      <c r="AL106">
        <v>0.52</v>
      </c>
    </row>
    <row r="107" spans="1:38" x14ac:dyDescent="0.3">
      <c r="A107" t="s">
        <v>90</v>
      </c>
      <c r="B107">
        <v>8523</v>
      </c>
      <c r="C107">
        <v>2</v>
      </c>
      <c r="D107" t="s">
        <v>255</v>
      </c>
      <c r="E107" t="s">
        <v>256</v>
      </c>
      <c r="F107">
        <v>92</v>
      </c>
      <c r="G107">
        <v>23.73</v>
      </c>
      <c r="H107">
        <v>78.45</v>
      </c>
      <c r="I107">
        <v>18.399999999999999</v>
      </c>
      <c r="J107">
        <v>60.84</v>
      </c>
      <c r="K107">
        <v>23</v>
      </c>
      <c r="T107">
        <v>3</v>
      </c>
      <c r="U107">
        <v>1</v>
      </c>
      <c r="V107" t="s">
        <v>138</v>
      </c>
      <c r="W107">
        <v>78</v>
      </c>
      <c r="X107">
        <v>23</v>
      </c>
      <c r="Y107">
        <v>23</v>
      </c>
      <c r="Z107" t="s">
        <v>257</v>
      </c>
      <c r="AA107" t="s">
        <v>258</v>
      </c>
      <c r="AB107" t="s">
        <v>96</v>
      </c>
      <c r="AC107" t="s">
        <v>97</v>
      </c>
      <c r="AD107" t="s">
        <v>98</v>
      </c>
      <c r="AG107" t="s">
        <v>259</v>
      </c>
      <c r="AH107">
        <v>0</v>
      </c>
      <c r="AI107">
        <v>301</v>
      </c>
      <c r="AJ107">
        <v>15</v>
      </c>
      <c r="AK107">
        <v>48</v>
      </c>
      <c r="AL107">
        <v>0.52</v>
      </c>
    </row>
    <row r="108" spans="1:38" x14ac:dyDescent="0.3">
      <c r="A108" t="s">
        <v>90</v>
      </c>
      <c r="B108">
        <v>8523</v>
      </c>
      <c r="C108">
        <v>3</v>
      </c>
      <c r="D108" t="s">
        <v>255</v>
      </c>
      <c r="E108" t="s">
        <v>256</v>
      </c>
      <c r="F108">
        <v>92</v>
      </c>
      <c r="G108">
        <v>29.09</v>
      </c>
      <c r="H108">
        <v>96.17</v>
      </c>
      <c r="I108">
        <v>22.56</v>
      </c>
      <c r="J108">
        <v>74.58</v>
      </c>
      <c r="K108">
        <v>23</v>
      </c>
      <c r="T108">
        <v>3</v>
      </c>
      <c r="U108">
        <v>1</v>
      </c>
      <c r="V108" t="s">
        <v>138</v>
      </c>
      <c r="W108">
        <v>96</v>
      </c>
      <c r="X108">
        <v>23</v>
      </c>
      <c r="Y108">
        <v>23</v>
      </c>
      <c r="Z108" t="s">
        <v>257</v>
      </c>
      <c r="AA108" t="s">
        <v>258</v>
      </c>
      <c r="AB108" t="s">
        <v>96</v>
      </c>
      <c r="AC108" t="s">
        <v>97</v>
      </c>
      <c r="AD108" t="s">
        <v>98</v>
      </c>
      <c r="AG108" t="s">
        <v>259</v>
      </c>
      <c r="AH108">
        <v>0</v>
      </c>
      <c r="AI108">
        <v>301</v>
      </c>
      <c r="AJ108">
        <v>15</v>
      </c>
      <c r="AK108">
        <v>48</v>
      </c>
      <c r="AL108">
        <v>0.52</v>
      </c>
    </row>
    <row r="109" spans="1:38" x14ac:dyDescent="0.3">
      <c r="A109" t="s">
        <v>90</v>
      </c>
      <c r="B109">
        <v>8524</v>
      </c>
      <c r="C109">
        <v>1</v>
      </c>
      <c r="D109" t="s">
        <v>260</v>
      </c>
      <c r="E109" t="s">
        <v>205</v>
      </c>
      <c r="F109">
        <v>336</v>
      </c>
      <c r="G109">
        <v>17.14</v>
      </c>
      <c r="H109">
        <v>56.68</v>
      </c>
      <c r="I109">
        <v>13.22</v>
      </c>
      <c r="J109">
        <v>43.71</v>
      </c>
      <c r="K109">
        <v>84</v>
      </c>
      <c r="T109">
        <v>2</v>
      </c>
      <c r="U109">
        <v>1</v>
      </c>
      <c r="V109" t="s">
        <v>93</v>
      </c>
      <c r="W109">
        <v>56</v>
      </c>
      <c r="X109">
        <v>6</v>
      </c>
      <c r="Y109">
        <v>6</v>
      </c>
      <c r="Z109" t="s">
        <v>261</v>
      </c>
      <c r="AA109" t="s">
        <v>262</v>
      </c>
      <c r="AB109" t="s">
        <v>96</v>
      </c>
      <c r="AC109" t="s">
        <v>97</v>
      </c>
      <c r="AD109" t="s">
        <v>98</v>
      </c>
      <c r="AG109" t="s">
        <v>263</v>
      </c>
      <c r="AH109">
        <v>0</v>
      </c>
      <c r="AI109">
        <v>187</v>
      </c>
      <c r="AJ109">
        <v>31</v>
      </c>
      <c r="AK109">
        <v>86</v>
      </c>
      <c r="AL109">
        <v>0.26</v>
      </c>
    </row>
    <row r="110" spans="1:38" x14ac:dyDescent="0.3">
      <c r="A110" t="s">
        <v>90</v>
      </c>
      <c r="B110">
        <v>8524</v>
      </c>
      <c r="C110">
        <v>2</v>
      </c>
      <c r="D110" t="s">
        <v>260</v>
      </c>
      <c r="E110" t="s">
        <v>205</v>
      </c>
      <c r="F110">
        <v>336</v>
      </c>
      <c r="G110">
        <v>21.35</v>
      </c>
      <c r="H110">
        <v>70.61</v>
      </c>
      <c r="I110">
        <v>16.79</v>
      </c>
      <c r="J110">
        <v>55.53</v>
      </c>
      <c r="K110">
        <v>144</v>
      </c>
      <c r="T110">
        <v>3</v>
      </c>
      <c r="U110">
        <v>1</v>
      </c>
      <c r="V110" t="s">
        <v>93</v>
      </c>
      <c r="W110">
        <v>70</v>
      </c>
      <c r="X110">
        <v>6</v>
      </c>
      <c r="Y110">
        <v>6</v>
      </c>
      <c r="Z110" t="s">
        <v>261</v>
      </c>
      <c r="AA110" t="s">
        <v>262</v>
      </c>
      <c r="AB110" t="s">
        <v>96</v>
      </c>
      <c r="AC110" t="s">
        <v>97</v>
      </c>
      <c r="AD110" t="s">
        <v>98</v>
      </c>
      <c r="AG110" t="s">
        <v>263</v>
      </c>
      <c r="AH110">
        <v>0</v>
      </c>
      <c r="AI110">
        <v>187</v>
      </c>
      <c r="AJ110">
        <v>31</v>
      </c>
      <c r="AK110">
        <v>86</v>
      </c>
      <c r="AL110">
        <v>0.26</v>
      </c>
    </row>
    <row r="111" spans="1:38" x14ac:dyDescent="0.3">
      <c r="A111" t="s">
        <v>90</v>
      </c>
      <c r="B111">
        <v>8524</v>
      </c>
      <c r="C111">
        <v>3</v>
      </c>
      <c r="D111" t="s">
        <v>260</v>
      </c>
      <c r="E111" t="s">
        <v>205</v>
      </c>
      <c r="F111">
        <v>336</v>
      </c>
      <c r="G111">
        <v>22.32</v>
      </c>
      <c r="H111">
        <v>73.790000000000006</v>
      </c>
      <c r="I111">
        <v>17.61</v>
      </c>
      <c r="J111">
        <v>58.23</v>
      </c>
      <c r="K111">
        <v>48</v>
      </c>
      <c r="T111">
        <v>3</v>
      </c>
      <c r="U111">
        <v>1</v>
      </c>
      <c r="V111" t="s">
        <v>93</v>
      </c>
      <c r="W111">
        <v>73</v>
      </c>
      <c r="X111">
        <v>6</v>
      </c>
      <c r="Y111">
        <v>6</v>
      </c>
      <c r="Z111" t="s">
        <v>261</v>
      </c>
      <c r="AA111" t="s">
        <v>262</v>
      </c>
      <c r="AB111" t="s">
        <v>96</v>
      </c>
      <c r="AC111" t="s">
        <v>97</v>
      </c>
      <c r="AD111" t="s">
        <v>98</v>
      </c>
      <c r="AG111" t="s">
        <v>263</v>
      </c>
      <c r="AH111">
        <v>0</v>
      </c>
      <c r="AI111">
        <v>187</v>
      </c>
      <c r="AJ111">
        <v>31</v>
      </c>
      <c r="AK111">
        <v>86</v>
      </c>
      <c r="AL111">
        <v>0.26</v>
      </c>
    </row>
    <row r="112" spans="1:38" x14ac:dyDescent="0.3">
      <c r="A112" t="s">
        <v>90</v>
      </c>
      <c r="B112">
        <v>8524</v>
      </c>
      <c r="C112">
        <v>4</v>
      </c>
      <c r="D112" t="s">
        <v>260</v>
      </c>
      <c r="E112" t="s">
        <v>205</v>
      </c>
      <c r="F112">
        <v>336</v>
      </c>
      <c r="G112">
        <v>24.29</v>
      </c>
      <c r="H112">
        <v>80.3</v>
      </c>
      <c r="I112">
        <v>19.350000000000001</v>
      </c>
      <c r="J112">
        <v>63.99</v>
      </c>
      <c r="K112">
        <v>60</v>
      </c>
      <c r="T112">
        <v>3</v>
      </c>
      <c r="U112">
        <v>1</v>
      </c>
      <c r="V112" t="s">
        <v>93</v>
      </c>
      <c r="W112">
        <v>80</v>
      </c>
      <c r="X112">
        <v>6</v>
      </c>
      <c r="Y112">
        <v>6</v>
      </c>
      <c r="Z112" t="s">
        <v>261</v>
      </c>
      <c r="AA112" t="s">
        <v>262</v>
      </c>
      <c r="AB112" t="s">
        <v>96</v>
      </c>
      <c r="AC112" t="s">
        <v>97</v>
      </c>
      <c r="AD112" t="s">
        <v>98</v>
      </c>
      <c r="AG112" t="s">
        <v>263</v>
      </c>
      <c r="AH112">
        <v>0</v>
      </c>
      <c r="AI112">
        <v>187</v>
      </c>
      <c r="AJ112">
        <v>31</v>
      </c>
      <c r="AK112">
        <v>86</v>
      </c>
      <c r="AL112">
        <v>0.26</v>
      </c>
    </row>
    <row r="113" spans="1:38" x14ac:dyDescent="0.3">
      <c r="A113" t="s">
        <v>90</v>
      </c>
      <c r="B113">
        <v>2253</v>
      </c>
      <c r="C113">
        <v>1</v>
      </c>
      <c r="D113" t="s">
        <v>264</v>
      </c>
      <c r="E113" t="s">
        <v>265</v>
      </c>
      <c r="F113">
        <v>630</v>
      </c>
      <c r="G113">
        <v>14.64</v>
      </c>
      <c r="H113">
        <v>48.42</v>
      </c>
      <c r="I113">
        <v>11.53</v>
      </c>
      <c r="J113">
        <v>38.130000000000003</v>
      </c>
      <c r="K113">
        <v>60</v>
      </c>
      <c r="T113">
        <v>2</v>
      </c>
      <c r="U113">
        <v>1</v>
      </c>
      <c r="V113" t="s">
        <v>93</v>
      </c>
      <c r="W113">
        <v>48</v>
      </c>
      <c r="X113">
        <v>5</v>
      </c>
      <c r="Y113">
        <v>5</v>
      </c>
      <c r="Z113" t="s">
        <v>266</v>
      </c>
      <c r="AA113" t="s">
        <v>267</v>
      </c>
      <c r="AB113" t="s">
        <v>96</v>
      </c>
      <c r="AC113" t="s">
        <v>97</v>
      </c>
      <c r="AD113" t="s">
        <v>98</v>
      </c>
      <c r="AG113" t="s">
        <v>268</v>
      </c>
      <c r="AH113">
        <v>0</v>
      </c>
      <c r="AI113">
        <v>118</v>
      </c>
      <c r="AJ113">
        <v>24</v>
      </c>
      <c r="AK113">
        <v>315</v>
      </c>
      <c r="AL113">
        <v>0.5</v>
      </c>
    </row>
    <row r="114" spans="1:38" x14ac:dyDescent="0.3">
      <c r="A114" t="s">
        <v>90</v>
      </c>
      <c r="B114">
        <v>2253</v>
      </c>
      <c r="C114">
        <v>2</v>
      </c>
      <c r="D114" t="s">
        <v>264</v>
      </c>
      <c r="E114" t="s">
        <v>265</v>
      </c>
      <c r="F114">
        <v>630</v>
      </c>
      <c r="G114">
        <v>19.41</v>
      </c>
      <c r="H114">
        <v>64.17</v>
      </c>
      <c r="I114">
        <v>15.86</v>
      </c>
      <c r="J114">
        <v>52.45</v>
      </c>
      <c r="K114">
        <v>240</v>
      </c>
      <c r="T114">
        <v>2</v>
      </c>
      <c r="U114">
        <v>1</v>
      </c>
      <c r="V114" t="s">
        <v>93</v>
      </c>
      <c r="W114">
        <v>64</v>
      </c>
      <c r="X114">
        <v>5</v>
      </c>
      <c r="Y114">
        <v>5</v>
      </c>
      <c r="Z114" t="s">
        <v>266</v>
      </c>
      <c r="AA114" t="s">
        <v>267</v>
      </c>
      <c r="AB114" t="s">
        <v>96</v>
      </c>
      <c r="AC114" t="s">
        <v>97</v>
      </c>
      <c r="AD114" t="s">
        <v>98</v>
      </c>
      <c r="AG114" t="s">
        <v>268</v>
      </c>
      <c r="AH114">
        <v>0</v>
      </c>
      <c r="AI114">
        <v>118</v>
      </c>
      <c r="AJ114">
        <v>24</v>
      </c>
      <c r="AK114">
        <v>315</v>
      </c>
      <c r="AL114">
        <v>0.5</v>
      </c>
    </row>
    <row r="115" spans="1:38" x14ac:dyDescent="0.3">
      <c r="A115" t="s">
        <v>90</v>
      </c>
      <c r="B115">
        <v>2253</v>
      </c>
      <c r="C115">
        <v>3</v>
      </c>
      <c r="D115" t="s">
        <v>264</v>
      </c>
      <c r="E115" t="s">
        <v>265</v>
      </c>
      <c r="F115">
        <v>630</v>
      </c>
      <c r="G115">
        <v>21.5</v>
      </c>
      <c r="H115">
        <v>71.099999999999994</v>
      </c>
      <c r="I115">
        <v>17.25</v>
      </c>
      <c r="J115">
        <v>57.05</v>
      </c>
      <c r="K115">
        <v>140</v>
      </c>
      <c r="T115">
        <v>2</v>
      </c>
      <c r="U115">
        <v>1</v>
      </c>
      <c r="V115" t="s">
        <v>93</v>
      </c>
      <c r="W115">
        <v>71</v>
      </c>
      <c r="X115">
        <v>5</v>
      </c>
      <c r="Y115">
        <v>5</v>
      </c>
      <c r="Z115" t="s">
        <v>266</v>
      </c>
      <c r="AA115" t="s">
        <v>267</v>
      </c>
      <c r="AB115" t="s">
        <v>96</v>
      </c>
      <c r="AC115" t="s">
        <v>97</v>
      </c>
      <c r="AD115" t="s">
        <v>98</v>
      </c>
      <c r="AG115" t="s">
        <v>268</v>
      </c>
      <c r="AH115">
        <v>0</v>
      </c>
      <c r="AI115">
        <v>118</v>
      </c>
      <c r="AJ115">
        <v>24</v>
      </c>
      <c r="AK115">
        <v>315</v>
      </c>
      <c r="AL115">
        <v>0.5</v>
      </c>
    </row>
    <row r="116" spans="1:38" x14ac:dyDescent="0.3">
      <c r="A116" t="s">
        <v>90</v>
      </c>
      <c r="B116">
        <v>2253</v>
      </c>
      <c r="C116">
        <v>4</v>
      </c>
      <c r="D116" t="s">
        <v>264</v>
      </c>
      <c r="E116" t="s">
        <v>265</v>
      </c>
      <c r="F116">
        <v>630</v>
      </c>
      <c r="G116">
        <v>26.54</v>
      </c>
      <c r="H116">
        <v>87.74</v>
      </c>
      <c r="I116">
        <v>21.99</v>
      </c>
      <c r="J116">
        <v>72.72</v>
      </c>
      <c r="K116">
        <v>160</v>
      </c>
      <c r="T116">
        <v>3</v>
      </c>
      <c r="U116">
        <v>1</v>
      </c>
      <c r="V116" t="s">
        <v>93</v>
      </c>
      <c r="W116">
        <v>87</v>
      </c>
      <c r="X116">
        <v>5</v>
      </c>
      <c r="Y116">
        <v>5</v>
      </c>
      <c r="Z116" t="s">
        <v>266</v>
      </c>
      <c r="AA116" t="s">
        <v>267</v>
      </c>
      <c r="AB116" t="s">
        <v>96</v>
      </c>
      <c r="AC116" t="s">
        <v>97</v>
      </c>
      <c r="AD116" t="s">
        <v>98</v>
      </c>
      <c r="AG116" t="s">
        <v>268</v>
      </c>
      <c r="AH116">
        <v>0</v>
      </c>
      <c r="AI116">
        <v>118</v>
      </c>
      <c r="AJ116">
        <v>24</v>
      </c>
      <c r="AK116">
        <v>315</v>
      </c>
      <c r="AL116">
        <v>0.5</v>
      </c>
    </row>
    <row r="117" spans="1:38" x14ac:dyDescent="0.3">
      <c r="A117" t="s">
        <v>90</v>
      </c>
      <c r="B117">
        <v>2253</v>
      </c>
      <c r="C117">
        <v>5</v>
      </c>
      <c r="D117" t="s">
        <v>264</v>
      </c>
      <c r="E117" t="s">
        <v>265</v>
      </c>
      <c r="F117">
        <v>630</v>
      </c>
      <c r="G117">
        <v>30.73</v>
      </c>
      <c r="H117">
        <v>101.61</v>
      </c>
      <c r="I117">
        <v>25.7</v>
      </c>
      <c r="J117">
        <v>84.99</v>
      </c>
      <c r="K117">
        <v>30</v>
      </c>
      <c r="T117">
        <v>4</v>
      </c>
      <c r="U117">
        <v>1</v>
      </c>
      <c r="V117" t="s">
        <v>93</v>
      </c>
      <c r="W117">
        <v>101</v>
      </c>
      <c r="X117">
        <v>5</v>
      </c>
      <c r="Y117">
        <v>5</v>
      </c>
      <c r="Z117" t="s">
        <v>266</v>
      </c>
      <c r="AA117" t="s">
        <v>267</v>
      </c>
      <c r="AB117" t="s">
        <v>96</v>
      </c>
      <c r="AC117" t="s">
        <v>97</v>
      </c>
      <c r="AD117" t="s">
        <v>98</v>
      </c>
      <c r="AG117" t="s">
        <v>268</v>
      </c>
      <c r="AH117">
        <v>0</v>
      </c>
      <c r="AI117">
        <v>118</v>
      </c>
      <c r="AJ117">
        <v>24</v>
      </c>
      <c r="AK117">
        <v>315</v>
      </c>
      <c r="AL117">
        <v>0.5</v>
      </c>
    </row>
    <row r="118" spans="1:38" x14ac:dyDescent="0.3">
      <c r="A118" t="s">
        <v>90</v>
      </c>
      <c r="B118">
        <v>2252</v>
      </c>
      <c r="C118">
        <v>1</v>
      </c>
      <c r="D118" t="s">
        <v>269</v>
      </c>
      <c r="E118" t="s">
        <v>270</v>
      </c>
      <c r="F118">
        <v>1248</v>
      </c>
      <c r="G118">
        <v>26.47</v>
      </c>
      <c r="H118">
        <v>87.52</v>
      </c>
      <c r="I118">
        <v>21.52</v>
      </c>
      <c r="J118">
        <v>71.17</v>
      </c>
      <c r="K118">
        <v>306</v>
      </c>
      <c r="T118">
        <v>3</v>
      </c>
      <c r="U118">
        <v>1</v>
      </c>
      <c r="V118" t="s">
        <v>93</v>
      </c>
      <c r="W118">
        <v>87</v>
      </c>
      <c r="X118">
        <v>20</v>
      </c>
      <c r="Y118">
        <v>17</v>
      </c>
      <c r="Z118" t="s">
        <v>271</v>
      </c>
      <c r="AA118" t="s">
        <v>272</v>
      </c>
      <c r="AB118" t="s">
        <v>96</v>
      </c>
      <c r="AC118" t="s">
        <v>97</v>
      </c>
      <c r="AD118" t="s">
        <v>98</v>
      </c>
      <c r="AG118" t="s">
        <v>273</v>
      </c>
      <c r="AH118">
        <v>0</v>
      </c>
      <c r="AI118">
        <v>259</v>
      </c>
      <c r="AJ118">
        <v>16</v>
      </c>
      <c r="AK118">
        <v>943</v>
      </c>
      <c r="AL118">
        <v>0.76</v>
      </c>
    </row>
    <row r="119" spans="1:38" x14ac:dyDescent="0.3">
      <c r="A119" t="s">
        <v>90</v>
      </c>
      <c r="B119">
        <v>2252</v>
      </c>
      <c r="C119">
        <v>2</v>
      </c>
      <c r="D119" t="s">
        <v>269</v>
      </c>
      <c r="E119" t="s">
        <v>270</v>
      </c>
      <c r="F119">
        <v>1248</v>
      </c>
      <c r="G119">
        <v>31.59</v>
      </c>
      <c r="H119">
        <v>104.46</v>
      </c>
      <c r="I119">
        <v>25.69</v>
      </c>
      <c r="J119">
        <v>84.94</v>
      </c>
      <c r="K119">
        <v>806</v>
      </c>
      <c r="T119">
        <v>3</v>
      </c>
      <c r="U119">
        <v>2</v>
      </c>
      <c r="V119" t="s">
        <v>93</v>
      </c>
      <c r="W119">
        <v>104</v>
      </c>
      <c r="X119">
        <v>20</v>
      </c>
      <c r="Y119">
        <v>17</v>
      </c>
      <c r="Z119" t="s">
        <v>271</v>
      </c>
      <c r="AA119" t="s">
        <v>272</v>
      </c>
      <c r="AB119" t="s">
        <v>96</v>
      </c>
      <c r="AC119" t="s">
        <v>97</v>
      </c>
      <c r="AD119" t="s">
        <v>98</v>
      </c>
      <c r="AG119" t="s">
        <v>273</v>
      </c>
      <c r="AH119">
        <v>0</v>
      </c>
      <c r="AI119">
        <v>259</v>
      </c>
      <c r="AJ119">
        <v>16</v>
      </c>
      <c r="AK119">
        <v>943</v>
      </c>
      <c r="AL119">
        <v>0.76</v>
      </c>
    </row>
    <row r="120" spans="1:38" x14ac:dyDescent="0.3">
      <c r="A120" t="s">
        <v>90</v>
      </c>
      <c r="B120">
        <v>2252</v>
      </c>
      <c r="C120">
        <v>3</v>
      </c>
      <c r="D120" t="s">
        <v>269</v>
      </c>
      <c r="E120" t="s">
        <v>270</v>
      </c>
      <c r="F120">
        <v>1248</v>
      </c>
      <c r="G120">
        <v>48.25</v>
      </c>
      <c r="H120">
        <v>159.53</v>
      </c>
      <c r="I120">
        <v>39.24</v>
      </c>
      <c r="J120">
        <v>129.72999999999999</v>
      </c>
      <c r="K120">
        <v>136</v>
      </c>
      <c r="T120">
        <v>4</v>
      </c>
      <c r="U120">
        <v>2</v>
      </c>
      <c r="V120" t="s">
        <v>93</v>
      </c>
      <c r="W120">
        <v>159</v>
      </c>
      <c r="X120">
        <v>20</v>
      </c>
      <c r="Y120">
        <v>17</v>
      </c>
      <c r="Z120" t="s">
        <v>271</v>
      </c>
      <c r="AA120" t="s">
        <v>272</v>
      </c>
      <c r="AB120" t="s">
        <v>96</v>
      </c>
      <c r="AC120" t="s">
        <v>97</v>
      </c>
      <c r="AD120" t="s">
        <v>98</v>
      </c>
      <c r="AG120" t="s">
        <v>273</v>
      </c>
      <c r="AH120">
        <v>0</v>
      </c>
      <c r="AI120">
        <v>259</v>
      </c>
      <c r="AJ120">
        <v>16</v>
      </c>
      <c r="AK120">
        <v>943</v>
      </c>
      <c r="AL120">
        <v>0.76</v>
      </c>
    </row>
    <row r="121" spans="1:38" x14ac:dyDescent="0.3">
      <c r="A121" t="s">
        <v>90</v>
      </c>
      <c r="B121">
        <v>2255</v>
      </c>
      <c r="C121">
        <v>1</v>
      </c>
      <c r="D121" t="s">
        <v>274</v>
      </c>
      <c r="E121" t="s">
        <v>275</v>
      </c>
      <c r="F121">
        <v>436</v>
      </c>
      <c r="G121">
        <v>34.82</v>
      </c>
      <c r="H121">
        <v>115.11</v>
      </c>
      <c r="I121">
        <v>27.27</v>
      </c>
      <c r="J121">
        <v>90.18</v>
      </c>
      <c r="K121">
        <v>260</v>
      </c>
      <c r="T121">
        <v>3</v>
      </c>
      <c r="U121">
        <v>2</v>
      </c>
      <c r="V121" t="s">
        <v>93</v>
      </c>
      <c r="W121">
        <v>115</v>
      </c>
      <c r="X121">
        <v>22</v>
      </c>
      <c r="Y121">
        <v>21</v>
      </c>
      <c r="Z121" t="s">
        <v>276</v>
      </c>
      <c r="AA121" t="s">
        <v>277</v>
      </c>
      <c r="AB121" t="s">
        <v>96</v>
      </c>
      <c r="AC121" t="s">
        <v>97</v>
      </c>
      <c r="AD121" t="s">
        <v>98</v>
      </c>
      <c r="AG121" t="s">
        <v>278</v>
      </c>
      <c r="AH121">
        <v>0</v>
      </c>
      <c r="AI121">
        <v>249</v>
      </c>
      <c r="AJ121">
        <v>15</v>
      </c>
      <c r="AK121">
        <v>623</v>
      </c>
      <c r="AL121">
        <v>1.43</v>
      </c>
    </row>
    <row r="122" spans="1:38" x14ac:dyDescent="0.3">
      <c r="A122" t="s">
        <v>90</v>
      </c>
      <c r="B122">
        <v>2255</v>
      </c>
      <c r="C122">
        <v>2</v>
      </c>
      <c r="D122" t="s">
        <v>274</v>
      </c>
      <c r="E122" t="s">
        <v>275</v>
      </c>
      <c r="F122">
        <v>436</v>
      </c>
      <c r="G122">
        <v>38.74</v>
      </c>
      <c r="H122">
        <v>128.09</v>
      </c>
      <c r="I122">
        <v>30.81</v>
      </c>
      <c r="J122">
        <v>101.88</v>
      </c>
      <c r="K122">
        <v>88</v>
      </c>
      <c r="T122">
        <v>4</v>
      </c>
      <c r="U122">
        <v>2</v>
      </c>
      <c r="V122" t="s">
        <v>93</v>
      </c>
      <c r="W122">
        <v>128</v>
      </c>
      <c r="X122">
        <v>22</v>
      </c>
      <c r="Y122">
        <v>21</v>
      </c>
      <c r="Z122" t="s">
        <v>276</v>
      </c>
      <c r="AA122" t="s">
        <v>277</v>
      </c>
      <c r="AB122" t="s">
        <v>96</v>
      </c>
      <c r="AC122" t="s">
        <v>97</v>
      </c>
      <c r="AD122" t="s">
        <v>98</v>
      </c>
      <c r="AG122" t="s">
        <v>278</v>
      </c>
      <c r="AH122">
        <v>0</v>
      </c>
      <c r="AI122">
        <v>249</v>
      </c>
      <c r="AJ122">
        <v>15</v>
      </c>
      <c r="AK122">
        <v>623</v>
      </c>
      <c r="AL122">
        <v>1.43</v>
      </c>
    </row>
    <row r="123" spans="1:38" x14ac:dyDescent="0.3">
      <c r="A123" t="s">
        <v>90</v>
      </c>
      <c r="B123">
        <v>2255</v>
      </c>
      <c r="C123">
        <v>3</v>
      </c>
      <c r="D123" t="s">
        <v>274</v>
      </c>
      <c r="E123" t="s">
        <v>275</v>
      </c>
      <c r="F123">
        <v>436</v>
      </c>
      <c r="G123">
        <v>43.02</v>
      </c>
      <c r="H123">
        <v>142.22999999999999</v>
      </c>
      <c r="I123">
        <v>34.67</v>
      </c>
      <c r="J123">
        <v>114.63</v>
      </c>
      <c r="K123">
        <v>88</v>
      </c>
      <c r="T123">
        <v>4</v>
      </c>
      <c r="U123">
        <v>2</v>
      </c>
      <c r="V123" t="s">
        <v>93</v>
      </c>
      <c r="W123">
        <v>142</v>
      </c>
      <c r="X123">
        <v>22</v>
      </c>
      <c r="Y123">
        <v>21</v>
      </c>
      <c r="Z123" t="s">
        <v>276</v>
      </c>
      <c r="AA123" t="s">
        <v>277</v>
      </c>
      <c r="AB123" t="s">
        <v>96</v>
      </c>
      <c r="AC123" t="s">
        <v>97</v>
      </c>
      <c r="AD123" t="s">
        <v>98</v>
      </c>
      <c r="AG123" t="s">
        <v>278</v>
      </c>
      <c r="AH123">
        <v>0</v>
      </c>
      <c r="AI123">
        <v>249</v>
      </c>
      <c r="AJ123">
        <v>15</v>
      </c>
      <c r="AK123">
        <v>623</v>
      </c>
      <c r="AL123">
        <v>1.43</v>
      </c>
    </row>
    <row r="124" spans="1:38" x14ac:dyDescent="0.3">
      <c r="A124" t="s">
        <v>90</v>
      </c>
      <c r="B124">
        <v>12694</v>
      </c>
      <c r="C124">
        <v>1</v>
      </c>
      <c r="D124" t="s">
        <v>279</v>
      </c>
      <c r="E124" t="s">
        <v>280</v>
      </c>
      <c r="F124">
        <v>40</v>
      </c>
      <c r="G124">
        <v>16.48</v>
      </c>
      <c r="H124">
        <v>54.48</v>
      </c>
      <c r="I124">
        <v>13.73</v>
      </c>
      <c r="J124">
        <v>45.4</v>
      </c>
      <c r="K124">
        <v>5</v>
      </c>
      <c r="T124">
        <v>2</v>
      </c>
      <c r="U124">
        <v>1</v>
      </c>
      <c r="V124" t="s">
        <v>93</v>
      </c>
      <c r="W124">
        <v>54</v>
      </c>
      <c r="X124">
        <v>5</v>
      </c>
      <c r="Y124">
        <v>5</v>
      </c>
      <c r="Z124" t="s">
        <v>281</v>
      </c>
      <c r="AA124" t="s">
        <v>282</v>
      </c>
      <c r="AB124" t="s">
        <v>96</v>
      </c>
      <c r="AC124" t="s">
        <v>97</v>
      </c>
      <c r="AD124" t="s">
        <v>98</v>
      </c>
      <c r="AG124" t="s">
        <v>283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90</v>
      </c>
      <c r="B125">
        <v>12694</v>
      </c>
      <c r="C125">
        <v>2</v>
      </c>
      <c r="D125" t="s">
        <v>279</v>
      </c>
      <c r="E125" t="s">
        <v>280</v>
      </c>
      <c r="F125">
        <v>40</v>
      </c>
      <c r="G125">
        <v>17.16</v>
      </c>
      <c r="H125">
        <v>56.74</v>
      </c>
      <c r="I125">
        <v>14.3</v>
      </c>
      <c r="J125">
        <v>47.29</v>
      </c>
      <c r="K125">
        <v>4</v>
      </c>
      <c r="T125">
        <v>2</v>
      </c>
      <c r="U125">
        <v>1</v>
      </c>
      <c r="V125" t="s">
        <v>93</v>
      </c>
      <c r="W125" t="s">
        <v>244</v>
      </c>
      <c r="X125">
        <v>5</v>
      </c>
      <c r="Y125">
        <v>5</v>
      </c>
      <c r="Z125" t="s">
        <v>281</v>
      </c>
      <c r="AA125" t="s">
        <v>282</v>
      </c>
      <c r="AB125" t="s">
        <v>96</v>
      </c>
      <c r="AC125" t="s">
        <v>97</v>
      </c>
      <c r="AD125" t="s">
        <v>98</v>
      </c>
      <c r="AG125" t="s">
        <v>283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90</v>
      </c>
      <c r="B126">
        <v>12694</v>
      </c>
      <c r="C126">
        <v>3</v>
      </c>
      <c r="D126" t="s">
        <v>279</v>
      </c>
      <c r="E126" t="s">
        <v>280</v>
      </c>
      <c r="F126">
        <v>40</v>
      </c>
      <c r="G126">
        <v>17.28</v>
      </c>
      <c r="H126">
        <v>57.13</v>
      </c>
      <c r="I126">
        <v>14.4</v>
      </c>
      <c r="J126">
        <v>47.61</v>
      </c>
      <c r="K126">
        <v>15</v>
      </c>
      <c r="T126">
        <v>2</v>
      </c>
      <c r="U126">
        <v>1</v>
      </c>
      <c r="V126" t="s">
        <v>93</v>
      </c>
      <c r="W126" t="s">
        <v>284</v>
      </c>
      <c r="X126">
        <v>5</v>
      </c>
      <c r="Y126">
        <v>5</v>
      </c>
      <c r="Z126" t="s">
        <v>281</v>
      </c>
      <c r="AA126" t="s">
        <v>282</v>
      </c>
      <c r="AB126" t="s">
        <v>96</v>
      </c>
      <c r="AC126" t="s">
        <v>97</v>
      </c>
      <c r="AD126" t="s">
        <v>98</v>
      </c>
      <c r="AG126" t="s">
        <v>283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90</v>
      </c>
      <c r="B127">
        <v>12694</v>
      </c>
      <c r="C127">
        <v>4</v>
      </c>
      <c r="D127" t="s">
        <v>279</v>
      </c>
      <c r="E127" t="s">
        <v>280</v>
      </c>
      <c r="F127">
        <v>40</v>
      </c>
      <c r="G127">
        <v>17.809999999999999</v>
      </c>
      <c r="H127">
        <v>58.9</v>
      </c>
      <c r="I127">
        <v>14.95</v>
      </c>
      <c r="J127">
        <v>49.45</v>
      </c>
      <c r="K127">
        <v>1</v>
      </c>
      <c r="T127">
        <v>2</v>
      </c>
      <c r="U127">
        <v>1</v>
      </c>
      <c r="V127" t="s">
        <v>93</v>
      </c>
      <c r="W127">
        <v>58</v>
      </c>
      <c r="X127">
        <v>5</v>
      </c>
      <c r="Y127">
        <v>5</v>
      </c>
      <c r="Z127" t="s">
        <v>281</v>
      </c>
      <c r="AA127" t="s">
        <v>282</v>
      </c>
      <c r="AB127" t="s">
        <v>96</v>
      </c>
      <c r="AC127" t="s">
        <v>97</v>
      </c>
      <c r="AD127" t="s">
        <v>98</v>
      </c>
      <c r="AG127" t="s">
        <v>283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90</v>
      </c>
      <c r="B128">
        <v>12694</v>
      </c>
      <c r="C128">
        <v>5</v>
      </c>
      <c r="D128" t="s">
        <v>279</v>
      </c>
      <c r="E128" t="s">
        <v>280</v>
      </c>
      <c r="F128">
        <v>40</v>
      </c>
      <c r="G128">
        <v>18.84</v>
      </c>
      <c r="H128">
        <v>62.31</v>
      </c>
      <c r="I128">
        <v>15.7</v>
      </c>
      <c r="J128">
        <v>51.93</v>
      </c>
      <c r="K128">
        <v>4</v>
      </c>
      <c r="T128">
        <v>2</v>
      </c>
      <c r="U128">
        <v>1</v>
      </c>
      <c r="V128" t="s">
        <v>93</v>
      </c>
      <c r="W128" t="s">
        <v>285</v>
      </c>
      <c r="X128">
        <v>5</v>
      </c>
      <c r="Y128">
        <v>5</v>
      </c>
      <c r="Z128" t="s">
        <v>281</v>
      </c>
      <c r="AA128" t="s">
        <v>282</v>
      </c>
      <c r="AB128" t="s">
        <v>96</v>
      </c>
      <c r="AC128" t="s">
        <v>97</v>
      </c>
      <c r="AD128" t="s">
        <v>98</v>
      </c>
      <c r="AG128" t="s">
        <v>283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90</v>
      </c>
      <c r="B129">
        <v>12694</v>
      </c>
      <c r="C129">
        <v>6</v>
      </c>
      <c r="D129" t="s">
        <v>279</v>
      </c>
      <c r="E129" t="s">
        <v>280</v>
      </c>
      <c r="F129">
        <v>40</v>
      </c>
      <c r="G129">
        <v>19.23</v>
      </c>
      <c r="H129">
        <v>63.58</v>
      </c>
      <c r="I129">
        <v>15.77</v>
      </c>
      <c r="J129">
        <v>52.16</v>
      </c>
      <c r="K129">
        <v>1</v>
      </c>
      <c r="T129">
        <v>2</v>
      </c>
      <c r="U129">
        <v>1</v>
      </c>
      <c r="V129" t="s">
        <v>93</v>
      </c>
      <c r="W129" t="s">
        <v>286</v>
      </c>
      <c r="X129">
        <v>5</v>
      </c>
      <c r="Y129">
        <v>5</v>
      </c>
      <c r="Z129" t="s">
        <v>281</v>
      </c>
      <c r="AA129" t="s">
        <v>282</v>
      </c>
      <c r="AB129" t="s">
        <v>96</v>
      </c>
      <c r="AC129" t="s">
        <v>97</v>
      </c>
      <c r="AD129" t="s">
        <v>98</v>
      </c>
      <c r="AG129" t="s">
        <v>283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90</v>
      </c>
      <c r="B130">
        <v>12694</v>
      </c>
      <c r="C130">
        <v>7</v>
      </c>
      <c r="D130" t="s">
        <v>279</v>
      </c>
      <c r="E130" t="s">
        <v>280</v>
      </c>
      <c r="F130">
        <v>40</v>
      </c>
      <c r="G130">
        <v>19.5</v>
      </c>
      <c r="H130">
        <v>64.47</v>
      </c>
      <c r="I130">
        <v>16.36</v>
      </c>
      <c r="J130">
        <v>54.09</v>
      </c>
      <c r="K130">
        <v>1</v>
      </c>
      <c r="T130">
        <v>2</v>
      </c>
      <c r="U130">
        <v>1</v>
      </c>
      <c r="V130" t="s">
        <v>93</v>
      </c>
      <c r="W130" t="s">
        <v>287</v>
      </c>
      <c r="X130">
        <v>5</v>
      </c>
      <c r="Y130">
        <v>5</v>
      </c>
      <c r="Z130" t="s">
        <v>281</v>
      </c>
      <c r="AA130" t="s">
        <v>282</v>
      </c>
      <c r="AB130" t="s">
        <v>96</v>
      </c>
      <c r="AC130" t="s">
        <v>97</v>
      </c>
      <c r="AD130" t="s">
        <v>98</v>
      </c>
      <c r="AG130" t="s">
        <v>283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90</v>
      </c>
      <c r="B131">
        <v>12694</v>
      </c>
      <c r="C131">
        <v>8</v>
      </c>
      <c r="D131" t="s">
        <v>279</v>
      </c>
      <c r="E131" t="s">
        <v>280</v>
      </c>
      <c r="F131">
        <v>40</v>
      </c>
      <c r="G131">
        <v>20.48</v>
      </c>
      <c r="H131">
        <v>67.709999999999994</v>
      </c>
      <c r="I131">
        <v>17.07</v>
      </c>
      <c r="J131">
        <v>56.43</v>
      </c>
      <c r="K131">
        <v>4</v>
      </c>
      <c r="T131">
        <v>2</v>
      </c>
      <c r="U131">
        <v>1</v>
      </c>
      <c r="V131" t="s">
        <v>93</v>
      </c>
      <c r="W131" t="s">
        <v>288</v>
      </c>
      <c r="X131">
        <v>5</v>
      </c>
      <c r="Y131">
        <v>5</v>
      </c>
      <c r="Z131" t="s">
        <v>281</v>
      </c>
      <c r="AA131" t="s">
        <v>282</v>
      </c>
      <c r="AB131" t="s">
        <v>96</v>
      </c>
      <c r="AC131" t="s">
        <v>97</v>
      </c>
      <c r="AD131" t="s">
        <v>98</v>
      </c>
      <c r="AG131" t="s">
        <v>283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90</v>
      </c>
      <c r="B132">
        <v>12694</v>
      </c>
      <c r="C132">
        <v>9</v>
      </c>
      <c r="D132" t="s">
        <v>279</v>
      </c>
      <c r="E132" t="s">
        <v>280</v>
      </c>
      <c r="F132">
        <v>40</v>
      </c>
      <c r="G132">
        <v>22.05</v>
      </c>
      <c r="H132">
        <v>72.900000000000006</v>
      </c>
      <c r="I132">
        <v>18.37</v>
      </c>
      <c r="J132">
        <v>60.75</v>
      </c>
      <c r="K132">
        <v>5</v>
      </c>
      <c r="T132">
        <v>2</v>
      </c>
      <c r="U132">
        <v>1</v>
      </c>
      <c r="V132" t="s">
        <v>93</v>
      </c>
      <c r="W132">
        <v>72</v>
      </c>
      <c r="X132">
        <v>5</v>
      </c>
      <c r="Y132">
        <v>5</v>
      </c>
      <c r="Z132" t="s">
        <v>281</v>
      </c>
      <c r="AA132" t="s">
        <v>282</v>
      </c>
      <c r="AB132" t="s">
        <v>96</v>
      </c>
      <c r="AC132" t="s">
        <v>97</v>
      </c>
      <c r="AD132" t="s">
        <v>98</v>
      </c>
      <c r="AG132" t="s">
        <v>283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90</v>
      </c>
      <c r="B133">
        <v>8517</v>
      </c>
      <c r="C133">
        <v>1</v>
      </c>
      <c r="D133" t="s">
        <v>289</v>
      </c>
      <c r="E133" t="s">
        <v>290</v>
      </c>
      <c r="F133">
        <v>80</v>
      </c>
      <c r="G133">
        <v>19.010000000000002</v>
      </c>
      <c r="H133">
        <v>62.85</v>
      </c>
      <c r="I133">
        <v>17.28</v>
      </c>
      <c r="J133">
        <v>57.14</v>
      </c>
      <c r="K133">
        <v>80</v>
      </c>
      <c r="T133">
        <v>2</v>
      </c>
      <c r="U133">
        <v>1</v>
      </c>
      <c r="V133" t="s">
        <v>93</v>
      </c>
      <c r="W133">
        <v>62</v>
      </c>
      <c r="X133">
        <v>5</v>
      </c>
      <c r="Y133">
        <v>5</v>
      </c>
      <c r="Z133" t="s">
        <v>291</v>
      </c>
      <c r="AA133" t="s">
        <v>292</v>
      </c>
      <c r="AB133" t="s">
        <v>96</v>
      </c>
      <c r="AC133" t="s">
        <v>97</v>
      </c>
      <c r="AD133" t="s">
        <v>98</v>
      </c>
      <c r="AG133" t="s">
        <v>293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90</v>
      </c>
      <c r="B134">
        <v>135505</v>
      </c>
      <c r="C134">
        <v>1</v>
      </c>
      <c r="D134" t="s">
        <v>294</v>
      </c>
      <c r="E134" t="s">
        <v>295</v>
      </c>
      <c r="F134">
        <v>15</v>
      </c>
      <c r="G134">
        <v>12.28</v>
      </c>
      <c r="H134">
        <v>40.61</v>
      </c>
      <c r="I134">
        <v>9.01</v>
      </c>
      <c r="J134">
        <v>29.79</v>
      </c>
      <c r="K134">
        <v>1</v>
      </c>
      <c r="T134">
        <v>1</v>
      </c>
      <c r="U134">
        <v>1</v>
      </c>
      <c r="V134" t="s">
        <v>93</v>
      </c>
      <c r="W134">
        <v>40</v>
      </c>
      <c r="X134">
        <v>5</v>
      </c>
      <c r="Y134">
        <v>4</v>
      </c>
      <c r="Z134" t="s">
        <v>296</v>
      </c>
      <c r="AA134" t="s">
        <v>297</v>
      </c>
      <c r="AB134" t="s">
        <v>96</v>
      </c>
      <c r="AC134" t="s">
        <v>97</v>
      </c>
      <c r="AD134" t="s">
        <v>98</v>
      </c>
      <c r="AG134" t="s">
        <v>298</v>
      </c>
      <c r="AH134">
        <v>0</v>
      </c>
      <c r="AI134">
        <v>227</v>
      </c>
      <c r="AJ134">
        <v>48</v>
      </c>
      <c r="AK134">
        <v>15</v>
      </c>
      <c r="AL134">
        <v>1</v>
      </c>
    </row>
    <row r="135" spans="1:38" x14ac:dyDescent="0.3">
      <c r="A135" t="s">
        <v>90</v>
      </c>
      <c r="B135">
        <v>135505</v>
      </c>
      <c r="C135">
        <v>2</v>
      </c>
      <c r="D135" t="s">
        <v>294</v>
      </c>
      <c r="E135" t="s">
        <v>295</v>
      </c>
      <c r="F135">
        <v>15</v>
      </c>
      <c r="G135">
        <v>16.84</v>
      </c>
      <c r="H135">
        <v>55.7</v>
      </c>
      <c r="I135">
        <v>13</v>
      </c>
      <c r="J135">
        <v>42.98</v>
      </c>
      <c r="K135">
        <v>1</v>
      </c>
      <c r="T135">
        <v>2</v>
      </c>
      <c r="U135">
        <v>1</v>
      </c>
      <c r="V135" t="s">
        <v>93</v>
      </c>
      <c r="W135">
        <v>55</v>
      </c>
      <c r="X135">
        <v>5</v>
      </c>
      <c r="Y135">
        <v>4</v>
      </c>
      <c r="Z135" t="s">
        <v>296</v>
      </c>
      <c r="AA135" t="s">
        <v>297</v>
      </c>
      <c r="AB135" t="s">
        <v>96</v>
      </c>
      <c r="AC135" t="s">
        <v>97</v>
      </c>
      <c r="AD135" t="s">
        <v>98</v>
      </c>
      <c r="AG135" t="s">
        <v>298</v>
      </c>
      <c r="AH135">
        <v>0</v>
      </c>
      <c r="AI135">
        <v>227</v>
      </c>
      <c r="AJ135">
        <v>48</v>
      </c>
      <c r="AK135">
        <v>15</v>
      </c>
      <c r="AL135">
        <v>1</v>
      </c>
    </row>
    <row r="136" spans="1:38" x14ac:dyDescent="0.3">
      <c r="A136" t="s">
        <v>90</v>
      </c>
      <c r="B136">
        <v>135505</v>
      </c>
      <c r="C136">
        <v>3</v>
      </c>
      <c r="D136" t="s">
        <v>294</v>
      </c>
      <c r="E136" t="s">
        <v>295</v>
      </c>
      <c r="F136">
        <v>15</v>
      </c>
      <c r="G136">
        <v>19.62</v>
      </c>
      <c r="H136">
        <v>64.89</v>
      </c>
      <c r="I136">
        <v>14.34</v>
      </c>
      <c r="J136">
        <v>47.41</v>
      </c>
      <c r="K136">
        <v>1</v>
      </c>
      <c r="T136">
        <v>2</v>
      </c>
      <c r="U136">
        <v>1</v>
      </c>
      <c r="V136" t="s">
        <v>93</v>
      </c>
      <c r="W136" t="s">
        <v>287</v>
      </c>
      <c r="X136">
        <v>5</v>
      </c>
      <c r="Y136">
        <v>4</v>
      </c>
      <c r="Z136" t="s">
        <v>296</v>
      </c>
      <c r="AA136" t="s">
        <v>297</v>
      </c>
      <c r="AB136" t="s">
        <v>96</v>
      </c>
      <c r="AC136" t="s">
        <v>97</v>
      </c>
      <c r="AD136" t="s">
        <v>98</v>
      </c>
      <c r="AG136" t="s">
        <v>298</v>
      </c>
      <c r="AH136">
        <v>0</v>
      </c>
      <c r="AI136">
        <v>227</v>
      </c>
      <c r="AJ136">
        <v>48</v>
      </c>
      <c r="AK136">
        <v>15</v>
      </c>
      <c r="AL136">
        <v>1</v>
      </c>
    </row>
    <row r="137" spans="1:38" x14ac:dyDescent="0.3">
      <c r="A137" t="s">
        <v>90</v>
      </c>
      <c r="B137">
        <v>135505</v>
      </c>
      <c r="C137">
        <v>4</v>
      </c>
      <c r="D137" t="s">
        <v>294</v>
      </c>
      <c r="E137" t="s">
        <v>295</v>
      </c>
      <c r="F137">
        <v>15</v>
      </c>
      <c r="G137">
        <v>19.73</v>
      </c>
      <c r="H137">
        <v>65.23</v>
      </c>
      <c r="I137">
        <v>14.65</v>
      </c>
      <c r="J137">
        <v>48.43</v>
      </c>
      <c r="K137">
        <v>2</v>
      </c>
      <c r="T137">
        <v>2</v>
      </c>
      <c r="U137">
        <v>1</v>
      </c>
      <c r="V137" t="s">
        <v>93</v>
      </c>
      <c r="W137" t="s">
        <v>299</v>
      </c>
      <c r="X137">
        <v>5</v>
      </c>
      <c r="Y137">
        <v>4</v>
      </c>
      <c r="Z137" t="s">
        <v>296</v>
      </c>
      <c r="AA137" t="s">
        <v>297</v>
      </c>
      <c r="AB137" t="s">
        <v>96</v>
      </c>
      <c r="AC137" t="s">
        <v>97</v>
      </c>
      <c r="AD137" t="s">
        <v>98</v>
      </c>
      <c r="AG137" t="s">
        <v>298</v>
      </c>
      <c r="AH137">
        <v>0</v>
      </c>
      <c r="AI137">
        <v>227</v>
      </c>
      <c r="AJ137">
        <v>48</v>
      </c>
      <c r="AK137">
        <v>15</v>
      </c>
      <c r="AL137">
        <v>1</v>
      </c>
    </row>
    <row r="138" spans="1:38" x14ac:dyDescent="0.3">
      <c r="A138" t="s">
        <v>90</v>
      </c>
      <c r="B138">
        <v>135505</v>
      </c>
      <c r="C138">
        <v>5</v>
      </c>
      <c r="D138" t="s">
        <v>294</v>
      </c>
      <c r="E138" t="s">
        <v>295</v>
      </c>
      <c r="F138">
        <v>15</v>
      </c>
      <c r="G138">
        <v>21.78</v>
      </c>
      <c r="H138">
        <v>72.03</v>
      </c>
      <c r="I138">
        <v>17.11</v>
      </c>
      <c r="J138">
        <v>56.58</v>
      </c>
      <c r="K138">
        <v>2</v>
      </c>
      <c r="T138">
        <v>3</v>
      </c>
      <c r="U138">
        <v>1</v>
      </c>
      <c r="V138" t="s">
        <v>93</v>
      </c>
      <c r="W138" t="s">
        <v>128</v>
      </c>
      <c r="X138">
        <v>5</v>
      </c>
      <c r="Y138">
        <v>4</v>
      </c>
      <c r="Z138" t="s">
        <v>296</v>
      </c>
      <c r="AA138" t="s">
        <v>297</v>
      </c>
      <c r="AB138" t="s">
        <v>96</v>
      </c>
      <c r="AC138" t="s">
        <v>97</v>
      </c>
      <c r="AD138" t="s">
        <v>98</v>
      </c>
      <c r="AG138" t="s">
        <v>298</v>
      </c>
      <c r="AH138">
        <v>0</v>
      </c>
      <c r="AI138">
        <v>227</v>
      </c>
      <c r="AJ138">
        <v>48</v>
      </c>
      <c r="AK138">
        <v>15</v>
      </c>
      <c r="AL138">
        <v>1</v>
      </c>
    </row>
    <row r="139" spans="1:38" x14ac:dyDescent="0.3">
      <c r="A139" t="s">
        <v>90</v>
      </c>
      <c r="B139">
        <v>135505</v>
      </c>
      <c r="C139">
        <v>6</v>
      </c>
      <c r="D139" t="s">
        <v>294</v>
      </c>
      <c r="E139" t="s">
        <v>295</v>
      </c>
      <c r="F139">
        <v>15</v>
      </c>
      <c r="G139">
        <v>21.78</v>
      </c>
      <c r="H139">
        <v>72.02</v>
      </c>
      <c r="I139">
        <v>17.170000000000002</v>
      </c>
      <c r="J139">
        <v>56.79</v>
      </c>
      <c r="K139">
        <v>1</v>
      </c>
      <c r="T139">
        <v>3</v>
      </c>
      <c r="U139">
        <v>1</v>
      </c>
      <c r="V139" t="s">
        <v>93</v>
      </c>
      <c r="W139" t="s">
        <v>300</v>
      </c>
      <c r="X139">
        <v>5</v>
      </c>
      <c r="Y139">
        <v>4</v>
      </c>
      <c r="Z139" t="s">
        <v>296</v>
      </c>
      <c r="AA139" t="s">
        <v>297</v>
      </c>
      <c r="AB139" t="s">
        <v>96</v>
      </c>
      <c r="AC139" t="s">
        <v>97</v>
      </c>
      <c r="AD139" t="s">
        <v>98</v>
      </c>
      <c r="AG139" t="s">
        <v>298</v>
      </c>
      <c r="AH139">
        <v>0</v>
      </c>
      <c r="AI139">
        <v>227</v>
      </c>
      <c r="AJ139">
        <v>48</v>
      </c>
      <c r="AK139">
        <v>15</v>
      </c>
      <c r="AL139">
        <v>1</v>
      </c>
    </row>
    <row r="140" spans="1:38" x14ac:dyDescent="0.3">
      <c r="A140" t="s">
        <v>90</v>
      </c>
      <c r="B140">
        <v>135505</v>
      </c>
      <c r="C140">
        <v>7</v>
      </c>
      <c r="D140" t="s">
        <v>294</v>
      </c>
      <c r="E140" t="s">
        <v>295</v>
      </c>
      <c r="F140">
        <v>15</v>
      </c>
      <c r="G140">
        <v>21.95</v>
      </c>
      <c r="H140">
        <v>72.58</v>
      </c>
      <c r="I140">
        <v>17.2</v>
      </c>
      <c r="J140">
        <v>56.89</v>
      </c>
      <c r="K140">
        <v>1</v>
      </c>
      <c r="T140">
        <v>3</v>
      </c>
      <c r="U140">
        <v>1</v>
      </c>
      <c r="V140" t="s">
        <v>93</v>
      </c>
      <c r="W140" t="s">
        <v>301</v>
      </c>
      <c r="X140">
        <v>5</v>
      </c>
      <c r="Y140">
        <v>4</v>
      </c>
      <c r="Z140" t="s">
        <v>296</v>
      </c>
      <c r="AA140" t="s">
        <v>297</v>
      </c>
      <c r="AB140" t="s">
        <v>96</v>
      </c>
      <c r="AC140" t="s">
        <v>97</v>
      </c>
      <c r="AD140" t="s">
        <v>98</v>
      </c>
      <c r="AG140" t="s">
        <v>298</v>
      </c>
      <c r="AH140">
        <v>0</v>
      </c>
      <c r="AI140">
        <v>227</v>
      </c>
      <c r="AJ140">
        <v>48</v>
      </c>
      <c r="AK140">
        <v>15</v>
      </c>
      <c r="AL140">
        <v>1</v>
      </c>
    </row>
    <row r="141" spans="1:38" x14ac:dyDescent="0.3">
      <c r="A141" t="s">
        <v>90</v>
      </c>
      <c r="B141">
        <v>135505</v>
      </c>
      <c r="C141">
        <v>8</v>
      </c>
      <c r="D141" t="s">
        <v>294</v>
      </c>
      <c r="E141" t="s">
        <v>295</v>
      </c>
      <c r="F141">
        <v>15</v>
      </c>
      <c r="G141">
        <v>22.22</v>
      </c>
      <c r="H141">
        <v>73.47</v>
      </c>
      <c r="I141">
        <v>16.28</v>
      </c>
      <c r="J141">
        <v>53.84</v>
      </c>
      <c r="K141">
        <v>2</v>
      </c>
      <c r="T141">
        <v>3</v>
      </c>
      <c r="U141">
        <v>1</v>
      </c>
      <c r="V141" t="s">
        <v>93</v>
      </c>
      <c r="W141" t="s">
        <v>302</v>
      </c>
      <c r="X141">
        <v>5</v>
      </c>
      <c r="Y141">
        <v>4</v>
      </c>
      <c r="Z141" t="s">
        <v>296</v>
      </c>
      <c r="AA141" t="s">
        <v>297</v>
      </c>
      <c r="AB141" t="s">
        <v>96</v>
      </c>
      <c r="AC141" t="s">
        <v>97</v>
      </c>
      <c r="AD141" t="s">
        <v>98</v>
      </c>
      <c r="AG141" t="s">
        <v>298</v>
      </c>
      <c r="AH141">
        <v>0</v>
      </c>
      <c r="AI141">
        <v>227</v>
      </c>
      <c r="AJ141">
        <v>48</v>
      </c>
      <c r="AK141">
        <v>15</v>
      </c>
      <c r="AL141">
        <v>1</v>
      </c>
    </row>
    <row r="142" spans="1:38" x14ac:dyDescent="0.3">
      <c r="A142" t="s">
        <v>90</v>
      </c>
      <c r="B142">
        <v>135505</v>
      </c>
      <c r="C142">
        <v>9</v>
      </c>
      <c r="D142" t="s">
        <v>294</v>
      </c>
      <c r="E142" t="s">
        <v>295</v>
      </c>
      <c r="F142">
        <v>15</v>
      </c>
      <c r="G142">
        <v>22.36</v>
      </c>
      <c r="H142">
        <v>73.94</v>
      </c>
      <c r="I142">
        <v>17.29</v>
      </c>
      <c r="J142">
        <v>57.19</v>
      </c>
      <c r="K142">
        <v>1</v>
      </c>
      <c r="T142">
        <v>3</v>
      </c>
      <c r="U142">
        <v>1</v>
      </c>
      <c r="V142" t="s">
        <v>93</v>
      </c>
      <c r="W142" t="s">
        <v>303</v>
      </c>
      <c r="X142">
        <v>5</v>
      </c>
      <c r="Y142">
        <v>4</v>
      </c>
      <c r="Z142" t="s">
        <v>296</v>
      </c>
      <c r="AA142" t="s">
        <v>297</v>
      </c>
      <c r="AB142" t="s">
        <v>96</v>
      </c>
      <c r="AC142" t="s">
        <v>97</v>
      </c>
      <c r="AD142" t="s">
        <v>98</v>
      </c>
      <c r="AG142" t="s">
        <v>298</v>
      </c>
      <c r="AH142">
        <v>0</v>
      </c>
      <c r="AI142">
        <v>227</v>
      </c>
      <c r="AJ142">
        <v>48</v>
      </c>
      <c r="AK142">
        <v>15</v>
      </c>
      <c r="AL142">
        <v>1</v>
      </c>
    </row>
    <row r="143" spans="1:38" x14ac:dyDescent="0.3">
      <c r="A143" t="s">
        <v>90</v>
      </c>
      <c r="B143">
        <v>135505</v>
      </c>
      <c r="C143">
        <v>10</v>
      </c>
      <c r="D143" t="s">
        <v>294</v>
      </c>
      <c r="E143" t="s">
        <v>295</v>
      </c>
      <c r="F143">
        <v>15</v>
      </c>
      <c r="G143">
        <v>22.64</v>
      </c>
      <c r="H143">
        <v>74.87</v>
      </c>
      <c r="I143">
        <v>17.59</v>
      </c>
      <c r="J143">
        <v>58.16</v>
      </c>
      <c r="K143">
        <v>2</v>
      </c>
      <c r="T143">
        <v>3</v>
      </c>
      <c r="U143">
        <v>1</v>
      </c>
      <c r="V143" t="s">
        <v>93</v>
      </c>
      <c r="W143">
        <v>74</v>
      </c>
      <c r="X143">
        <v>5</v>
      </c>
      <c r="Y143">
        <v>4</v>
      </c>
      <c r="Z143" t="s">
        <v>296</v>
      </c>
      <c r="AA143" t="s">
        <v>297</v>
      </c>
      <c r="AB143" t="s">
        <v>96</v>
      </c>
      <c r="AC143" t="s">
        <v>97</v>
      </c>
      <c r="AD143" t="s">
        <v>98</v>
      </c>
      <c r="AG143" t="s">
        <v>298</v>
      </c>
      <c r="AH143">
        <v>0</v>
      </c>
      <c r="AI143">
        <v>227</v>
      </c>
      <c r="AJ143">
        <v>48</v>
      </c>
      <c r="AK143">
        <v>15</v>
      </c>
      <c r="AL143">
        <v>1</v>
      </c>
    </row>
    <row r="144" spans="1:38" x14ac:dyDescent="0.3">
      <c r="A144" t="s">
        <v>90</v>
      </c>
      <c r="B144">
        <v>135505</v>
      </c>
      <c r="C144">
        <v>11</v>
      </c>
      <c r="D144" t="s">
        <v>294</v>
      </c>
      <c r="E144" t="s">
        <v>295</v>
      </c>
      <c r="F144">
        <v>15</v>
      </c>
      <c r="G144">
        <v>28.69</v>
      </c>
      <c r="H144">
        <v>94.87</v>
      </c>
      <c r="I144">
        <v>21.3</v>
      </c>
      <c r="J144">
        <v>70.42</v>
      </c>
      <c r="K144">
        <v>1</v>
      </c>
      <c r="T144">
        <v>3</v>
      </c>
      <c r="U144">
        <v>2</v>
      </c>
      <c r="V144" t="s">
        <v>93</v>
      </c>
      <c r="W144">
        <v>94</v>
      </c>
      <c r="X144">
        <v>5</v>
      </c>
      <c r="Y144">
        <v>4</v>
      </c>
      <c r="Z144" t="s">
        <v>296</v>
      </c>
      <c r="AA144" t="s">
        <v>297</v>
      </c>
      <c r="AB144" t="s">
        <v>96</v>
      </c>
      <c r="AC144" t="s">
        <v>97</v>
      </c>
      <c r="AD144" t="s">
        <v>98</v>
      </c>
      <c r="AG144" t="s">
        <v>298</v>
      </c>
      <c r="AH144">
        <v>0</v>
      </c>
      <c r="AI144">
        <v>227</v>
      </c>
      <c r="AJ144">
        <v>48</v>
      </c>
      <c r="AK144">
        <v>15</v>
      </c>
      <c r="AL144">
        <v>1</v>
      </c>
    </row>
    <row r="145" spans="1:38" x14ac:dyDescent="0.3">
      <c r="A145" t="s">
        <v>90</v>
      </c>
      <c r="B145">
        <v>2266</v>
      </c>
      <c r="C145">
        <v>1</v>
      </c>
      <c r="D145" t="s">
        <v>304</v>
      </c>
      <c r="E145" t="s">
        <v>305</v>
      </c>
      <c r="F145">
        <v>416</v>
      </c>
      <c r="G145">
        <v>29.97</v>
      </c>
      <c r="H145">
        <v>99.09</v>
      </c>
      <c r="I145">
        <v>25.07</v>
      </c>
      <c r="J145">
        <v>82.88</v>
      </c>
      <c r="K145">
        <v>386</v>
      </c>
      <c r="T145">
        <v>3</v>
      </c>
      <c r="U145">
        <v>1</v>
      </c>
      <c r="V145" t="s">
        <v>93</v>
      </c>
      <c r="W145" t="s">
        <v>306</v>
      </c>
      <c r="X145">
        <v>15</v>
      </c>
      <c r="Y145">
        <v>13</v>
      </c>
      <c r="Z145" t="s">
        <v>307</v>
      </c>
      <c r="AA145" t="s">
        <v>308</v>
      </c>
      <c r="AB145" t="s">
        <v>96</v>
      </c>
      <c r="AC145" t="s">
        <v>97</v>
      </c>
      <c r="AD145" t="s">
        <v>98</v>
      </c>
      <c r="AG145" t="s">
        <v>309</v>
      </c>
      <c r="AH145">
        <v>0</v>
      </c>
      <c r="AI145">
        <v>328</v>
      </c>
      <c r="AJ145">
        <v>24</v>
      </c>
      <c r="AK145">
        <v>416</v>
      </c>
      <c r="AL145">
        <v>1</v>
      </c>
    </row>
    <row r="146" spans="1:38" x14ac:dyDescent="0.3">
      <c r="A146" t="s">
        <v>90</v>
      </c>
      <c r="B146">
        <v>2266</v>
      </c>
      <c r="C146">
        <v>2</v>
      </c>
      <c r="D146" t="s">
        <v>304</v>
      </c>
      <c r="E146" t="s">
        <v>305</v>
      </c>
      <c r="F146">
        <v>416</v>
      </c>
      <c r="G146">
        <v>29.94</v>
      </c>
      <c r="H146">
        <v>99</v>
      </c>
      <c r="I146">
        <v>25.32</v>
      </c>
      <c r="J146">
        <v>83.72</v>
      </c>
      <c r="K146">
        <v>30</v>
      </c>
      <c r="T146">
        <v>3</v>
      </c>
      <c r="U146">
        <v>1</v>
      </c>
      <c r="V146" t="s">
        <v>93</v>
      </c>
      <c r="W146" t="s">
        <v>310</v>
      </c>
      <c r="X146">
        <v>15</v>
      </c>
      <c r="Y146">
        <v>13</v>
      </c>
      <c r="Z146" t="s">
        <v>307</v>
      </c>
      <c r="AA146" t="s">
        <v>308</v>
      </c>
      <c r="AB146" t="s">
        <v>96</v>
      </c>
      <c r="AC146" t="s">
        <v>97</v>
      </c>
      <c r="AD146" t="s">
        <v>98</v>
      </c>
      <c r="AG146" t="s">
        <v>309</v>
      </c>
      <c r="AH146">
        <v>0</v>
      </c>
      <c r="AI146">
        <v>328</v>
      </c>
      <c r="AJ146">
        <v>24</v>
      </c>
      <c r="AK146">
        <v>416</v>
      </c>
      <c r="AL146">
        <v>1</v>
      </c>
    </row>
    <row r="147" spans="1:38" x14ac:dyDescent="0.3">
      <c r="A147" t="s">
        <v>90</v>
      </c>
      <c r="B147">
        <v>2262</v>
      </c>
      <c r="C147">
        <v>1</v>
      </c>
      <c r="D147" t="s">
        <v>311</v>
      </c>
      <c r="E147" t="s">
        <v>312</v>
      </c>
      <c r="F147">
        <v>544</v>
      </c>
      <c r="G147">
        <v>37.950000000000003</v>
      </c>
      <c r="H147">
        <v>125.46</v>
      </c>
      <c r="I147">
        <v>30.42</v>
      </c>
      <c r="J147">
        <v>100.59</v>
      </c>
      <c r="K147">
        <v>544</v>
      </c>
      <c r="T147">
        <v>4</v>
      </c>
      <c r="U147">
        <v>2</v>
      </c>
      <c r="V147" t="s">
        <v>93</v>
      </c>
      <c r="W147">
        <v>125</v>
      </c>
      <c r="X147">
        <v>20</v>
      </c>
      <c r="Y147">
        <v>19</v>
      </c>
      <c r="Z147" t="s">
        <v>313</v>
      </c>
      <c r="AA147" t="s">
        <v>314</v>
      </c>
      <c r="AB147" t="s">
        <v>96</v>
      </c>
      <c r="AC147" t="s">
        <v>97</v>
      </c>
      <c r="AD147" t="s">
        <v>98</v>
      </c>
      <c r="AG147" t="s">
        <v>315</v>
      </c>
      <c r="AH147">
        <v>0</v>
      </c>
      <c r="AI147">
        <v>0</v>
      </c>
      <c r="AJ147">
        <v>19</v>
      </c>
      <c r="AK147">
        <v>843</v>
      </c>
      <c r="AL147">
        <v>1.55</v>
      </c>
    </row>
    <row r="148" spans="1:38" x14ac:dyDescent="0.3">
      <c r="A148" t="s">
        <v>90</v>
      </c>
      <c r="B148">
        <v>134764</v>
      </c>
      <c r="C148">
        <v>1</v>
      </c>
      <c r="D148" t="s">
        <v>316</v>
      </c>
      <c r="E148" t="s">
        <v>317</v>
      </c>
      <c r="F148">
        <v>7</v>
      </c>
      <c r="G148">
        <v>26.82</v>
      </c>
      <c r="H148">
        <v>88.67</v>
      </c>
      <c r="I148">
        <v>20.73</v>
      </c>
      <c r="J148">
        <v>68.55</v>
      </c>
      <c r="K148">
        <v>6</v>
      </c>
      <c r="T148">
        <v>3</v>
      </c>
      <c r="U148">
        <v>2</v>
      </c>
      <c r="V148" t="s">
        <v>93</v>
      </c>
      <c r="W148">
        <v>88</v>
      </c>
      <c r="X148">
        <v>11</v>
      </c>
      <c r="Y148">
        <v>10</v>
      </c>
      <c r="Z148" t="s">
        <v>318</v>
      </c>
      <c r="AA148" t="s">
        <v>319</v>
      </c>
      <c r="AB148" t="s">
        <v>96</v>
      </c>
      <c r="AC148" t="s">
        <v>97</v>
      </c>
      <c r="AD148" t="s">
        <v>98</v>
      </c>
      <c r="AG148" t="s">
        <v>320</v>
      </c>
      <c r="AH148">
        <v>0</v>
      </c>
      <c r="AI148">
        <v>308</v>
      </c>
      <c r="AJ148">
        <v>43</v>
      </c>
      <c r="AK148">
        <v>7</v>
      </c>
      <c r="AL148">
        <v>1</v>
      </c>
    </row>
    <row r="149" spans="1:38" x14ac:dyDescent="0.3">
      <c r="A149" t="s">
        <v>90</v>
      </c>
      <c r="B149">
        <v>134764</v>
      </c>
      <c r="C149">
        <v>2</v>
      </c>
      <c r="D149" t="s">
        <v>316</v>
      </c>
      <c r="E149" t="s">
        <v>317</v>
      </c>
      <c r="F149">
        <v>7</v>
      </c>
      <c r="G149">
        <v>35.42</v>
      </c>
      <c r="H149">
        <v>117.12</v>
      </c>
      <c r="I149">
        <v>26.49</v>
      </c>
      <c r="J149">
        <v>87.6</v>
      </c>
      <c r="K149">
        <v>1</v>
      </c>
      <c r="T149">
        <v>3</v>
      </c>
      <c r="U149">
        <v>2</v>
      </c>
      <c r="V149" t="s">
        <v>93</v>
      </c>
      <c r="W149">
        <v>117</v>
      </c>
      <c r="X149">
        <v>11</v>
      </c>
      <c r="Y149">
        <v>10</v>
      </c>
      <c r="Z149" t="s">
        <v>318</v>
      </c>
      <c r="AA149" t="s">
        <v>319</v>
      </c>
      <c r="AB149" t="s">
        <v>96</v>
      </c>
      <c r="AC149" t="s">
        <v>97</v>
      </c>
      <c r="AD149" t="s">
        <v>98</v>
      </c>
      <c r="AG149" t="s">
        <v>320</v>
      </c>
      <c r="AH149">
        <v>0</v>
      </c>
      <c r="AI149">
        <v>308</v>
      </c>
      <c r="AJ149">
        <v>43</v>
      </c>
      <c r="AK149">
        <v>7</v>
      </c>
      <c r="AL149">
        <v>1</v>
      </c>
    </row>
    <row r="150" spans="1:38" x14ac:dyDescent="0.3">
      <c r="A150" t="s">
        <v>90</v>
      </c>
      <c r="B150">
        <v>9558</v>
      </c>
      <c r="C150">
        <v>1</v>
      </c>
      <c r="D150" t="s">
        <v>321</v>
      </c>
      <c r="E150" t="s">
        <v>322</v>
      </c>
      <c r="F150">
        <v>48</v>
      </c>
      <c r="G150">
        <v>16.77</v>
      </c>
      <c r="H150">
        <v>55.44</v>
      </c>
      <c r="I150">
        <v>15.23</v>
      </c>
      <c r="J150">
        <v>50.37</v>
      </c>
      <c r="K150">
        <v>16</v>
      </c>
      <c r="T150">
        <v>2</v>
      </c>
      <c r="U150">
        <v>1</v>
      </c>
      <c r="V150" t="s">
        <v>93</v>
      </c>
      <c r="W150">
        <v>55</v>
      </c>
      <c r="X150">
        <v>4</v>
      </c>
      <c r="Y150">
        <v>4</v>
      </c>
      <c r="Z150" t="s">
        <v>323</v>
      </c>
      <c r="AA150" t="s">
        <v>324</v>
      </c>
      <c r="AB150" t="s">
        <v>96</v>
      </c>
      <c r="AC150" t="s">
        <v>97</v>
      </c>
      <c r="AD150" t="s">
        <v>98</v>
      </c>
      <c r="AG150" t="s">
        <v>325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90</v>
      </c>
      <c r="B151">
        <v>9558</v>
      </c>
      <c r="C151">
        <v>2</v>
      </c>
      <c r="D151" t="s">
        <v>321</v>
      </c>
      <c r="E151" t="s">
        <v>322</v>
      </c>
      <c r="F151">
        <v>48</v>
      </c>
      <c r="G151">
        <v>17.53</v>
      </c>
      <c r="H151">
        <v>57.96</v>
      </c>
      <c r="I151">
        <v>15.48</v>
      </c>
      <c r="J151">
        <v>51.19</v>
      </c>
      <c r="K151">
        <v>16</v>
      </c>
      <c r="T151">
        <v>3</v>
      </c>
      <c r="U151">
        <v>1</v>
      </c>
      <c r="V151" t="s">
        <v>93</v>
      </c>
      <c r="W151" t="s">
        <v>326</v>
      </c>
      <c r="X151">
        <v>4</v>
      </c>
      <c r="Y151">
        <v>4</v>
      </c>
      <c r="Z151" t="s">
        <v>323</v>
      </c>
      <c r="AA151" t="s">
        <v>324</v>
      </c>
      <c r="AB151" t="s">
        <v>96</v>
      </c>
      <c r="AC151" t="s">
        <v>97</v>
      </c>
      <c r="AD151" t="s">
        <v>98</v>
      </c>
      <c r="AG151" t="s">
        <v>325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90</v>
      </c>
      <c r="B152">
        <v>9558</v>
      </c>
      <c r="C152">
        <v>3</v>
      </c>
      <c r="D152" t="s">
        <v>321</v>
      </c>
      <c r="E152" t="s">
        <v>322</v>
      </c>
      <c r="F152">
        <v>48</v>
      </c>
      <c r="G152">
        <v>17.690000000000001</v>
      </c>
      <c r="H152">
        <v>58.51</v>
      </c>
      <c r="I152">
        <v>15.65</v>
      </c>
      <c r="J152">
        <v>51.74</v>
      </c>
      <c r="K152">
        <v>16</v>
      </c>
      <c r="T152">
        <v>3</v>
      </c>
      <c r="U152">
        <v>1</v>
      </c>
      <c r="V152" t="s">
        <v>93</v>
      </c>
      <c r="W152" t="s">
        <v>327</v>
      </c>
      <c r="X152">
        <v>4</v>
      </c>
      <c r="Y152">
        <v>4</v>
      </c>
      <c r="Z152" t="s">
        <v>323</v>
      </c>
      <c r="AA152" t="s">
        <v>324</v>
      </c>
      <c r="AB152" t="s">
        <v>96</v>
      </c>
      <c r="AC152" t="s">
        <v>97</v>
      </c>
      <c r="AD152" t="s">
        <v>98</v>
      </c>
      <c r="AG152" t="s">
        <v>325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90</v>
      </c>
      <c r="B153">
        <v>8531</v>
      </c>
      <c r="C153">
        <v>1</v>
      </c>
      <c r="D153" t="s">
        <v>328</v>
      </c>
      <c r="E153" t="s">
        <v>329</v>
      </c>
      <c r="F153">
        <v>70</v>
      </c>
      <c r="G153">
        <v>14.63</v>
      </c>
      <c r="H153">
        <v>48.37</v>
      </c>
      <c r="I153">
        <v>11.51</v>
      </c>
      <c r="J153">
        <v>38.07</v>
      </c>
      <c r="K153">
        <v>20</v>
      </c>
      <c r="T153">
        <v>2</v>
      </c>
      <c r="U153">
        <v>1</v>
      </c>
      <c r="V153" t="s">
        <v>93</v>
      </c>
      <c r="W153">
        <v>48</v>
      </c>
      <c r="X153">
        <v>5</v>
      </c>
      <c r="Y153">
        <v>5</v>
      </c>
      <c r="Z153" t="s">
        <v>330</v>
      </c>
      <c r="AA153" t="s">
        <v>331</v>
      </c>
      <c r="AB153" t="s">
        <v>96</v>
      </c>
      <c r="AC153" t="s">
        <v>97</v>
      </c>
      <c r="AD153" t="s">
        <v>98</v>
      </c>
      <c r="AG153" t="s">
        <v>332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90</v>
      </c>
      <c r="B154">
        <v>8531</v>
      </c>
      <c r="C154">
        <v>2</v>
      </c>
      <c r="D154" t="s">
        <v>328</v>
      </c>
      <c r="E154" t="s">
        <v>329</v>
      </c>
      <c r="F154">
        <v>70</v>
      </c>
      <c r="G154">
        <v>15.65</v>
      </c>
      <c r="H154">
        <v>51.75</v>
      </c>
      <c r="I154">
        <v>12.37</v>
      </c>
      <c r="J154">
        <v>40.92</v>
      </c>
      <c r="K154">
        <v>50</v>
      </c>
      <c r="T154">
        <v>2</v>
      </c>
      <c r="U154">
        <v>1</v>
      </c>
      <c r="V154" t="s">
        <v>93</v>
      </c>
      <c r="W154">
        <v>51</v>
      </c>
      <c r="X154">
        <v>5</v>
      </c>
      <c r="Y154">
        <v>5</v>
      </c>
      <c r="Z154" t="s">
        <v>330</v>
      </c>
      <c r="AA154" t="s">
        <v>331</v>
      </c>
      <c r="AB154" t="s">
        <v>96</v>
      </c>
      <c r="AC154" t="s">
        <v>97</v>
      </c>
      <c r="AD154" t="s">
        <v>98</v>
      </c>
      <c r="AG154" t="s">
        <v>332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90</v>
      </c>
      <c r="B155">
        <v>26240</v>
      </c>
      <c r="C155">
        <v>1</v>
      </c>
      <c r="D155" t="s">
        <v>333</v>
      </c>
      <c r="E155" t="s">
        <v>334</v>
      </c>
      <c r="F155">
        <v>42</v>
      </c>
      <c r="G155">
        <v>25.03</v>
      </c>
      <c r="H155">
        <v>82.76</v>
      </c>
      <c r="I155">
        <v>18.13</v>
      </c>
      <c r="J155">
        <v>59.96</v>
      </c>
      <c r="K155">
        <v>28</v>
      </c>
      <c r="T155">
        <v>3</v>
      </c>
      <c r="U155">
        <v>1</v>
      </c>
      <c r="V155" t="s">
        <v>93</v>
      </c>
      <c r="W155">
        <v>82</v>
      </c>
      <c r="X155">
        <v>9</v>
      </c>
      <c r="Y155">
        <v>5</v>
      </c>
      <c r="Z155" t="s">
        <v>335</v>
      </c>
      <c r="AA155" t="s">
        <v>336</v>
      </c>
      <c r="AB155" t="s">
        <v>96</v>
      </c>
      <c r="AC155" t="s">
        <v>97</v>
      </c>
      <c r="AD155" t="s">
        <v>98</v>
      </c>
      <c r="AG155" t="s">
        <v>337</v>
      </c>
      <c r="AH155">
        <v>0</v>
      </c>
      <c r="AI155">
        <v>199</v>
      </c>
      <c r="AJ155">
        <v>40</v>
      </c>
      <c r="AK155">
        <v>36</v>
      </c>
      <c r="AL155">
        <v>0.86</v>
      </c>
    </row>
    <row r="156" spans="1:38" x14ac:dyDescent="0.3">
      <c r="A156" t="s">
        <v>90</v>
      </c>
      <c r="B156">
        <v>26240</v>
      </c>
      <c r="C156">
        <v>2</v>
      </c>
      <c r="D156" t="s">
        <v>333</v>
      </c>
      <c r="E156" t="s">
        <v>334</v>
      </c>
      <c r="F156">
        <v>42</v>
      </c>
      <c r="G156">
        <v>27.06</v>
      </c>
      <c r="H156">
        <v>89.48</v>
      </c>
      <c r="I156">
        <v>19.63</v>
      </c>
      <c r="J156">
        <v>64.92</v>
      </c>
      <c r="K156">
        <v>4</v>
      </c>
      <c r="T156">
        <v>3</v>
      </c>
      <c r="U156">
        <v>1</v>
      </c>
      <c r="V156" t="s">
        <v>338</v>
      </c>
      <c r="W156">
        <v>89</v>
      </c>
      <c r="X156">
        <v>9</v>
      </c>
      <c r="Y156">
        <v>5</v>
      </c>
      <c r="Z156" t="s">
        <v>335</v>
      </c>
      <c r="AA156" t="s">
        <v>336</v>
      </c>
      <c r="AB156" t="s">
        <v>96</v>
      </c>
      <c r="AC156" t="s">
        <v>97</v>
      </c>
      <c r="AD156" t="s">
        <v>98</v>
      </c>
      <c r="AG156" t="s">
        <v>337</v>
      </c>
      <c r="AH156">
        <v>0</v>
      </c>
      <c r="AI156">
        <v>199</v>
      </c>
      <c r="AJ156">
        <v>40</v>
      </c>
      <c r="AK156">
        <v>36</v>
      </c>
      <c r="AL156">
        <v>0.86</v>
      </c>
    </row>
    <row r="157" spans="1:38" x14ac:dyDescent="0.3">
      <c r="A157" t="s">
        <v>90</v>
      </c>
      <c r="B157">
        <v>26240</v>
      </c>
      <c r="C157">
        <v>3</v>
      </c>
      <c r="D157" t="s">
        <v>333</v>
      </c>
      <c r="E157" t="s">
        <v>334</v>
      </c>
      <c r="F157">
        <v>42</v>
      </c>
      <c r="G157">
        <v>33.54</v>
      </c>
      <c r="H157">
        <v>110.9</v>
      </c>
      <c r="I157">
        <v>24.14</v>
      </c>
      <c r="J157">
        <v>79.819999999999993</v>
      </c>
      <c r="K157">
        <v>10</v>
      </c>
      <c r="T157">
        <v>3</v>
      </c>
      <c r="U157">
        <v>2</v>
      </c>
      <c r="V157" t="s">
        <v>338</v>
      </c>
      <c r="W157">
        <v>110</v>
      </c>
      <c r="X157">
        <v>9</v>
      </c>
      <c r="Y157">
        <v>5</v>
      </c>
      <c r="Z157" t="s">
        <v>335</v>
      </c>
      <c r="AA157" t="s">
        <v>336</v>
      </c>
      <c r="AB157" t="s">
        <v>96</v>
      </c>
      <c r="AC157" t="s">
        <v>97</v>
      </c>
      <c r="AD157" t="s">
        <v>98</v>
      </c>
      <c r="AG157" t="s">
        <v>337</v>
      </c>
      <c r="AH157">
        <v>0</v>
      </c>
      <c r="AI157">
        <v>199</v>
      </c>
      <c r="AJ157">
        <v>40</v>
      </c>
      <c r="AK157">
        <v>36</v>
      </c>
      <c r="AL157">
        <v>0.86</v>
      </c>
    </row>
    <row r="158" spans="1:38" x14ac:dyDescent="0.3">
      <c r="A158" t="s">
        <v>90</v>
      </c>
      <c r="B158">
        <v>8525</v>
      </c>
      <c r="C158">
        <v>1</v>
      </c>
      <c r="D158" t="s">
        <v>339</v>
      </c>
      <c r="E158" t="s">
        <v>194</v>
      </c>
      <c r="F158">
        <v>474</v>
      </c>
      <c r="G158">
        <v>15.59</v>
      </c>
      <c r="H158">
        <v>51.57</v>
      </c>
      <c r="I158">
        <v>12.27</v>
      </c>
      <c r="J158">
        <v>40.590000000000003</v>
      </c>
      <c r="K158">
        <v>360</v>
      </c>
      <c r="T158">
        <v>2</v>
      </c>
      <c r="U158">
        <v>1</v>
      </c>
      <c r="V158" t="s">
        <v>93</v>
      </c>
      <c r="W158">
        <v>51</v>
      </c>
      <c r="X158">
        <v>6</v>
      </c>
      <c r="Y158">
        <v>6</v>
      </c>
      <c r="Z158" t="s">
        <v>340</v>
      </c>
      <c r="AA158" t="s">
        <v>341</v>
      </c>
      <c r="AB158" t="s">
        <v>96</v>
      </c>
      <c r="AC158" t="s">
        <v>97</v>
      </c>
      <c r="AD158" t="s">
        <v>98</v>
      </c>
      <c r="AG158" t="s">
        <v>342</v>
      </c>
      <c r="AH158">
        <v>0</v>
      </c>
      <c r="AI158">
        <v>175</v>
      </c>
      <c r="AJ158">
        <v>29</v>
      </c>
      <c r="AK158">
        <v>474</v>
      </c>
      <c r="AL158">
        <v>1</v>
      </c>
    </row>
    <row r="159" spans="1:38" x14ac:dyDescent="0.3">
      <c r="A159" t="s">
        <v>90</v>
      </c>
      <c r="B159">
        <v>8525</v>
      </c>
      <c r="C159">
        <v>2</v>
      </c>
      <c r="D159" t="s">
        <v>339</v>
      </c>
      <c r="E159" t="s">
        <v>194</v>
      </c>
      <c r="F159">
        <v>474</v>
      </c>
      <c r="G159">
        <v>18.62</v>
      </c>
      <c r="H159">
        <v>61.57</v>
      </c>
      <c r="I159">
        <v>15</v>
      </c>
      <c r="J159">
        <v>49.59</v>
      </c>
      <c r="K159">
        <v>72</v>
      </c>
      <c r="T159">
        <v>2</v>
      </c>
      <c r="U159">
        <v>1</v>
      </c>
      <c r="V159" t="s">
        <v>93</v>
      </c>
      <c r="W159">
        <v>61</v>
      </c>
      <c r="X159">
        <v>6</v>
      </c>
      <c r="Y159">
        <v>6</v>
      </c>
      <c r="Z159" t="s">
        <v>340</v>
      </c>
      <c r="AA159" t="s">
        <v>341</v>
      </c>
      <c r="AB159" t="s">
        <v>96</v>
      </c>
      <c r="AC159" t="s">
        <v>97</v>
      </c>
      <c r="AD159" t="s">
        <v>98</v>
      </c>
      <c r="AG159" t="s">
        <v>342</v>
      </c>
      <c r="AH159">
        <v>0</v>
      </c>
      <c r="AI159">
        <v>175</v>
      </c>
      <c r="AJ159">
        <v>29</v>
      </c>
      <c r="AK159">
        <v>474</v>
      </c>
      <c r="AL159">
        <v>1</v>
      </c>
    </row>
    <row r="160" spans="1:38" x14ac:dyDescent="0.3">
      <c r="A160" t="s">
        <v>90</v>
      </c>
      <c r="B160">
        <v>8525</v>
      </c>
      <c r="C160">
        <v>3</v>
      </c>
      <c r="D160" t="s">
        <v>339</v>
      </c>
      <c r="E160" t="s">
        <v>194</v>
      </c>
      <c r="F160">
        <v>474</v>
      </c>
      <c r="G160">
        <v>21.66</v>
      </c>
      <c r="H160">
        <v>71.61</v>
      </c>
      <c r="I160">
        <v>17.59</v>
      </c>
      <c r="J160">
        <v>58.17</v>
      </c>
      <c r="K160">
        <v>36</v>
      </c>
      <c r="T160">
        <v>3</v>
      </c>
      <c r="U160">
        <v>1</v>
      </c>
      <c r="V160" t="s">
        <v>93</v>
      </c>
      <c r="W160">
        <v>71</v>
      </c>
      <c r="X160">
        <v>6</v>
      </c>
      <c r="Y160">
        <v>6</v>
      </c>
      <c r="Z160" t="s">
        <v>340</v>
      </c>
      <c r="AA160" t="s">
        <v>341</v>
      </c>
      <c r="AB160" t="s">
        <v>96</v>
      </c>
      <c r="AC160" t="s">
        <v>97</v>
      </c>
      <c r="AD160" t="s">
        <v>98</v>
      </c>
      <c r="AG160" t="s">
        <v>342</v>
      </c>
      <c r="AH160">
        <v>0</v>
      </c>
      <c r="AI160">
        <v>175</v>
      </c>
      <c r="AJ160">
        <v>29</v>
      </c>
      <c r="AK160">
        <v>474</v>
      </c>
      <c r="AL160">
        <v>1</v>
      </c>
    </row>
    <row r="161" spans="1:38" x14ac:dyDescent="0.3">
      <c r="A161" t="s">
        <v>90</v>
      </c>
      <c r="B161">
        <v>8525</v>
      </c>
      <c r="C161">
        <v>4</v>
      </c>
      <c r="D161" t="s">
        <v>339</v>
      </c>
      <c r="E161" t="s">
        <v>194</v>
      </c>
      <c r="F161">
        <v>474</v>
      </c>
      <c r="G161">
        <v>25.97</v>
      </c>
      <c r="H161">
        <v>85.86</v>
      </c>
      <c r="I161">
        <v>20.059999999999999</v>
      </c>
      <c r="J161">
        <v>66.33</v>
      </c>
      <c r="K161">
        <v>6</v>
      </c>
      <c r="T161">
        <v>3</v>
      </c>
      <c r="U161">
        <v>1</v>
      </c>
      <c r="V161" t="s">
        <v>93</v>
      </c>
      <c r="W161">
        <v>85</v>
      </c>
      <c r="X161">
        <v>6</v>
      </c>
      <c r="Y161">
        <v>6</v>
      </c>
      <c r="Z161" t="s">
        <v>340</v>
      </c>
      <c r="AA161" t="s">
        <v>341</v>
      </c>
      <c r="AB161" t="s">
        <v>96</v>
      </c>
      <c r="AC161" t="s">
        <v>97</v>
      </c>
      <c r="AD161" t="s">
        <v>98</v>
      </c>
      <c r="AG161" t="s">
        <v>342</v>
      </c>
      <c r="AH161">
        <v>0</v>
      </c>
      <c r="AI161">
        <v>175</v>
      </c>
      <c r="AJ161">
        <v>29</v>
      </c>
      <c r="AK161">
        <v>474</v>
      </c>
      <c r="AL161">
        <v>1</v>
      </c>
    </row>
    <row r="162" spans="1:38" x14ac:dyDescent="0.3">
      <c r="A162" t="s">
        <v>90</v>
      </c>
      <c r="B162">
        <v>8515</v>
      </c>
      <c r="C162">
        <v>1</v>
      </c>
      <c r="D162" t="s">
        <v>343</v>
      </c>
      <c r="E162" t="s">
        <v>130</v>
      </c>
      <c r="F162">
        <v>276</v>
      </c>
      <c r="G162">
        <v>21.29</v>
      </c>
      <c r="H162">
        <v>70.39</v>
      </c>
      <c r="I162">
        <v>17.47</v>
      </c>
      <c r="J162">
        <v>57.78</v>
      </c>
      <c r="K162">
        <v>84</v>
      </c>
      <c r="T162">
        <v>2</v>
      </c>
      <c r="U162">
        <v>1</v>
      </c>
      <c r="V162" t="s">
        <v>93</v>
      </c>
      <c r="W162">
        <v>70</v>
      </c>
      <c r="X162">
        <v>6</v>
      </c>
      <c r="Y162">
        <v>6</v>
      </c>
      <c r="Z162" t="s">
        <v>344</v>
      </c>
      <c r="AA162" t="s">
        <v>345</v>
      </c>
      <c r="AB162" t="s">
        <v>96</v>
      </c>
      <c r="AC162" t="s">
        <v>97</v>
      </c>
      <c r="AD162" t="s">
        <v>98</v>
      </c>
      <c r="AG162" t="s">
        <v>346</v>
      </c>
      <c r="AH162">
        <v>0</v>
      </c>
      <c r="AI162">
        <v>152</v>
      </c>
      <c r="AJ162">
        <v>28</v>
      </c>
      <c r="AK162">
        <v>112</v>
      </c>
      <c r="AL162">
        <v>0.41</v>
      </c>
    </row>
    <row r="163" spans="1:38" x14ac:dyDescent="0.3">
      <c r="A163" t="s">
        <v>90</v>
      </c>
      <c r="B163">
        <v>8515</v>
      </c>
      <c r="C163">
        <v>2</v>
      </c>
      <c r="D163" t="s">
        <v>343</v>
      </c>
      <c r="E163" t="s">
        <v>130</v>
      </c>
      <c r="F163">
        <v>276</v>
      </c>
      <c r="G163">
        <v>23.96</v>
      </c>
      <c r="H163">
        <v>79.22</v>
      </c>
      <c r="I163">
        <v>19.920000000000002</v>
      </c>
      <c r="J163">
        <v>65.88</v>
      </c>
      <c r="K163">
        <v>84</v>
      </c>
      <c r="T163">
        <v>3</v>
      </c>
      <c r="U163">
        <v>1</v>
      </c>
      <c r="V163" t="s">
        <v>93</v>
      </c>
      <c r="W163">
        <v>79</v>
      </c>
      <c r="X163">
        <v>6</v>
      </c>
      <c r="Y163">
        <v>6</v>
      </c>
      <c r="Z163" t="s">
        <v>344</v>
      </c>
      <c r="AA163" t="s">
        <v>345</v>
      </c>
      <c r="AB163" t="s">
        <v>96</v>
      </c>
      <c r="AC163" t="s">
        <v>97</v>
      </c>
      <c r="AD163" t="s">
        <v>98</v>
      </c>
      <c r="AG163" t="s">
        <v>346</v>
      </c>
      <c r="AH163">
        <v>0</v>
      </c>
      <c r="AI163">
        <v>152</v>
      </c>
      <c r="AJ163">
        <v>28</v>
      </c>
      <c r="AK163">
        <v>112</v>
      </c>
      <c r="AL163">
        <v>0.41</v>
      </c>
    </row>
    <row r="164" spans="1:38" x14ac:dyDescent="0.3">
      <c r="A164" t="s">
        <v>90</v>
      </c>
      <c r="B164">
        <v>8515</v>
      </c>
      <c r="C164">
        <v>3</v>
      </c>
      <c r="D164" t="s">
        <v>343</v>
      </c>
      <c r="E164" t="s">
        <v>130</v>
      </c>
      <c r="F164">
        <v>276</v>
      </c>
      <c r="G164">
        <v>26.54</v>
      </c>
      <c r="H164">
        <v>87.76</v>
      </c>
      <c r="I164">
        <v>22.22</v>
      </c>
      <c r="J164">
        <v>73.48</v>
      </c>
      <c r="K164">
        <v>108</v>
      </c>
      <c r="T164">
        <v>3</v>
      </c>
      <c r="U164">
        <v>1</v>
      </c>
      <c r="V164" t="s">
        <v>93</v>
      </c>
      <c r="W164">
        <v>87</v>
      </c>
      <c r="X164">
        <v>6</v>
      </c>
      <c r="Y164">
        <v>6</v>
      </c>
      <c r="Z164" t="s">
        <v>344</v>
      </c>
      <c r="AA164" t="s">
        <v>345</v>
      </c>
      <c r="AB164" t="s">
        <v>96</v>
      </c>
      <c r="AC164" t="s">
        <v>97</v>
      </c>
      <c r="AD164" t="s">
        <v>98</v>
      </c>
      <c r="AG164" t="s">
        <v>346</v>
      </c>
      <c r="AH164">
        <v>0</v>
      </c>
      <c r="AI164">
        <v>152</v>
      </c>
      <c r="AJ164">
        <v>28</v>
      </c>
      <c r="AK164">
        <v>112</v>
      </c>
      <c r="AL164">
        <v>0.41</v>
      </c>
    </row>
    <row r="165" spans="1:38" x14ac:dyDescent="0.3">
      <c r="A165" t="s">
        <v>90</v>
      </c>
      <c r="B165">
        <v>27018</v>
      </c>
      <c r="C165">
        <v>1</v>
      </c>
      <c r="D165" t="s">
        <v>347</v>
      </c>
      <c r="E165" t="s">
        <v>348</v>
      </c>
      <c r="F165">
        <v>504</v>
      </c>
      <c r="G165">
        <v>16.23</v>
      </c>
      <c r="H165">
        <v>53.67</v>
      </c>
      <c r="I165">
        <v>12.32</v>
      </c>
      <c r="J165">
        <v>40.76</v>
      </c>
      <c r="K165">
        <v>204</v>
      </c>
      <c r="T165">
        <v>2</v>
      </c>
      <c r="U165">
        <v>1</v>
      </c>
      <c r="V165" t="s">
        <v>93</v>
      </c>
      <c r="W165" t="s">
        <v>175</v>
      </c>
      <c r="X165">
        <v>6</v>
      </c>
      <c r="Y165">
        <v>6</v>
      </c>
      <c r="Z165" t="s">
        <v>349</v>
      </c>
      <c r="AA165" t="s">
        <v>350</v>
      </c>
      <c r="AB165" t="s">
        <v>96</v>
      </c>
      <c r="AC165" t="s">
        <v>97</v>
      </c>
      <c r="AD165" t="s">
        <v>98</v>
      </c>
      <c r="AG165" t="s">
        <v>351</v>
      </c>
      <c r="AH165">
        <v>0</v>
      </c>
      <c r="AI165">
        <v>192</v>
      </c>
      <c r="AJ165">
        <v>32</v>
      </c>
      <c r="AK165">
        <v>0</v>
      </c>
      <c r="AL165">
        <v>0</v>
      </c>
    </row>
    <row r="166" spans="1:38" x14ac:dyDescent="0.3">
      <c r="A166" t="s">
        <v>90</v>
      </c>
      <c r="B166">
        <v>27018</v>
      </c>
      <c r="C166">
        <v>2</v>
      </c>
      <c r="D166" t="s">
        <v>347</v>
      </c>
      <c r="E166" t="s">
        <v>348</v>
      </c>
      <c r="F166">
        <v>504</v>
      </c>
      <c r="G166">
        <v>16.39</v>
      </c>
      <c r="H166">
        <v>54.19</v>
      </c>
      <c r="I166">
        <v>12.46</v>
      </c>
      <c r="J166">
        <v>41.21</v>
      </c>
      <c r="K166">
        <v>6</v>
      </c>
      <c r="T166">
        <v>2</v>
      </c>
      <c r="U166">
        <v>1</v>
      </c>
      <c r="V166" t="s">
        <v>93</v>
      </c>
      <c r="W166" t="s">
        <v>352</v>
      </c>
      <c r="X166">
        <v>6</v>
      </c>
      <c r="Y166">
        <v>6</v>
      </c>
      <c r="Z166" t="s">
        <v>349</v>
      </c>
      <c r="AA166" t="s">
        <v>350</v>
      </c>
      <c r="AB166" t="s">
        <v>96</v>
      </c>
      <c r="AC166" t="s">
        <v>97</v>
      </c>
      <c r="AD166" t="s">
        <v>98</v>
      </c>
      <c r="AG166" t="s">
        <v>351</v>
      </c>
      <c r="AH166">
        <v>0</v>
      </c>
      <c r="AI166">
        <v>192</v>
      </c>
      <c r="AJ166">
        <v>32</v>
      </c>
      <c r="AK166">
        <v>0</v>
      </c>
      <c r="AL166">
        <v>0</v>
      </c>
    </row>
    <row r="167" spans="1:38" x14ac:dyDescent="0.3">
      <c r="A167" t="s">
        <v>90</v>
      </c>
      <c r="B167">
        <v>27018</v>
      </c>
      <c r="C167">
        <v>3</v>
      </c>
      <c r="D167" t="s">
        <v>347</v>
      </c>
      <c r="E167" t="s">
        <v>348</v>
      </c>
      <c r="F167">
        <v>504</v>
      </c>
      <c r="G167">
        <v>19.190000000000001</v>
      </c>
      <c r="H167">
        <v>63.46</v>
      </c>
      <c r="I167">
        <v>14.86</v>
      </c>
      <c r="J167">
        <v>49.13</v>
      </c>
      <c r="K167">
        <v>150</v>
      </c>
      <c r="T167">
        <v>3</v>
      </c>
      <c r="U167">
        <v>1</v>
      </c>
      <c r="V167" t="s">
        <v>93</v>
      </c>
      <c r="W167">
        <v>63</v>
      </c>
      <c r="X167">
        <v>6</v>
      </c>
      <c r="Y167">
        <v>6</v>
      </c>
      <c r="Z167" t="s">
        <v>349</v>
      </c>
      <c r="AA167" t="s">
        <v>350</v>
      </c>
      <c r="AB167" t="s">
        <v>96</v>
      </c>
      <c r="AC167" t="s">
        <v>97</v>
      </c>
      <c r="AD167" t="s">
        <v>98</v>
      </c>
      <c r="AG167" t="s">
        <v>351</v>
      </c>
      <c r="AH167">
        <v>0</v>
      </c>
      <c r="AI167">
        <v>192</v>
      </c>
      <c r="AJ167">
        <v>32</v>
      </c>
      <c r="AK167">
        <v>0</v>
      </c>
      <c r="AL167">
        <v>0</v>
      </c>
    </row>
    <row r="168" spans="1:38" x14ac:dyDescent="0.3">
      <c r="A168" t="s">
        <v>90</v>
      </c>
      <c r="B168">
        <v>27018</v>
      </c>
      <c r="C168">
        <v>4</v>
      </c>
      <c r="D168" t="s">
        <v>347</v>
      </c>
      <c r="E168" t="s">
        <v>348</v>
      </c>
      <c r="F168">
        <v>504</v>
      </c>
      <c r="G168">
        <v>20.87</v>
      </c>
      <c r="H168">
        <v>69.010000000000005</v>
      </c>
      <c r="I168">
        <v>16.29</v>
      </c>
      <c r="J168">
        <v>53.87</v>
      </c>
      <c r="K168">
        <v>36</v>
      </c>
      <c r="T168">
        <v>3</v>
      </c>
      <c r="U168">
        <v>1</v>
      </c>
      <c r="V168" t="s">
        <v>93</v>
      </c>
      <c r="W168">
        <v>69</v>
      </c>
      <c r="X168">
        <v>6</v>
      </c>
      <c r="Y168">
        <v>6</v>
      </c>
      <c r="Z168" t="s">
        <v>349</v>
      </c>
      <c r="AA168" t="s">
        <v>350</v>
      </c>
      <c r="AB168" t="s">
        <v>96</v>
      </c>
      <c r="AC168" t="s">
        <v>97</v>
      </c>
      <c r="AD168" t="s">
        <v>98</v>
      </c>
      <c r="AG168" t="s">
        <v>351</v>
      </c>
      <c r="AH168">
        <v>0</v>
      </c>
      <c r="AI168">
        <v>192</v>
      </c>
      <c r="AJ168">
        <v>32</v>
      </c>
      <c r="AK168">
        <v>0</v>
      </c>
      <c r="AL168">
        <v>0</v>
      </c>
    </row>
    <row r="169" spans="1:38" x14ac:dyDescent="0.3">
      <c r="A169" t="s">
        <v>90</v>
      </c>
      <c r="B169">
        <v>27018</v>
      </c>
      <c r="C169">
        <v>5</v>
      </c>
      <c r="D169" t="s">
        <v>347</v>
      </c>
      <c r="E169" t="s">
        <v>348</v>
      </c>
      <c r="F169">
        <v>504</v>
      </c>
      <c r="G169">
        <v>21.83</v>
      </c>
      <c r="H169">
        <v>72.17</v>
      </c>
      <c r="I169">
        <v>15.56</v>
      </c>
      <c r="J169">
        <v>51.46</v>
      </c>
      <c r="K169">
        <v>6</v>
      </c>
      <c r="T169">
        <v>3</v>
      </c>
      <c r="U169">
        <v>1</v>
      </c>
      <c r="V169" t="s">
        <v>93</v>
      </c>
      <c r="W169" t="s">
        <v>162</v>
      </c>
      <c r="X169">
        <v>6</v>
      </c>
      <c r="Y169">
        <v>6</v>
      </c>
      <c r="Z169" t="s">
        <v>349</v>
      </c>
      <c r="AA169" t="s">
        <v>350</v>
      </c>
      <c r="AB169" t="s">
        <v>96</v>
      </c>
      <c r="AC169" t="s">
        <v>97</v>
      </c>
      <c r="AD169" t="s">
        <v>98</v>
      </c>
      <c r="AG169" t="s">
        <v>351</v>
      </c>
      <c r="AH169">
        <v>0</v>
      </c>
      <c r="AI169">
        <v>192</v>
      </c>
      <c r="AJ169">
        <v>32</v>
      </c>
      <c r="AK169">
        <v>0</v>
      </c>
      <c r="AL169">
        <v>0</v>
      </c>
    </row>
    <row r="170" spans="1:38" x14ac:dyDescent="0.3">
      <c r="A170" t="s">
        <v>90</v>
      </c>
      <c r="B170">
        <v>27018</v>
      </c>
      <c r="C170">
        <v>6</v>
      </c>
      <c r="D170" t="s">
        <v>347</v>
      </c>
      <c r="E170" t="s">
        <v>348</v>
      </c>
      <c r="F170">
        <v>504</v>
      </c>
      <c r="G170">
        <v>22.48</v>
      </c>
      <c r="H170">
        <v>74.34</v>
      </c>
      <c r="I170">
        <v>17.670000000000002</v>
      </c>
      <c r="J170">
        <v>58.43</v>
      </c>
      <c r="K170">
        <v>60</v>
      </c>
      <c r="T170">
        <v>3</v>
      </c>
      <c r="U170">
        <v>1</v>
      </c>
      <c r="V170" t="s">
        <v>93</v>
      </c>
      <c r="W170" t="s">
        <v>353</v>
      </c>
      <c r="X170">
        <v>6</v>
      </c>
      <c r="Y170">
        <v>6</v>
      </c>
      <c r="Z170" t="s">
        <v>349</v>
      </c>
      <c r="AA170" t="s">
        <v>350</v>
      </c>
      <c r="AB170" t="s">
        <v>96</v>
      </c>
      <c r="AC170" t="s">
        <v>97</v>
      </c>
      <c r="AD170" t="s">
        <v>98</v>
      </c>
      <c r="AG170" t="s">
        <v>351</v>
      </c>
      <c r="AH170">
        <v>0</v>
      </c>
      <c r="AI170">
        <v>192</v>
      </c>
      <c r="AJ170">
        <v>32</v>
      </c>
      <c r="AK170">
        <v>0</v>
      </c>
      <c r="AL170">
        <v>0</v>
      </c>
    </row>
    <row r="171" spans="1:38" x14ac:dyDescent="0.3">
      <c r="A171" t="s">
        <v>90</v>
      </c>
      <c r="B171">
        <v>27018</v>
      </c>
      <c r="C171">
        <v>7</v>
      </c>
      <c r="D171" t="s">
        <v>347</v>
      </c>
      <c r="E171" t="s">
        <v>348</v>
      </c>
      <c r="F171">
        <v>504</v>
      </c>
      <c r="G171">
        <v>22.89</v>
      </c>
      <c r="H171">
        <v>75.680000000000007</v>
      </c>
      <c r="I171">
        <v>18.010000000000002</v>
      </c>
      <c r="J171">
        <v>59.57</v>
      </c>
      <c r="K171">
        <v>36</v>
      </c>
      <c r="T171">
        <v>3</v>
      </c>
      <c r="U171">
        <v>1</v>
      </c>
      <c r="V171" t="s">
        <v>93</v>
      </c>
      <c r="W171">
        <v>75</v>
      </c>
      <c r="X171">
        <v>6</v>
      </c>
      <c r="Y171">
        <v>6</v>
      </c>
      <c r="Z171" t="s">
        <v>349</v>
      </c>
      <c r="AA171" t="s">
        <v>350</v>
      </c>
      <c r="AB171" t="s">
        <v>96</v>
      </c>
      <c r="AC171" t="s">
        <v>97</v>
      </c>
      <c r="AD171" t="s">
        <v>98</v>
      </c>
      <c r="AG171" t="s">
        <v>351</v>
      </c>
      <c r="AH171">
        <v>0</v>
      </c>
      <c r="AI171">
        <v>192</v>
      </c>
      <c r="AJ171">
        <v>32</v>
      </c>
      <c r="AK171">
        <v>0</v>
      </c>
      <c r="AL171">
        <v>0</v>
      </c>
    </row>
    <row r="172" spans="1:38" x14ac:dyDescent="0.3">
      <c r="A172" t="s">
        <v>90</v>
      </c>
      <c r="B172">
        <v>27018</v>
      </c>
      <c r="C172">
        <v>8</v>
      </c>
      <c r="D172" t="s">
        <v>347</v>
      </c>
      <c r="E172" t="s">
        <v>348</v>
      </c>
      <c r="F172">
        <v>504</v>
      </c>
      <c r="G172">
        <v>23.61</v>
      </c>
      <c r="H172">
        <v>78.069999999999993</v>
      </c>
      <c r="I172">
        <v>17.09</v>
      </c>
      <c r="J172">
        <v>56.5</v>
      </c>
      <c r="K172">
        <v>6</v>
      </c>
      <c r="T172">
        <v>3</v>
      </c>
      <c r="U172">
        <v>1</v>
      </c>
      <c r="V172" t="s">
        <v>93</v>
      </c>
      <c r="W172">
        <v>78</v>
      </c>
      <c r="X172">
        <v>6</v>
      </c>
      <c r="Y172">
        <v>6</v>
      </c>
      <c r="Z172" t="s">
        <v>349</v>
      </c>
      <c r="AA172" t="s">
        <v>350</v>
      </c>
      <c r="AB172" t="s">
        <v>96</v>
      </c>
      <c r="AC172" t="s">
        <v>97</v>
      </c>
      <c r="AD172" t="s">
        <v>98</v>
      </c>
      <c r="AG172" t="s">
        <v>351</v>
      </c>
      <c r="AH172">
        <v>0</v>
      </c>
      <c r="AI172">
        <v>192</v>
      </c>
      <c r="AJ172">
        <v>32</v>
      </c>
      <c r="AK172">
        <v>0</v>
      </c>
      <c r="AL172">
        <v>0</v>
      </c>
    </row>
    <row r="173" spans="1:38" x14ac:dyDescent="0.3">
      <c r="A173" t="s">
        <v>90</v>
      </c>
      <c r="B173">
        <v>2265</v>
      </c>
      <c r="C173">
        <v>1</v>
      </c>
      <c r="D173" t="s">
        <v>354</v>
      </c>
      <c r="E173" t="s">
        <v>239</v>
      </c>
      <c r="F173">
        <v>994</v>
      </c>
      <c r="G173">
        <v>14.2</v>
      </c>
      <c r="H173">
        <v>46.95</v>
      </c>
      <c r="I173">
        <v>11.24</v>
      </c>
      <c r="J173">
        <v>37.17</v>
      </c>
      <c r="K173">
        <v>289</v>
      </c>
      <c r="T173">
        <v>2</v>
      </c>
      <c r="U173">
        <v>1</v>
      </c>
      <c r="V173" t="s">
        <v>93</v>
      </c>
      <c r="W173">
        <v>46</v>
      </c>
      <c r="X173">
        <v>6</v>
      </c>
      <c r="Y173">
        <v>6</v>
      </c>
      <c r="Z173" t="s">
        <v>355</v>
      </c>
      <c r="AA173" t="s">
        <v>356</v>
      </c>
      <c r="AB173" t="s">
        <v>96</v>
      </c>
      <c r="AC173" t="s">
        <v>97</v>
      </c>
      <c r="AD173" t="s">
        <v>98</v>
      </c>
      <c r="AG173" t="s">
        <v>357</v>
      </c>
      <c r="AH173">
        <v>0</v>
      </c>
      <c r="AI173">
        <v>182</v>
      </c>
      <c r="AJ173">
        <v>31</v>
      </c>
      <c r="AK173">
        <v>996</v>
      </c>
      <c r="AL173">
        <v>1</v>
      </c>
    </row>
    <row r="174" spans="1:38" x14ac:dyDescent="0.3">
      <c r="A174" t="s">
        <v>90</v>
      </c>
      <c r="B174">
        <v>2265</v>
      </c>
      <c r="C174">
        <v>2</v>
      </c>
      <c r="D174" t="s">
        <v>354</v>
      </c>
      <c r="E174" t="s">
        <v>239</v>
      </c>
      <c r="F174">
        <v>994</v>
      </c>
      <c r="G174">
        <v>15.28</v>
      </c>
      <c r="H174">
        <v>50.52</v>
      </c>
      <c r="I174">
        <v>12.08</v>
      </c>
      <c r="J174">
        <v>39.96</v>
      </c>
      <c r="K174">
        <v>549</v>
      </c>
      <c r="T174">
        <v>2</v>
      </c>
      <c r="U174">
        <v>1</v>
      </c>
      <c r="V174" t="s">
        <v>93</v>
      </c>
      <c r="W174">
        <v>50</v>
      </c>
      <c r="X174">
        <v>6</v>
      </c>
      <c r="Y174">
        <v>6</v>
      </c>
      <c r="Z174" t="s">
        <v>355</v>
      </c>
      <c r="AA174" t="s">
        <v>356</v>
      </c>
      <c r="AB174" t="s">
        <v>96</v>
      </c>
      <c r="AC174" t="s">
        <v>97</v>
      </c>
      <c r="AD174" t="s">
        <v>98</v>
      </c>
      <c r="AG174" t="s">
        <v>357</v>
      </c>
      <c r="AH174">
        <v>0</v>
      </c>
      <c r="AI174">
        <v>182</v>
      </c>
      <c r="AJ174">
        <v>31</v>
      </c>
      <c r="AK174">
        <v>996</v>
      </c>
      <c r="AL174">
        <v>1</v>
      </c>
    </row>
    <row r="175" spans="1:38" x14ac:dyDescent="0.3">
      <c r="A175" t="s">
        <v>90</v>
      </c>
      <c r="B175">
        <v>2265</v>
      </c>
      <c r="C175">
        <v>3</v>
      </c>
      <c r="D175" t="s">
        <v>354</v>
      </c>
      <c r="E175" t="s">
        <v>239</v>
      </c>
      <c r="F175">
        <v>994</v>
      </c>
      <c r="G175">
        <v>16.149999999999999</v>
      </c>
      <c r="H175">
        <v>53.4</v>
      </c>
      <c r="I175">
        <v>12.93</v>
      </c>
      <c r="J175">
        <v>42.75</v>
      </c>
      <c r="K175">
        <v>48</v>
      </c>
      <c r="T175">
        <v>2</v>
      </c>
      <c r="U175">
        <v>1</v>
      </c>
      <c r="V175" t="s">
        <v>93</v>
      </c>
      <c r="W175">
        <v>53</v>
      </c>
      <c r="X175">
        <v>6</v>
      </c>
      <c r="Y175">
        <v>6</v>
      </c>
      <c r="Z175" t="s">
        <v>355</v>
      </c>
      <c r="AA175" t="s">
        <v>356</v>
      </c>
      <c r="AB175" t="s">
        <v>96</v>
      </c>
      <c r="AC175" t="s">
        <v>97</v>
      </c>
      <c r="AD175" t="s">
        <v>98</v>
      </c>
      <c r="AG175" t="s">
        <v>357</v>
      </c>
      <c r="AH175">
        <v>0</v>
      </c>
      <c r="AI175">
        <v>182</v>
      </c>
      <c r="AJ175">
        <v>31</v>
      </c>
      <c r="AK175">
        <v>996</v>
      </c>
      <c r="AL175">
        <v>1</v>
      </c>
    </row>
    <row r="176" spans="1:38" x14ac:dyDescent="0.3">
      <c r="A176" t="s">
        <v>90</v>
      </c>
      <c r="B176">
        <v>2265</v>
      </c>
      <c r="C176">
        <v>4</v>
      </c>
      <c r="D176" t="s">
        <v>354</v>
      </c>
      <c r="E176" t="s">
        <v>239</v>
      </c>
      <c r="F176">
        <v>994</v>
      </c>
      <c r="G176">
        <v>18.8</v>
      </c>
      <c r="H176">
        <v>62.16</v>
      </c>
      <c r="I176">
        <v>15.46</v>
      </c>
      <c r="J176">
        <v>51.12</v>
      </c>
      <c r="K176">
        <v>108</v>
      </c>
      <c r="T176">
        <v>2</v>
      </c>
      <c r="U176">
        <v>1</v>
      </c>
      <c r="V176" t="s">
        <v>93</v>
      </c>
      <c r="W176">
        <v>62</v>
      </c>
      <c r="X176">
        <v>6</v>
      </c>
      <c r="Y176">
        <v>6</v>
      </c>
      <c r="Z176" t="s">
        <v>355</v>
      </c>
      <c r="AA176" t="s">
        <v>356</v>
      </c>
      <c r="AB176" t="s">
        <v>96</v>
      </c>
      <c r="AC176" t="s">
        <v>97</v>
      </c>
      <c r="AD176" t="s">
        <v>98</v>
      </c>
      <c r="AG176" t="s">
        <v>357</v>
      </c>
      <c r="AH176">
        <v>0</v>
      </c>
      <c r="AI176">
        <v>182</v>
      </c>
      <c r="AJ176">
        <v>31</v>
      </c>
      <c r="AK176">
        <v>996</v>
      </c>
      <c r="AL176">
        <v>1</v>
      </c>
    </row>
    <row r="177" spans="1:38" x14ac:dyDescent="0.3">
      <c r="A177" t="s">
        <v>90</v>
      </c>
      <c r="B177">
        <v>113783</v>
      </c>
      <c r="C177">
        <v>1</v>
      </c>
      <c r="D177" t="s">
        <v>358</v>
      </c>
      <c r="E177" t="s">
        <v>359</v>
      </c>
      <c r="F177">
        <v>88</v>
      </c>
      <c r="G177">
        <v>16.190000000000001</v>
      </c>
      <c r="H177">
        <v>53.54</v>
      </c>
      <c r="I177">
        <v>13.01</v>
      </c>
      <c r="J177">
        <v>43.04</v>
      </c>
      <c r="K177">
        <v>1</v>
      </c>
      <c r="T177">
        <v>2</v>
      </c>
      <c r="U177">
        <v>1</v>
      </c>
      <c r="V177" t="s">
        <v>93</v>
      </c>
      <c r="W177">
        <v>53</v>
      </c>
      <c r="X177">
        <v>9</v>
      </c>
      <c r="Y177">
        <v>8</v>
      </c>
      <c r="Z177" t="s">
        <v>360</v>
      </c>
      <c r="AA177" t="s">
        <v>361</v>
      </c>
      <c r="AB177" t="s">
        <v>96</v>
      </c>
      <c r="AC177" t="s">
        <v>97</v>
      </c>
      <c r="AD177" t="s">
        <v>98</v>
      </c>
      <c r="AG177" t="s">
        <v>362</v>
      </c>
      <c r="AH177">
        <v>0</v>
      </c>
      <c r="AI177">
        <v>230</v>
      </c>
      <c r="AJ177">
        <v>34</v>
      </c>
      <c r="AK177">
        <v>90</v>
      </c>
      <c r="AL177">
        <v>1.02</v>
      </c>
    </row>
    <row r="178" spans="1:38" x14ac:dyDescent="0.3">
      <c r="A178" t="s">
        <v>90</v>
      </c>
      <c r="B178">
        <v>113783</v>
      </c>
      <c r="C178">
        <v>2</v>
      </c>
      <c r="D178" t="s">
        <v>358</v>
      </c>
      <c r="E178" t="s">
        <v>359</v>
      </c>
      <c r="F178">
        <v>88</v>
      </c>
      <c r="G178">
        <v>16.7</v>
      </c>
      <c r="H178">
        <v>55.22</v>
      </c>
      <c r="I178">
        <v>13.43</v>
      </c>
      <c r="J178">
        <v>44.42</v>
      </c>
      <c r="K178">
        <v>1</v>
      </c>
      <c r="T178">
        <v>2</v>
      </c>
      <c r="U178">
        <v>1</v>
      </c>
      <c r="V178" t="s">
        <v>93</v>
      </c>
      <c r="W178">
        <v>55</v>
      </c>
      <c r="X178">
        <v>9</v>
      </c>
      <c r="Y178">
        <v>8</v>
      </c>
      <c r="Z178" t="s">
        <v>360</v>
      </c>
      <c r="AA178" t="s">
        <v>361</v>
      </c>
      <c r="AB178" t="s">
        <v>96</v>
      </c>
      <c r="AC178" t="s">
        <v>97</v>
      </c>
      <c r="AD178" t="s">
        <v>98</v>
      </c>
      <c r="AG178" t="s">
        <v>362</v>
      </c>
      <c r="AH178">
        <v>0</v>
      </c>
      <c r="AI178">
        <v>230</v>
      </c>
      <c r="AJ178">
        <v>34</v>
      </c>
      <c r="AK178">
        <v>90</v>
      </c>
      <c r="AL178">
        <v>1.02</v>
      </c>
    </row>
    <row r="179" spans="1:38" x14ac:dyDescent="0.3">
      <c r="A179" t="s">
        <v>90</v>
      </c>
      <c r="B179">
        <v>113783</v>
      </c>
      <c r="C179">
        <v>3</v>
      </c>
      <c r="D179" t="s">
        <v>358</v>
      </c>
      <c r="E179" t="s">
        <v>359</v>
      </c>
      <c r="F179">
        <v>88</v>
      </c>
      <c r="G179">
        <v>17.66</v>
      </c>
      <c r="H179">
        <v>58.41</v>
      </c>
      <c r="I179">
        <v>14.27</v>
      </c>
      <c r="J179">
        <v>47.2</v>
      </c>
      <c r="K179">
        <v>8</v>
      </c>
      <c r="T179">
        <v>2</v>
      </c>
      <c r="U179">
        <v>1</v>
      </c>
      <c r="V179" t="s">
        <v>93</v>
      </c>
      <c r="W179">
        <v>58</v>
      </c>
      <c r="X179">
        <v>9</v>
      </c>
      <c r="Y179">
        <v>8</v>
      </c>
      <c r="Z179" t="s">
        <v>360</v>
      </c>
      <c r="AA179" t="s">
        <v>361</v>
      </c>
      <c r="AB179" t="s">
        <v>96</v>
      </c>
      <c r="AC179" t="s">
        <v>97</v>
      </c>
      <c r="AD179" t="s">
        <v>98</v>
      </c>
      <c r="AG179" t="s">
        <v>362</v>
      </c>
      <c r="AH179">
        <v>0</v>
      </c>
      <c r="AI179">
        <v>230</v>
      </c>
      <c r="AJ179">
        <v>34</v>
      </c>
      <c r="AK179">
        <v>90</v>
      </c>
      <c r="AL179">
        <v>1.02</v>
      </c>
    </row>
    <row r="180" spans="1:38" x14ac:dyDescent="0.3">
      <c r="A180" t="s">
        <v>90</v>
      </c>
      <c r="B180">
        <v>113783</v>
      </c>
      <c r="C180">
        <v>4</v>
      </c>
      <c r="D180" t="s">
        <v>358</v>
      </c>
      <c r="E180" t="s">
        <v>359</v>
      </c>
      <c r="F180">
        <v>88</v>
      </c>
      <c r="G180">
        <v>18.57</v>
      </c>
      <c r="H180">
        <v>61.39</v>
      </c>
      <c r="I180">
        <v>15.01</v>
      </c>
      <c r="J180">
        <v>49.62</v>
      </c>
      <c r="K180">
        <v>1</v>
      </c>
      <c r="T180">
        <v>2</v>
      </c>
      <c r="U180">
        <v>1</v>
      </c>
      <c r="V180" t="s">
        <v>93</v>
      </c>
      <c r="W180">
        <v>61</v>
      </c>
      <c r="X180">
        <v>9</v>
      </c>
      <c r="Y180">
        <v>8</v>
      </c>
      <c r="Z180" t="s">
        <v>360</v>
      </c>
      <c r="AA180" t="s">
        <v>361</v>
      </c>
      <c r="AB180" t="s">
        <v>96</v>
      </c>
      <c r="AC180" t="s">
        <v>97</v>
      </c>
      <c r="AD180" t="s">
        <v>98</v>
      </c>
      <c r="AG180" t="s">
        <v>362</v>
      </c>
      <c r="AH180">
        <v>0</v>
      </c>
      <c r="AI180">
        <v>230</v>
      </c>
      <c r="AJ180">
        <v>34</v>
      </c>
      <c r="AK180">
        <v>90</v>
      </c>
      <c r="AL180">
        <v>1.02</v>
      </c>
    </row>
    <row r="181" spans="1:38" x14ac:dyDescent="0.3">
      <c r="A181" t="s">
        <v>90</v>
      </c>
      <c r="B181">
        <v>113783</v>
      </c>
      <c r="C181">
        <v>5</v>
      </c>
      <c r="D181" t="s">
        <v>358</v>
      </c>
      <c r="E181" t="s">
        <v>359</v>
      </c>
      <c r="F181">
        <v>88</v>
      </c>
      <c r="G181">
        <v>22.2</v>
      </c>
      <c r="H181">
        <v>73.42</v>
      </c>
      <c r="I181">
        <v>17.670000000000002</v>
      </c>
      <c r="J181">
        <v>58.43</v>
      </c>
      <c r="K181">
        <v>1</v>
      </c>
      <c r="T181">
        <v>3</v>
      </c>
      <c r="U181">
        <v>1</v>
      </c>
      <c r="V181" t="s">
        <v>93</v>
      </c>
      <c r="W181" t="s">
        <v>302</v>
      </c>
      <c r="X181">
        <v>9</v>
      </c>
      <c r="Y181">
        <v>8</v>
      </c>
      <c r="Z181" t="s">
        <v>360</v>
      </c>
      <c r="AA181" t="s">
        <v>361</v>
      </c>
      <c r="AB181" t="s">
        <v>96</v>
      </c>
      <c r="AC181" t="s">
        <v>97</v>
      </c>
      <c r="AD181" t="s">
        <v>98</v>
      </c>
      <c r="AG181" t="s">
        <v>362</v>
      </c>
      <c r="AH181">
        <v>0</v>
      </c>
      <c r="AI181">
        <v>230</v>
      </c>
      <c r="AJ181">
        <v>34</v>
      </c>
      <c r="AK181">
        <v>90</v>
      </c>
      <c r="AL181">
        <v>1.02</v>
      </c>
    </row>
    <row r="182" spans="1:38" x14ac:dyDescent="0.3">
      <c r="A182" t="s">
        <v>90</v>
      </c>
      <c r="B182">
        <v>113783</v>
      </c>
      <c r="C182">
        <v>6</v>
      </c>
      <c r="D182" t="s">
        <v>358</v>
      </c>
      <c r="E182" t="s">
        <v>359</v>
      </c>
      <c r="F182">
        <v>88</v>
      </c>
      <c r="G182">
        <v>22.18</v>
      </c>
      <c r="H182">
        <v>73.349999999999994</v>
      </c>
      <c r="I182">
        <v>17.89</v>
      </c>
      <c r="J182">
        <v>59.16</v>
      </c>
      <c r="K182">
        <v>1</v>
      </c>
      <c r="T182">
        <v>3</v>
      </c>
      <c r="U182">
        <v>1</v>
      </c>
      <c r="V182" t="s">
        <v>93</v>
      </c>
      <c r="W182" t="s">
        <v>363</v>
      </c>
      <c r="X182">
        <v>9</v>
      </c>
      <c r="Y182">
        <v>8</v>
      </c>
      <c r="Z182" t="s">
        <v>360</v>
      </c>
      <c r="AA182" t="s">
        <v>361</v>
      </c>
      <c r="AB182" t="s">
        <v>96</v>
      </c>
      <c r="AC182" t="s">
        <v>97</v>
      </c>
      <c r="AD182" t="s">
        <v>98</v>
      </c>
      <c r="AG182" t="s">
        <v>362</v>
      </c>
      <c r="AH182">
        <v>0</v>
      </c>
      <c r="AI182">
        <v>230</v>
      </c>
      <c r="AJ182">
        <v>34</v>
      </c>
      <c r="AK182">
        <v>90</v>
      </c>
      <c r="AL182">
        <v>1.02</v>
      </c>
    </row>
    <row r="183" spans="1:38" x14ac:dyDescent="0.3">
      <c r="A183" t="s">
        <v>90</v>
      </c>
      <c r="B183">
        <v>113783</v>
      </c>
      <c r="C183">
        <v>7</v>
      </c>
      <c r="D183" t="s">
        <v>358</v>
      </c>
      <c r="E183" t="s">
        <v>359</v>
      </c>
      <c r="F183">
        <v>88</v>
      </c>
      <c r="G183">
        <v>22.53</v>
      </c>
      <c r="H183">
        <v>74.510000000000005</v>
      </c>
      <c r="I183">
        <v>18.170000000000002</v>
      </c>
      <c r="J183">
        <v>60.07</v>
      </c>
      <c r="K183">
        <v>6</v>
      </c>
      <c r="T183">
        <v>3</v>
      </c>
      <c r="U183">
        <v>2</v>
      </c>
      <c r="V183" t="s">
        <v>93</v>
      </c>
      <c r="W183" t="s">
        <v>364</v>
      </c>
      <c r="X183">
        <v>9</v>
      </c>
      <c r="Y183">
        <v>8</v>
      </c>
      <c r="Z183" t="s">
        <v>360</v>
      </c>
      <c r="AA183" t="s">
        <v>361</v>
      </c>
      <c r="AB183" t="s">
        <v>96</v>
      </c>
      <c r="AC183" t="s">
        <v>97</v>
      </c>
      <c r="AD183" t="s">
        <v>98</v>
      </c>
      <c r="AG183" t="s">
        <v>362</v>
      </c>
      <c r="AH183">
        <v>0</v>
      </c>
      <c r="AI183">
        <v>230</v>
      </c>
      <c r="AJ183">
        <v>34</v>
      </c>
      <c r="AK183">
        <v>90</v>
      </c>
      <c r="AL183">
        <v>1.02</v>
      </c>
    </row>
    <row r="184" spans="1:38" x14ac:dyDescent="0.3">
      <c r="A184" t="s">
        <v>90</v>
      </c>
      <c r="B184">
        <v>113783</v>
      </c>
      <c r="C184">
        <v>8</v>
      </c>
      <c r="D184" t="s">
        <v>358</v>
      </c>
      <c r="E184" t="s">
        <v>359</v>
      </c>
      <c r="F184">
        <v>88</v>
      </c>
      <c r="G184">
        <v>22.83</v>
      </c>
      <c r="H184">
        <v>75.5</v>
      </c>
      <c r="I184">
        <v>18.57</v>
      </c>
      <c r="J184">
        <v>61.4</v>
      </c>
      <c r="K184">
        <v>4</v>
      </c>
      <c r="T184">
        <v>3</v>
      </c>
      <c r="U184">
        <v>2</v>
      </c>
      <c r="V184" t="s">
        <v>93</v>
      </c>
      <c r="W184" t="s">
        <v>365</v>
      </c>
      <c r="X184">
        <v>9</v>
      </c>
      <c r="Y184">
        <v>8</v>
      </c>
      <c r="Z184" t="s">
        <v>360</v>
      </c>
      <c r="AA184" t="s">
        <v>361</v>
      </c>
      <c r="AB184" t="s">
        <v>96</v>
      </c>
      <c r="AC184" t="s">
        <v>97</v>
      </c>
      <c r="AD184" t="s">
        <v>98</v>
      </c>
      <c r="AG184" t="s">
        <v>362</v>
      </c>
      <c r="AH184">
        <v>0</v>
      </c>
      <c r="AI184">
        <v>230</v>
      </c>
      <c r="AJ184">
        <v>34</v>
      </c>
      <c r="AK184">
        <v>90</v>
      </c>
      <c r="AL184">
        <v>1.02</v>
      </c>
    </row>
    <row r="185" spans="1:38" x14ac:dyDescent="0.3">
      <c r="A185" t="s">
        <v>90</v>
      </c>
      <c r="B185">
        <v>113783</v>
      </c>
      <c r="C185">
        <v>9</v>
      </c>
      <c r="D185" t="s">
        <v>358</v>
      </c>
      <c r="E185" t="s">
        <v>359</v>
      </c>
      <c r="F185">
        <v>88</v>
      </c>
      <c r="G185">
        <v>25.07</v>
      </c>
      <c r="H185">
        <v>82.89</v>
      </c>
      <c r="I185">
        <v>20.62</v>
      </c>
      <c r="J185">
        <v>68.19</v>
      </c>
      <c r="K185">
        <v>1</v>
      </c>
      <c r="T185">
        <v>3</v>
      </c>
      <c r="U185">
        <v>2</v>
      </c>
      <c r="V185" t="s">
        <v>93</v>
      </c>
      <c r="W185" t="s">
        <v>199</v>
      </c>
      <c r="X185">
        <v>9</v>
      </c>
      <c r="Y185">
        <v>8</v>
      </c>
      <c r="Z185" t="s">
        <v>360</v>
      </c>
      <c r="AA185" t="s">
        <v>361</v>
      </c>
      <c r="AB185" t="s">
        <v>96</v>
      </c>
      <c r="AC185" t="s">
        <v>97</v>
      </c>
      <c r="AD185" t="s">
        <v>98</v>
      </c>
      <c r="AG185" t="s">
        <v>362</v>
      </c>
      <c r="AH185">
        <v>0</v>
      </c>
      <c r="AI185">
        <v>230</v>
      </c>
      <c r="AJ185">
        <v>34</v>
      </c>
      <c r="AK185">
        <v>90</v>
      </c>
      <c r="AL185">
        <v>1.02</v>
      </c>
    </row>
    <row r="186" spans="1:38" x14ac:dyDescent="0.3">
      <c r="A186" t="s">
        <v>90</v>
      </c>
      <c r="B186">
        <v>113783</v>
      </c>
      <c r="C186">
        <v>10</v>
      </c>
      <c r="D186" t="s">
        <v>358</v>
      </c>
      <c r="E186" t="s">
        <v>359</v>
      </c>
      <c r="F186">
        <v>88</v>
      </c>
      <c r="G186">
        <v>25.46</v>
      </c>
      <c r="H186">
        <v>84.18</v>
      </c>
      <c r="I186">
        <v>20.66</v>
      </c>
      <c r="J186">
        <v>68.31</v>
      </c>
      <c r="K186">
        <v>34</v>
      </c>
      <c r="T186">
        <v>3</v>
      </c>
      <c r="U186">
        <v>2</v>
      </c>
      <c r="V186" t="s">
        <v>93</v>
      </c>
      <c r="W186" t="s">
        <v>366</v>
      </c>
      <c r="X186">
        <v>9</v>
      </c>
      <c r="Y186">
        <v>8</v>
      </c>
      <c r="Z186" t="s">
        <v>360</v>
      </c>
      <c r="AA186" t="s">
        <v>361</v>
      </c>
      <c r="AB186" t="s">
        <v>96</v>
      </c>
      <c r="AC186" t="s">
        <v>97</v>
      </c>
      <c r="AD186" t="s">
        <v>98</v>
      </c>
      <c r="AG186" t="s">
        <v>362</v>
      </c>
      <c r="AH186">
        <v>0</v>
      </c>
      <c r="AI186">
        <v>230</v>
      </c>
      <c r="AJ186">
        <v>34</v>
      </c>
      <c r="AK186">
        <v>90</v>
      </c>
      <c r="AL186">
        <v>1.02</v>
      </c>
    </row>
    <row r="187" spans="1:38" x14ac:dyDescent="0.3">
      <c r="A187" t="s">
        <v>90</v>
      </c>
      <c r="B187">
        <v>113783</v>
      </c>
      <c r="C187">
        <v>11</v>
      </c>
      <c r="D187" t="s">
        <v>358</v>
      </c>
      <c r="E187" t="s">
        <v>359</v>
      </c>
      <c r="F187">
        <v>88</v>
      </c>
      <c r="G187">
        <v>25.47</v>
      </c>
      <c r="H187">
        <v>84.21</v>
      </c>
      <c r="I187">
        <v>20.66</v>
      </c>
      <c r="J187">
        <v>68.3</v>
      </c>
      <c r="K187">
        <v>1</v>
      </c>
      <c r="T187">
        <v>3</v>
      </c>
      <c r="U187">
        <v>1</v>
      </c>
      <c r="V187" t="s">
        <v>93</v>
      </c>
      <c r="W187" t="s">
        <v>367</v>
      </c>
      <c r="X187">
        <v>9</v>
      </c>
      <c r="Y187">
        <v>8</v>
      </c>
      <c r="Z187" t="s">
        <v>360</v>
      </c>
      <c r="AA187" t="s">
        <v>361</v>
      </c>
      <c r="AB187" t="s">
        <v>96</v>
      </c>
      <c r="AC187" t="s">
        <v>97</v>
      </c>
      <c r="AD187" t="s">
        <v>98</v>
      </c>
      <c r="AG187" t="s">
        <v>362</v>
      </c>
      <c r="AH187">
        <v>0</v>
      </c>
      <c r="AI187">
        <v>230</v>
      </c>
      <c r="AJ187">
        <v>34</v>
      </c>
      <c r="AK187">
        <v>90</v>
      </c>
      <c r="AL187">
        <v>1.02</v>
      </c>
    </row>
    <row r="188" spans="1:38" x14ac:dyDescent="0.3">
      <c r="A188" t="s">
        <v>90</v>
      </c>
      <c r="B188">
        <v>113783</v>
      </c>
      <c r="C188">
        <v>12</v>
      </c>
      <c r="D188" t="s">
        <v>358</v>
      </c>
      <c r="E188" t="s">
        <v>359</v>
      </c>
      <c r="F188">
        <v>88</v>
      </c>
      <c r="G188">
        <v>27.99</v>
      </c>
      <c r="H188">
        <v>92.55</v>
      </c>
      <c r="I188">
        <v>23.13</v>
      </c>
      <c r="J188">
        <v>76.47</v>
      </c>
      <c r="K188">
        <v>1</v>
      </c>
      <c r="T188">
        <v>3</v>
      </c>
      <c r="U188">
        <v>2</v>
      </c>
      <c r="V188" t="s">
        <v>93</v>
      </c>
      <c r="W188" t="s">
        <v>368</v>
      </c>
      <c r="X188">
        <v>9</v>
      </c>
      <c r="Y188">
        <v>8</v>
      </c>
      <c r="Z188" t="s">
        <v>360</v>
      </c>
      <c r="AA188" t="s">
        <v>361</v>
      </c>
      <c r="AB188" t="s">
        <v>96</v>
      </c>
      <c r="AC188" t="s">
        <v>97</v>
      </c>
      <c r="AD188" t="s">
        <v>98</v>
      </c>
      <c r="AG188" t="s">
        <v>362</v>
      </c>
      <c r="AH188">
        <v>0</v>
      </c>
      <c r="AI188">
        <v>230</v>
      </c>
      <c r="AJ188">
        <v>34</v>
      </c>
      <c r="AK188">
        <v>90</v>
      </c>
      <c r="AL188">
        <v>1.02</v>
      </c>
    </row>
    <row r="189" spans="1:38" x14ac:dyDescent="0.3">
      <c r="A189" t="s">
        <v>90</v>
      </c>
      <c r="B189">
        <v>113783</v>
      </c>
      <c r="C189">
        <v>13</v>
      </c>
      <c r="D189" t="s">
        <v>358</v>
      </c>
      <c r="E189" t="s">
        <v>359</v>
      </c>
      <c r="F189">
        <v>88</v>
      </c>
      <c r="G189">
        <v>28.25</v>
      </c>
      <c r="H189">
        <v>93.41</v>
      </c>
      <c r="I189">
        <v>23</v>
      </c>
      <c r="J189">
        <v>76.06</v>
      </c>
      <c r="K189">
        <v>1</v>
      </c>
      <c r="T189">
        <v>3</v>
      </c>
      <c r="U189">
        <v>2</v>
      </c>
      <c r="V189" t="s">
        <v>93</v>
      </c>
      <c r="W189" t="s">
        <v>369</v>
      </c>
      <c r="X189">
        <v>9</v>
      </c>
      <c r="Y189">
        <v>8</v>
      </c>
      <c r="Z189" t="s">
        <v>360</v>
      </c>
      <c r="AA189" t="s">
        <v>361</v>
      </c>
      <c r="AB189" t="s">
        <v>96</v>
      </c>
      <c r="AC189" t="s">
        <v>97</v>
      </c>
      <c r="AD189" t="s">
        <v>98</v>
      </c>
      <c r="AG189" t="s">
        <v>362</v>
      </c>
      <c r="AH189">
        <v>0</v>
      </c>
      <c r="AI189">
        <v>230</v>
      </c>
      <c r="AJ189">
        <v>34</v>
      </c>
      <c r="AK189">
        <v>90</v>
      </c>
      <c r="AL189">
        <v>1.02</v>
      </c>
    </row>
    <row r="190" spans="1:38" x14ac:dyDescent="0.3">
      <c r="A190" t="s">
        <v>90</v>
      </c>
      <c r="B190">
        <v>113783</v>
      </c>
      <c r="C190">
        <v>14</v>
      </c>
      <c r="D190" t="s">
        <v>358</v>
      </c>
      <c r="E190" t="s">
        <v>359</v>
      </c>
      <c r="F190">
        <v>88</v>
      </c>
      <c r="G190">
        <v>28.73</v>
      </c>
      <c r="H190">
        <v>94.99</v>
      </c>
      <c r="I190">
        <v>23.45</v>
      </c>
      <c r="J190">
        <v>77.55</v>
      </c>
      <c r="K190">
        <v>2</v>
      </c>
      <c r="T190">
        <v>3</v>
      </c>
      <c r="U190">
        <v>2</v>
      </c>
      <c r="V190" t="s">
        <v>338</v>
      </c>
      <c r="W190">
        <v>94</v>
      </c>
      <c r="X190">
        <v>9</v>
      </c>
      <c r="Y190">
        <v>8</v>
      </c>
      <c r="Z190" t="s">
        <v>360</v>
      </c>
      <c r="AA190" t="s">
        <v>361</v>
      </c>
      <c r="AB190" t="s">
        <v>96</v>
      </c>
      <c r="AC190" t="s">
        <v>97</v>
      </c>
      <c r="AD190" t="s">
        <v>98</v>
      </c>
      <c r="AG190" t="s">
        <v>362</v>
      </c>
      <c r="AH190">
        <v>0</v>
      </c>
      <c r="AI190">
        <v>230</v>
      </c>
      <c r="AJ190">
        <v>34</v>
      </c>
      <c r="AK190">
        <v>90</v>
      </c>
      <c r="AL190">
        <v>1.02</v>
      </c>
    </row>
    <row r="191" spans="1:38" x14ac:dyDescent="0.3">
      <c r="A191" t="s">
        <v>90</v>
      </c>
      <c r="B191">
        <v>113783</v>
      </c>
      <c r="C191">
        <v>15</v>
      </c>
      <c r="D191" t="s">
        <v>358</v>
      </c>
      <c r="E191" t="s">
        <v>359</v>
      </c>
      <c r="F191">
        <v>88</v>
      </c>
      <c r="G191">
        <v>29.54</v>
      </c>
      <c r="H191">
        <v>97.68</v>
      </c>
      <c r="I191">
        <v>24.17</v>
      </c>
      <c r="J191">
        <v>79.92</v>
      </c>
      <c r="K191">
        <v>1</v>
      </c>
      <c r="T191">
        <v>3</v>
      </c>
      <c r="U191">
        <v>2</v>
      </c>
      <c r="V191" t="s">
        <v>338</v>
      </c>
      <c r="W191">
        <v>97</v>
      </c>
      <c r="X191">
        <v>9</v>
      </c>
      <c r="Y191">
        <v>8</v>
      </c>
      <c r="Z191" t="s">
        <v>360</v>
      </c>
      <c r="AA191" t="s">
        <v>361</v>
      </c>
      <c r="AB191" t="s">
        <v>96</v>
      </c>
      <c r="AC191" t="s">
        <v>97</v>
      </c>
      <c r="AD191" t="s">
        <v>98</v>
      </c>
      <c r="AG191" t="s">
        <v>362</v>
      </c>
      <c r="AH191">
        <v>0</v>
      </c>
      <c r="AI191">
        <v>230</v>
      </c>
      <c r="AJ191">
        <v>34</v>
      </c>
      <c r="AK191">
        <v>90</v>
      </c>
      <c r="AL191">
        <v>1.02</v>
      </c>
    </row>
    <row r="192" spans="1:38" x14ac:dyDescent="0.3">
      <c r="A192" t="s">
        <v>90</v>
      </c>
      <c r="B192">
        <v>113783</v>
      </c>
      <c r="C192">
        <v>16</v>
      </c>
      <c r="D192" t="s">
        <v>358</v>
      </c>
      <c r="E192" t="s">
        <v>359</v>
      </c>
      <c r="F192">
        <v>88</v>
      </c>
      <c r="G192">
        <v>30.8</v>
      </c>
      <c r="H192">
        <v>101.85</v>
      </c>
      <c r="I192">
        <v>25.19</v>
      </c>
      <c r="J192">
        <v>83.29</v>
      </c>
      <c r="K192">
        <v>10</v>
      </c>
      <c r="T192">
        <v>3</v>
      </c>
      <c r="U192">
        <v>2</v>
      </c>
      <c r="V192" t="s">
        <v>93</v>
      </c>
      <c r="W192" t="s">
        <v>370</v>
      </c>
      <c r="X192">
        <v>9</v>
      </c>
      <c r="Y192">
        <v>8</v>
      </c>
      <c r="Z192" t="s">
        <v>360</v>
      </c>
      <c r="AA192" t="s">
        <v>361</v>
      </c>
      <c r="AB192" t="s">
        <v>96</v>
      </c>
      <c r="AC192" t="s">
        <v>97</v>
      </c>
      <c r="AD192" t="s">
        <v>98</v>
      </c>
      <c r="AG192" t="s">
        <v>362</v>
      </c>
      <c r="AH192">
        <v>0</v>
      </c>
      <c r="AI192">
        <v>230</v>
      </c>
      <c r="AJ192">
        <v>34</v>
      </c>
      <c r="AK192">
        <v>90</v>
      </c>
      <c r="AL192">
        <v>1.02</v>
      </c>
    </row>
    <row r="193" spans="1:38" x14ac:dyDescent="0.3">
      <c r="A193" t="s">
        <v>90</v>
      </c>
      <c r="B193">
        <v>113783</v>
      </c>
      <c r="C193">
        <v>17</v>
      </c>
      <c r="D193" t="s">
        <v>358</v>
      </c>
      <c r="E193" t="s">
        <v>359</v>
      </c>
      <c r="F193">
        <v>88</v>
      </c>
      <c r="G193">
        <v>30.9</v>
      </c>
      <c r="H193">
        <v>102.16</v>
      </c>
      <c r="I193">
        <v>25.56</v>
      </c>
      <c r="J193">
        <v>84.5</v>
      </c>
      <c r="K193">
        <v>7</v>
      </c>
      <c r="T193">
        <v>3</v>
      </c>
      <c r="U193">
        <v>2</v>
      </c>
      <c r="V193" t="s">
        <v>93</v>
      </c>
      <c r="W193" t="s">
        <v>371</v>
      </c>
      <c r="X193">
        <v>9</v>
      </c>
      <c r="Y193">
        <v>8</v>
      </c>
      <c r="Z193" t="s">
        <v>360</v>
      </c>
      <c r="AA193" t="s">
        <v>361</v>
      </c>
      <c r="AB193" t="s">
        <v>96</v>
      </c>
      <c r="AC193" t="s">
        <v>97</v>
      </c>
      <c r="AD193" t="s">
        <v>98</v>
      </c>
      <c r="AG193" t="s">
        <v>362</v>
      </c>
      <c r="AH193">
        <v>0</v>
      </c>
      <c r="AI193">
        <v>230</v>
      </c>
      <c r="AJ193">
        <v>34</v>
      </c>
      <c r="AK193">
        <v>90</v>
      </c>
      <c r="AL193">
        <v>1.02</v>
      </c>
    </row>
    <row r="194" spans="1:38" x14ac:dyDescent="0.3">
      <c r="A194" t="s">
        <v>90</v>
      </c>
      <c r="B194">
        <v>113783</v>
      </c>
      <c r="C194">
        <v>18</v>
      </c>
      <c r="D194" t="s">
        <v>358</v>
      </c>
      <c r="E194" t="s">
        <v>359</v>
      </c>
      <c r="F194">
        <v>88</v>
      </c>
      <c r="G194">
        <v>31.07</v>
      </c>
      <c r="H194">
        <v>102.74</v>
      </c>
      <c r="I194">
        <v>25.54</v>
      </c>
      <c r="J194">
        <v>84.44</v>
      </c>
      <c r="K194">
        <v>5</v>
      </c>
      <c r="T194">
        <v>3</v>
      </c>
      <c r="U194">
        <v>2</v>
      </c>
      <c r="V194" t="s">
        <v>93</v>
      </c>
      <c r="W194" t="s">
        <v>372</v>
      </c>
      <c r="X194">
        <v>9</v>
      </c>
      <c r="Y194">
        <v>8</v>
      </c>
      <c r="Z194" t="s">
        <v>360</v>
      </c>
      <c r="AA194" t="s">
        <v>361</v>
      </c>
      <c r="AB194" t="s">
        <v>96</v>
      </c>
      <c r="AC194" t="s">
        <v>97</v>
      </c>
      <c r="AD194" t="s">
        <v>98</v>
      </c>
      <c r="AG194" t="s">
        <v>362</v>
      </c>
      <c r="AH194">
        <v>0</v>
      </c>
      <c r="AI194">
        <v>230</v>
      </c>
      <c r="AJ194">
        <v>34</v>
      </c>
      <c r="AK194">
        <v>90</v>
      </c>
      <c r="AL194">
        <v>1.02</v>
      </c>
    </row>
    <row r="195" spans="1:38" x14ac:dyDescent="0.3">
      <c r="A195" t="s">
        <v>90</v>
      </c>
      <c r="B195">
        <v>113783</v>
      </c>
      <c r="C195">
        <v>19</v>
      </c>
      <c r="D195" t="s">
        <v>358</v>
      </c>
      <c r="E195" t="s">
        <v>359</v>
      </c>
      <c r="F195">
        <v>88</v>
      </c>
      <c r="G195">
        <v>43.66</v>
      </c>
      <c r="H195">
        <v>144.36000000000001</v>
      </c>
      <c r="I195">
        <v>35.36</v>
      </c>
      <c r="J195">
        <v>116.9</v>
      </c>
      <c r="K195">
        <v>2</v>
      </c>
      <c r="T195">
        <v>3</v>
      </c>
      <c r="U195">
        <v>2</v>
      </c>
      <c r="V195" t="s">
        <v>93</v>
      </c>
      <c r="W195">
        <v>144</v>
      </c>
      <c r="X195">
        <v>9</v>
      </c>
      <c r="Y195">
        <v>8</v>
      </c>
      <c r="Z195" t="s">
        <v>360</v>
      </c>
      <c r="AA195" t="s">
        <v>361</v>
      </c>
      <c r="AB195" t="s">
        <v>96</v>
      </c>
      <c r="AC195" t="s">
        <v>97</v>
      </c>
      <c r="AD195" t="s">
        <v>98</v>
      </c>
      <c r="AG195" t="s">
        <v>362</v>
      </c>
      <c r="AH195">
        <v>0</v>
      </c>
      <c r="AI195">
        <v>230</v>
      </c>
      <c r="AJ195">
        <v>34</v>
      </c>
      <c r="AK195">
        <v>90</v>
      </c>
      <c r="AL195">
        <v>1.02</v>
      </c>
    </row>
    <row r="196" spans="1:38" x14ac:dyDescent="0.3">
      <c r="A196" t="s">
        <v>90</v>
      </c>
      <c r="B196">
        <v>10672</v>
      </c>
      <c r="C196">
        <v>1</v>
      </c>
      <c r="D196" t="s">
        <v>373</v>
      </c>
      <c r="E196" t="s">
        <v>374</v>
      </c>
      <c r="F196">
        <v>498</v>
      </c>
      <c r="G196">
        <v>23.23</v>
      </c>
      <c r="H196">
        <v>76.81</v>
      </c>
      <c r="I196">
        <v>17.64</v>
      </c>
      <c r="J196">
        <v>58.33</v>
      </c>
      <c r="K196">
        <v>204</v>
      </c>
      <c r="T196">
        <v>3</v>
      </c>
      <c r="U196">
        <v>1</v>
      </c>
      <c r="V196" t="s">
        <v>93</v>
      </c>
      <c r="W196">
        <v>76</v>
      </c>
      <c r="X196">
        <v>6</v>
      </c>
      <c r="Y196">
        <v>6</v>
      </c>
      <c r="Z196" t="s">
        <v>375</v>
      </c>
      <c r="AA196" t="s">
        <v>376</v>
      </c>
      <c r="AB196" t="s">
        <v>96</v>
      </c>
      <c r="AC196" t="s">
        <v>97</v>
      </c>
      <c r="AD196" t="s">
        <v>98</v>
      </c>
      <c r="AG196" t="s">
        <v>377</v>
      </c>
      <c r="AH196">
        <v>0</v>
      </c>
      <c r="AI196">
        <v>206</v>
      </c>
      <c r="AJ196">
        <v>35</v>
      </c>
      <c r="AK196">
        <v>114</v>
      </c>
      <c r="AL196">
        <v>0.23</v>
      </c>
    </row>
    <row r="197" spans="1:38" x14ac:dyDescent="0.3">
      <c r="A197" t="s">
        <v>90</v>
      </c>
      <c r="B197">
        <v>10672</v>
      </c>
      <c r="C197">
        <v>2</v>
      </c>
      <c r="D197" t="s">
        <v>373</v>
      </c>
      <c r="E197" t="s">
        <v>374</v>
      </c>
      <c r="F197">
        <v>498</v>
      </c>
      <c r="G197">
        <v>24.09</v>
      </c>
      <c r="H197">
        <v>79.66</v>
      </c>
      <c r="I197">
        <v>18.14</v>
      </c>
      <c r="J197">
        <v>59.97</v>
      </c>
      <c r="K197">
        <v>252</v>
      </c>
      <c r="T197">
        <v>3</v>
      </c>
      <c r="U197">
        <v>1</v>
      </c>
      <c r="V197" t="s">
        <v>93</v>
      </c>
      <c r="W197">
        <v>79</v>
      </c>
      <c r="X197">
        <v>6</v>
      </c>
      <c r="Y197">
        <v>6</v>
      </c>
      <c r="Z197" t="s">
        <v>375</v>
      </c>
      <c r="AA197" t="s">
        <v>376</v>
      </c>
      <c r="AB197" t="s">
        <v>96</v>
      </c>
      <c r="AC197" t="s">
        <v>97</v>
      </c>
      <c r="AD197" t="s">
        <v>98</v>
      </c>
      <c r="AG197" t="s">
        <v>377</v>
      </c>
      <c r="AH197">
        <v>0</v>
      </c>
      <c r="AI197">
        <v>206</v>
      </c>
      <c r="AJ197">
        <v>35</v>
      </c>
      <c r="AK197">
        <v>114</v>
      </c>
      <c r="AL197">
        <v>0.23</v>
      </c>
    </row>
    <row r="198" spans="1:38" x14ac:dyDescent="0.3">
      <c r="A198" t="s">
        <v>90</v>
      </c>
      <c r="B198">
        <v>10672</v>
      </c>
      <c r="C198">
        <v>3</v>
      </c>
      <c r="D198" t="s">
        <v>373</v>
      </c>
      <c r="E198" t="s">
        <v>374</v>
      </c>
      <c r="F198">
        <v>498</v>
      </c>
      <c r="G198">
        <v>26.34</v>
      </c>
      <c r="H198">
        <v>87.1</v>
      </c>
      <c r="I198">
        <v>18.14</v>
      </c>
      <c r="J198">
        <v>59.97</v>
      </c>
      <c r="K198">
        <v>6</v>
      </c>
      <c r="T198">
        <v>3</v>
      </c>
      <c r="U198">
        <v>1</v>
      </c>
      <c r="V198" t="s">
        <v>93</v>
      </c>
      <c r="W198">
        <v>87</v>
      </c>
      <c r="X198">
        <v>6</v>
      </c>
      <c r="Y198">
        <v>6</v>
      </c>
      <c r="Z198" t="s">
        <v>375</v>
      </c>
      <c r="AA198" t="s">
        <v>376</v>
      </c>
      <c r="AB198" t="s">
        <v>96</v>
      </c>
      <c r="AC198" t="s">
        <v>97</v>
      </c>
      <c r="AD198" t="s">
        <v>98</v>
      </c>
      <c r="AG198" t="s">
        <v>377</v>
      </c>
      <c r="AH198">
        <v>0</v>
      </c>
      <c r="AI198">
        <v>206</v>
      </c>
      <c r="AJ198">
        <v>35</v>
      </c>
      <c r="AK198">
        <v>114</v>
      </c>
      <c r="AL198">
        <v>0.23</v>
      </c>
    </row>
    <row r="199" spans="1:38" x14ac:dyDescent="0.3">
      <c r="A199" t="s">
        <v>90</v>
      </c>
      <c r="B199">
        <v>10672</v>
      </c>
      <c r="C199">
        <v>4</v>
      </c>
      <c r="D199" t="s">
        <v>373</v>
      </c>
      <c r="E199" t="s">
        <v>374</v>
      </c>
      <c r="F199">
        <v>498</v>
      </c>
      <c r="G199">
        <v>30.43</v>
      </c>
      <c r="H199">
        <v>100.62</v>
      </c>
      <c r="I199">
        <v>23.69</v>
      </c>
      <c r="J199">
        <v>78.34</v>
      </c>
      <c r="K199">
        <v>12</v>
      </c>
      <c r="T199">
        <v>3</v>
      </c>
      <c r="U199">
        <v>1</v>
      </c>
      <c r="V199" t="s">
        <v>93</v>
      </c>
      <c r="W199">
        <v>100</v>
      </c>
      <c r="X199">
        <v>6</v>
      </c>
      <c r="Y199">
        <v>6</v>
      </c>
      <c r="Z199" t="s">
        <v>375</v>
      </c>
      <c r="AA199" t="s">
        <v>376</v>
      </c>
      <c r="AB199" t="s">
        <v>96</v>
      </c>
      <c r="AC199" t="s">
        <v>97</v>
      </c>
      <c r="AD199" t="s">
        <v>98</v>
      </c>
      <c r="AG199" t="s">
        <v>377</v>
      </c>
      <c r="AH199">
        <v>0</v>
      </c>
      <c r="AI199">
        <v>206</v>
      </c>
      <c r="AJ199">
        <v>35</v>
      </c>
      <c r="AK199">
        <v>114</v>
      </c>
      <c r="AL199">
        <v>0.23</v>
      </c>
    </row>
    <row r="200" spans="1:38" x14ac:dyDescent="0.3">
      <c r="A200" t="s">
        <v>90</v>
      </c>
      <c r="B200">
        <v>10672</v>
      </c>
      <c r="C200">
        <v>5</v>
      </c>
      <c r="D200" t="s">
        <v>373</v>
      </c>
      <c r="E200" t="s">
        <v>374</v>
      </c>
      <c r="F200">
        <v>498</v>
      </c>
      <c r="G200">
        <v>31.1</v>
      </c>
      <c r="H200">
        <v>102.81</v>
      </c>
      <c r="I200">
        <v>24.68</v>
      </c>
      <c r="J200">
        <v>81.59</v>
      </c>
      <c r="K200">
        <v>24</v>
      </c>
      <c r="T200">
        <v>3</v>
      </c>
      <c r="U200">
        <v>1</v>
      </c>
      <c r="V200" t="s">
        <v>93</v>
      </c>
      <c r="W200">
        <v>102</v>
      </c>
      <c r="X200">
        <v>6</v>
      </c>
      <c r="Y200">
        <v>6</v>
      </c>
      <c r="Z200" t="s">
        <v>375</v>
      </c>
      <c r="AA200" t="s">
        <v>376</v>
      </c>
      <c r="AB200" t="s">
        <v>96</v>
      </c>
      <c r="AC200" t="s">
        <v>97</v>
      </c>
      <c r="AD200" t="s">
        <v>98</v>
      </c>
      <c r="AG200" t="s">
        <v>377</v>
      </c>
      <c r="AH200">
        <v>0</v>
      </c>
      <c r="AI200">
        <v>206</v>
      </c>
      <c r="AJ200">
        <v>35</v>
      </c>
      <c r="AK200">
        <v>114</v>
      </c>
      <c r="AL200">
        <v>0.23</v>
      </c>
    </row>
    <row r="201" spans="1:38" x14ac:dyDescent="0.3">
      <c r="A201" t="s">
        <v>90</v>
      </c>
      <c r="B201">
        <v>8513</v>
      </c>
      <c r="C201">
        <v>1</v>
      </c>
      <c r="D201" t="s">
        <v>378</v>
      </c>
      <c r="E201" t="s">
        <v>379</v>
      </c>
      <c r="F201">
        <v>102</v>
      </c>
      <c r="G201">
        <v>18.28</v>
      </c>
      <c r="H201">
        <v>60.45</v>
      </c>
      <c r="I201">
        <v>14.29</v>
      </c>
      <c r="J201">
        <v>47.27</v>
      </c>
      <c r="K201">
        <v>6</v>
      </c>
      <c r="T201">
        <v>2</v>
      </c>
      <c r="U201">
        <v>1</v>
      </c>
      <c r="V201" t="s">
        <v>93</v>
      </c>
      <c r="W201">
        <v>60</v>
      </c>
      <c r="X201">
        <v>6</v>
      </c>
      <c r="Y201">
        <v>6</v>
      </c>
      <c r="Z201" t="s">
        <v>380</v>
      </c>
      <c r="AA201" t="s">
        <v>381</v>
      </c>
      <c r="AB201" t="s">
        <v>96</v>
      </c>
      <c r="AC201" t="s">
        <v>97</v>
      </c>
      <c r="AD201" t="s">
        <v>98</v>
      </c>
      <c r="AG201" t="s">
        <v>382</v>
      </c>
      <c r="AH201">
        <v>0</v>
      </c>
      <c r="AI201">
        <v>178</v>
      </c>
      <c r="AJ201">
        <v>31</v>
      </c>
      <c r="AK201">
        <v>0</v>
      </c>
      <c r="AL201">
        <v>0</v>
      </c>
    </row>
    <row r="202" spans="1:38" x14ac:dyDescent="0.3">
      <c r="A202" t="s">
        <v>90</v>
      </c>
      <c r="B202">
        <v>8513</v>
      </c>
      <c r="C202">
        <v>2</v>
      </c>
      <c r="D202" t="s">
        <v>378</v>
      </c>
      <c r="E202" t="s">
        <v>379</v>
      </c>
      <c r="F202">
        <v>102</v>
      </c>
      <c r="G202">
        <v>19.170000000000002</v>
      </c>
      <c r="H202">
        <v>63.39</v>
      </c>
      <c r="I202">
        <v>14.88</v>
      </c>
      <c r="J202">
        <v>49.22</v>
      </c>
      <c r="K202">
        <v>72</v>
      </c>
      <c r="T202">
        <v>2</v>
      </c>
      <c r="U202">
        <v>1</v>
      </c>
      <c r="V202" t="s">
        <v>93</v>
      </c>
      <c r="W202">
        <v>63</v>
      </c>
      <c r="X202">
        <v>6</v>
      </c>
      <c r="Y202">
        <v>6</v>
      </c>
      <c r="Z202" t="s">
        <v>380</v>
      </c>
      <c r="AA202" t="s">
        <v>381</v>
      </c>
      <c r="AB202" t="s">
        <v>96</v>
      </c>
      <c r="AC202" t="s">
        <v>97</v>
      </c>
      <c r="AD202" t="s">
        <v>98</v>
      </c>
      <c r="AG202" t="s">
        <v>382</v>
      </c>
      <c r="AH202">
        <v>0</v>
      </c>
      <c r="AI202">
        <v>178</v>
      </c>
      <c r="AJ202">
        <v>31</v>
      </c>
      <c r="AK202">
        <v>0</v>
      </c>
      <c r="AL202">
        <v>0</v>
      </c>
    </row>
    <row r="203" spans="1:38" x14ac:dyDescent="0.3">
      <c r="A203" t="s">
        <v>90</v>
      </c>
      <c r="B203">
        <v>8513</v>
      </c>
      <c r="C203">
        <v>3</v>
      </c>
      <c r="D203" t="s">
        <v>378</v>
      </c>
      <c r="E203" t="s">
        <v>379</v>
      </c>
      <c r="F203">
        <v>102</v>
      </c>
      <c r="G203">
        <v>21.59</v>
      </c>
      <c r="H203">
        <v>71.400000000000006</v>
      </c>
      <c r="I203">
        <v>16.96</v>
      </c>
      <c r="J203">
        <v>56.07</v>
      </c>
      <c r="K203">
        <v>12</v>
      </c>
      <c r="T203">
        <v>3</v>
      </c>
      <c r="U203">
        <v>1</v>
      </c>
      <c r="V203" t="s">
        <v>93</v>
      </c>
      <c r="W203">
        <v>71</v>
      </c>
      <c r="X203">
        <v>6</v>
      </c>
      <c r="Y203">
        <v>6</v>
      </c>
      <c r="Z203" t="s">
        <v>380</v>
      </c>
      <c r="AA203" t="s">
        <v>381</v>
      </c>
      <c r="AB203" t="s">
        <v>96</v>
      </c>
      <c r="AC203" t="s">
        <v>97</v>
      </c>
      <c r="AD203" t="s">
        <v>98</v>
      </c>
      <c r="AG203" t="s">
        <v>382</v>
      </c>
      <c r="AH203">
        <v>0</v>
      </c>
      <c r="AI203">
        <v>178</v>
      </c>
      <c r="AJ203">
        <v>31</v>
      </c>
      <c r="AK203">
        <v>0</v>
      </c>
      <c r="AL203">
        <v>0</v>
      </c>
    </row>
    <row r="204" spans="1:38" x14ac:dyDescent="0.3">
      <c r="A204" t="s">
        <v>90</v>
      </c>
      <c r="B204">
        <v>8513</v>
      </c>
      <c r="C204">
        <v>4</v>
      </c>
      <c r="D204" t="s">
        <v>378</v>
      </c>
      <c r="E204" t="s">
        <v>379</v>
      </c>
      <c r="F204">
        <v>102</v>
      </c>
      <c r="G204">
        <v>23.02</v>
      </c>
      <c r="H204">
        <v>76.11</v>
      </c>
      <c r="I204">
        <v>18.34</v>
      </c>
      <c r="J204">
        <v>60.66</v>
      </c>
      <c r="K204">
        <v>6</v>
      </c>
      <c r="T204">
        <v>3</v>
      </c>
      <c r="U204">
        <v>1</v>
      </c>
      <c r="V204" t="s">
        <v>93</v>
      </c>
      <c r="W204">
        <v>76</v>
      </c>
      <c r="X204">
        <v>6</v>
      </c>
      <c r="Y204">
        <v>6</v>
      </c>
      <c r="Z204" t="s">
        <v>380</v>
      </c>
      <c r="AA204" t="s">
        <v>381</v>
      </c>
      <c r="AB204" t="s">
        <v>96</v>
      </c>
      <c r="AC204" t="s">
        <v>97</v>
      </c>
      <c r="AD204" t="s">
        <v>98</v>
      </c>
      <c r="AG204" t="s">
        <v>382</v>
      </c>
      <c r="AH204">
        <v>0</v>
      </c>
      <c r="AI204">
        <v>178</v>
      </c>
      <c r="AJ204">
        <v>31</v>
      </c>
      <c r="AK204">
        <v>0</v>
      </c>
      <c r="AL204">
        <v>0</v>
      </c>
    </row>
    <row r="205" spans="1:38" x14ac:dyDescent="0.3">
      <c r="A205" t="s">
        <v>90</v>
      </c>
      <c r="B205">
        <v>8513</v>
      </c>
      <c r="C205">
        <v>5</v>
      </c>
      <c r="D205" t="s">
        <v>378</v>
      </c>
      <c r="E205" t="s">
        <v>379</v>
      </c>
      <c r="F205">
        <v>102</v>
      </c>
      <c r="G205">
        <v>26.62</v>
      </c>
      <c r="H205">
        <v>88.02</v>
      </c>
      <c r="I205">
        <v>21.43</v>
      </c>
      <c r="J205">
        <v>70.849999999999994</v>
      </c>
      <c r="K205">
        <v>6</v>
      </c>
      <c r="T205">
        <v>3</v>
      </c>
      <c r="U205">
        <v>1</v>
      </c>
      <c r="V205" t="s">
        <v>93</v>
      </c>
      <c r="W205">
        <v>88</v>
      </c>
      <c r="X205">
        <v>6</v>
      </c>
      <c r="Y205">
        <v>6</v>
      </c>
      <c r="Z205" t="s">
        <v>380</v>
      </c>
      <c r="AA205" t="s">
        <v>381</v>
      </c>
      <c r="AB205" t="s">
        <v>96</v>
      </c>
      <c r="AC205" t="s">
        <v>97</v>
      </c>
      <c r="AD205" t="s">
        <v>98</v>
      </c>
      <c r="AG205" t="s">
        <v>382</v>
      </c>
      <c r="AH205">
        <v>0</v>
      </c>
      <c r="AI205">
        <v>178</v>
      </c>
      <c r="AJ205">
        <v>31</v>
      </c>
      <c r="AK205">
        <v>0</v>
      </c>
      <c r="AL205">
        <v>0</v>
      </c>
    </row>
    <row r="206" spans="1:38" x14ac:dyDescent="0.3">
      <c r="A206" t="s">
        <v>90</v>
      </c>
      <c r="B206">
        <v>2514</v>
      </c>
      <c r="C206">
        <v>1</v>
      </c>
      <c r="D206" t="s">
        <v>383</v>
      </c>
      <c r="E206" t="s">
        <v>148</v>
      </c>
      <c r="F206">
        <v>110</v>
      </c>
      <c r="G206">
        <v>14.32</v>
      </c>
      <c r="H206">
        <v>47.34</v>
      </c>
      <c r="I206">
        <v>11.18</v>
      </c>
      <c r="J206">
        <v>36.99</v>
      </c>
      <c r="K206">
        <v>60</v>
      </c>
      <c r="T206">
        <v>2</v>
      </c>
      <c r="U206">
        <v>1</v>
      </c>
      <c r="V206" t="s">
        <v>93</v>
      </c>
      <c r="W206">
        <v>47</v>
      </c>
      <c r="X206">
        <v>5</v>
      </c>
      <c r="Y206">
        <v>5</v>
      </c>
      <c r="Z206" t="s">
        <v>384</v>
      </c>
      <c r="AA206" t="s">
        <v>385</v>
      </c>
      <c r="AB206" t="s">
        <v>96</v>
      </c>
      <c r="AC206" t="s">
        <v>97</v>
      </c>
      <c r="AD206" t="s">
        <v>98</v>
      </c>
      <c r="AG206" t="s">
        <v>386</v>
      </c>
      <c r="AH206">
        <v>0</v>
      </c>
      <c r="AI206">
        <v>171</v>
      </c>
      <c r="AJ206">
        <v>34</v>
      </c>
      <c r="AK206">
        <v>0</v>
      </c>
      <c r="AL206">
        <v>0</v>
      </c>
    </row>
    <row r="207" spans="1:38" x14ac:dyDescent="0.3">
      <c r="A207" t="s">
        <v>90</v>
      </c>
      <c r="B207">
        <v>2514</v>
      </c>
      <c r="C207">
        <v>2</v>
      </c>
      <c r="D207" t="s">
        <v>383</v>
      </c>
      <c r="E207" t="s">
        <v>148</v>
      </c>
      <c r="F207">
        <v>110</v>
      </c>
      <c r="G207">
        <v>15.75</v>
      </c>
      <c r="H207">
        <v>52.08</v>
      </c>
      <c r="I207">
        <v>12.45</v>
      </c>
      <c r="J207">
        <v>41.16</v>
      </c>
      <c r="K207">
        <v>40</v>
      </c>
      <c r="T207">
        <v>2</v>
      </c>
      <c r="U207">
        <v>1</v>
      </c>
      <c r="V207" t="s">
        <v>93</v>
      </c>
      <c r="W207">
        <v>52</v>
      </c>
      <c r="X207">
        <v>5</v>
      </c>
      <c r="Y207">
        <v>5</v>
      </c>
      <c r="Z207" t="s">
        <v>384</v>
      </c>
      <c r="AA207" t="s">
        <v>385</v>
      </c>
      <c r="AB207" t="s">
        <v>96</v>
      </c>
      <c r="AC207" t="s">
        <v>97</v>
      </c>
      <c r="AD207" t="s">
        <v>98</v>
      </c>
      <c r="AG207" t="s">
        <v>386</v>
      </c>
      <c r="AH207">
        <v>0</v>
      </c>
      <c r="AI207">
        <v>171</v>
      </c>
      <c r="AJ207">
        <v>34</v>
      </c>
      <c r="AK207">
        <v>0</v>
      </c>
      <c r="AL207">
        <v>0</v>
      </c>
    </row>
    <row r="208" spans="1:38" x14ac:dyDescent="0.3">
      <c r="A208" t="s">
        <v>90</v>
      </c>
      <c r="B208">
        <v>2514</v>
      </c>
      <c r="C208">
        <v>3</v>
      </c>
      <c r="D208" t="s">
        <v>383</v>
      </c>
      <c r="E208" t="s">
        <v>148</v>
      </c>
      <c r="F208">
        <v>110</v>
      </c>
      <c r="G208">
        <v>19.28</v>
      </c>
      <c r="H208">
        <v>63.74</v>
      </c>
      <c r="I208">
        <v>14.12</v>
      </c>
      <c r="J208">
        <v>46.68</v>
      </c>
      <c r="K208">
        <v>5</v>
      </c>
      <c r="T208">
        <v>2</v>
      </c>
      <c r="U208">
        <v>1</v>
      </c>
      <c r="V208" t="s">
        <v>338</v>
      </c>
      <c r="W208">
        <v>63</v>
      </c>
      <c r="X208">
        <v>5</v>
      </c>
      <c r="Y208">
        <v>5</v>
      </c>
      <c r="Z208" t="s">
        <v>384</v>
      </c>
      <c r="AA208" t="s">
        <v>385</v>
      </c>
      <c r="AB208" t="s">
        <v>96</v>
      </c>
      <c r="AC208" t="s">
        <v>97</v>
      </c>
      <c r="AD208" t="s">
        <v>98</v>
      </c>
      <c r="AG208" t="s">
        <v>386</v>
      </c>
      <c r="AH208">
        <v>0</v>
      </c>
      <c r="AI208">
        <v>171</v>
      </c>
      <c r="AJ208">
        <v>34</v>
      </c>
      <c r="AK208">
        <v>0</v>
      </c>
      <c r="AL208">
        <v>0</v>
      </c>
    </row>
    <row r="209" spans="1:38" x14ac:dyDescent="0.3">
      <c r="A209" t="s">
        <v>90</v>
      </c>
      <c r="B209">
        <v>2514</v>
      </c>
      <c r="C209">
        <v>4</v>
      </c>
      <c r="D209" t="s">
        <v>383</v>
      </c>
      <c r="E209" t="s">
        <v>148</v>
      </c>
      <c r="F209">
        <v>110</v>
      </c>
      <c r="G209">
        <v>20.03</v>
      </c>
      <c r="H209">
        <v>66.22</v>
      </c>
      <c r="I209">
        <v>14.78</v>
      </c>
      <c r="J209">
        <v>48.87</v>
      </c>
      <c r="K209">
        <v>5</v>
      </c>
      <c r="T209">
        <v>2</v>
      </c>
      <c r="U209">
        <v>1</v>
      </c>
      <c r="V209" t="s">
        <v>338</v>
      </c>
      <c r="W209">
        <v>66</v>
      </c>
      <c r="X209">
        <v>5</v>
      </c>
      <c r="Y209">
        <v>5</v>
      </c>
      <c r="Z209" t="s">
        <v>384</v>
      </c>
      <c r="AA209" t="s">
        <v>385</v>
      </c>
      <c r="AB209" t="s">
        <v>96</v>
      </c>
      <c r="AC209" t="s">
        <v>97</v>
      </c>
      <c r="AD209" t="s">
        <v>98</v>
      </c>
      <c r="AG209" t="s">
        <v>386</v>
      </c>
      <c r="AH209">
        <v>0</v>
      </c>
      <c r="AI209">
        <v>171</v>
      </c>
      <c r="AJ209">
        <v>34</v>
      </c>
      <c r="AK209">
        <v>0</v>
      </c>
      <c r="AL209">
        <v>0</v>
      </c>
    </row>
    <row r="210" spans="1:38" x14ac:dyDescent="0.3">
      <c r="A210" t="s">
        <v>90</v>
      </c>
      <c r="B210">
        <v>2258</v>
      </c>
      <c r="C210">
        <v>1</v>
      </c>
      <c r="D210" t="s">
        <v>387</v>
      </c>
      <c r="E210" t="s">
        <v>275</v>
      </c>
      <c r="F210">
        <v>612</v>
      </c>
      <c r="G210">
        <v>23.24</v>
      </c>
      <c r="H210">
        <v>76.83</v>
      </c>
      <c r="I210">
        <v>18.239999999999998</v>
      </c>
      <c r="J210">
        <v>60.33</v>
      </c>
      <c r="K210">
        <v>144</v>
      </c>
      <c r="T210">
        <v>3</v>
      </c>
      <c r="U210">
        <v>1</v>
      </c>
      <c r="V210" t="s">
        <v>93</v>
      </c>
      <c r="W210">
        <v>76</v>
      </c>
      <c r="X210">
        <v>24</v>
      </c>
      <c r="Y210">
        <v>19</v>
      </c>
      <c r="Z210" t="s">
        <v>388</v>
      </c>
      <c r="AA210" t="s">
        <v>214</v>
      </c>
      <c r="AB210" t="s">
        <v>96</v>
      </c>
      <c r="AC210" t="s">
        <v>97</v>
      </c>
      <c r="AD210" t="s">
        <v>98</v>
      </c>
      <c r="AG210" t="s">
        <v>215</v>
      </c>
      <c r="AH210">
        <v>0</v>
      </c>
      <c r="AI210">
        <v>249</v>
      </c>
      <c r="AJ210">
        <v>20</v>
      </c>
      <c r="AK210">
        <v>628</v>
      </c>
      <c r="AL210">
        <v>1.03</v>
      </c>
    </row>
    <row r="211" spans="1:38" x14ac:dyDescent="0.3">
      <c r="A211" t="s">
        <v>90</v>
      </c>
      <c r="B211">
        <v>2258</v>
      </c>
      <c r="C211">
        <v>2</v>
      </c>
      <c r="D211" t="s">
        <v>387</v>
      </c>
      <c r="E211" t="s">
        <v>275</v>
      </c>
      <c r="F211">
        <v>612</v>
      </c>
      <c r="G211">
        <v>23.93</v>
      </c>
      <c r="H211">
        <v>79.14</v>
      </c>
      <c r="I211">
        <v>18.8</v>
      </c>
      <c r="J211">
        <v>62.15</v>
      </c>
      <c r="K211">
        <v>22</v>
      </c>
      <c r="T211">
        <v>3</v>
      </c>
      <c r="U211">
        <v>2</v>
      </c>
      <c r="V211" t="s">
        <v>93</v>
      </c>
      <c r="W211">
        <v>79</v>
      </c>
      <c r="X211">
        <v>24</v>
      </c>
      <c r="Y211">
        <v>19</v>
      </c>
      <c r="Z211" t="s">
        <v>388</v>
      </c>
      <c r="AA211" t="s">
        <v>214</v>
      </c>
      <c r="AB211" t="s">
        <v>96</v>
      </c>
      <c r="AC211" t="s">
        <v>97</v>
      </c>
      <c r="AD211" t="s">
        <v>98</v>
      </c>
      <c r="AG211" t="s">
        <v>215</v>
      </c>
      <c r="AH211">
        <v>0</v>
      </c>
      <c r="AI211">
        <v>249</v>
      </c>
      <c r="AJ211">
        <v>20</v>
      </c>
      <c r="AK211">
        <v>628</v>
      </c>
      <c r="AL211">
        <v>1.03</v>
      </c>
    </row>
    <row r="212" spans="1:38" x14ac:dyDescent="0.3">
      <c r="A212" t="s">
        <v>90</v>
      </c>
      <c r="B212">
        <v>2258</v>
      </c>
      <c r="C212">
        <v>3</v>
      </c>
      <c r="D212" t="s">
        <v>387</v>
      </c>
      <c r="E212" t="s">
        <v>275</v>
      </c>
      <c r="F212">
        <v>612</v>
      </c>
      <c r="G212">
        <v>28.19</v>
      </c>
      <c r="H212">
        <v>93.2</v>
      </c>
      <c r="I212">
        <v>22.13</v>
      </c>
      <c r="J212">
        <v>73.19</v>
      </c>
      <c r="K212">
        <v>446</v>
      </c>
      <c r="T212">
        <v>3</v>
      </c>
      <c r="U212">
        <v>2</v>
      </c>
      <c r="V212" t="s">
        <v>93</v>
      </c>
      <c r="W212">
        <v>93</v>
      </c>
      <c r="X212">
        <v>24</v>
      </c>
      <c r="Y212">
        <v>19</v>
      </c>
      <c r="Z212" t="s">
        <v>388</v>
      </c>
      <c r="AA212" t="s">
        <v>214</v>
      </c>
      <c r="AB212" t="s">
        <v>96</v>
      </c>
      <c r="AC212" t="s">
        <v>97</v>
      </c>
      <c r="AD212" t="s">
        <v>98</v>
      </c>
      <c r="AG212" t="s">
        <v>215</v>
      </c>
      <c r="AH212">
        <v>0</v>
      </c>
      <c r="AI212">
        <v>249</v>
      </c>
      <c r="AJ212">
        <v>20</v>
      </c>
      <c r="AK212">
        <v>628</v>
      </c>
      <c r="AL212">
        <v>1.03</v>
      </c>
    </row>
    <row r="213" spans="1:38" x14ac:dyDescent="0.3">
      <c r="A213" t="s">
        <v>90</v>
      </c>
      <c r="B213">
        <v>8511</v>
      </c>
      <c r="C213">
        <v>1</v>
      </c>
      <c r="D213" t="s">
        <v>389</v>
      </c>
      <c r="E213" t="s">
        <v>390</v>
      </c>
      <c r="F213">
        <v>151</v>
      </c>
      <c r="G213">
        <v>17.32</v>
      </c>
      <c r="H213">
        <v>57.28</v>
      </c>
      <c r="I213">
        <v>12.2</v>
      </c>
      <c r="J213">
        <v>40.35</v>
      </c>
      <c r="K213">
        <v>12</v>
      </c>
      <c r="T213">
        <v>2</v>
      </c>
      <c r="U213">
        <v>1</v>
      </c>
      <c r="V213" t="s">
        <v>138</v>
      </c>
      <c r="W213">
        <v>57</v>
      </c>
      <c r="X213">
        <v>15</v>
      </c>
      <c r="Y213">
        <v>7</v>
      </c>
      <c r="Z213" t="s">
        <v>391</v>
      </c>
      <c r="AA213" t="s">
        <v>392</v>
      </c>
      <c r="AB213" t="s">
        <v>96</v>
      </c>
      <c r="AC213" t="s">
        <v>97</v>
      </c>
      <c r="AD213" t="s">
        <v>98</v>
      </c>
      <c r="AG213" t="s">
        <v>393</v>
      </c>
      <c r="AH213">
        <v>0</v>
      </c>
      <c r="AI213">
        <v>251</v>
      </c>
      <c r="AJ213">
        <v>29</v>
      </c>
      <c r="AK213">
        <v>123</v>
      </c>
      <c r="AL213">
        <v>0.81</v>
      </c>
    </row>
    <row r="214" spans="1:38" x14ac:dyDescent="0.3">
      <c r="A214" t="s">
        <v>90</v>
      </c>
      <c r="B214">
        <v>8511</v>
      </c>
      <c r="C214">
        <v>2</v>
      </c>
      <c r="D214" t="s">
        <v>389</v>
      </c>
      <c r="E214" t="s">
        <v>390</v>
      </c>
      <c r="F214">
        <v>151</v>
      </c>
      <c r="G214">
        <v>29.09</v>
      </c>
      <c r="H214">
        <v>96.18</v>
      </c>
      <c r="I214">
        <v>18.14</v>
      </c>
      <c r="J214">
        <v>59.97</v>
      </c>
      <c r="K214">
        <v>79</v>
      </c>
      <c r="T214">
        <v>3</v>
      </c>
      <c r="U214">
        <v>1</v>
      </c>
      <c r="V214" t="s">
        <v>138</v>
      </c>
      <c r="W214">
        <v>96</v>
      </c>
      <c r="X214">
        <v>15</v>
      </c>
      <c r="Y214">
        <v>7</v>
      </c>
      <c r="Z214" t="s">
        <v>391</v>
      </c>
      <c r="AA214" t="s">
        <v>392</v>
      </c>
      <c r="AB214" t="s">
        <v>96</v>
      </c>
      <c r="AC214" t="s">
        <v>97</v>
      </c>
      <c r="AD214" t="s">
        <v>98</v>
      </c>
      <c r="AG214" t="s">
        <v>393</v>
      </c>
      <c r="AH214">
        <v>0</v>
      </c>
      <c r="AI214">
        <v>251</v>
      </c>
      <c r="AJ214">
        <v>29</v>
      </c>
      <c r="AK214">
        <v>123</v>
      </c>
      <c r="AL214">
        <v>0.81</v>
      </c>
    </row>
    <row r="215" spans="1:38" x14ac:dyDescent="0.3">
      <c r="A215" t="s">
        <v>90</v>
      </c>
      <c r="B215">
        <v>8511</v>
      </c>
      <c r="C215">
        <v>3</v>
      </c>
      <c r="D215" t="s">
        <v>389</v>
      </c>
      <c r="E215" t="s">
        <v>390</v>
      </c>
      <c r="F215">
        <v>151</v>
      </c>
      <c r="G215">
        <v>29.73</v>
      </c>
      <c r="H215">
        <v>98.3</v>
      </c>
      <c r="I215">
        <v>20.94</v>
      </c>
      <c r="J215">
        <v>69.239999999999995</v>
      </c>
      <c r="K215">
        <v>15</v>
      </c>
      <c r="T215">
        <v>3</v>
      </c>
      <c r="U215">
        <v>1</v>
      </c>
      <c r="V215" t="s">
        <v>138</v>
      </c>
      <c r="W215">
        <v>98</v>
      </c>
      <c r="X215">
        <v>15</v>
      </c>
      <c r="Y215">
        <v>7</v>
      </c>
      <c r="Z215" t="s">
        <v>391</v>
      </c>
      <c r="AA215" t="s">
        <v>392</v>
      </c>
      <c r="AB215" t="s">
        <v>96</v>
      </c>
      <c r="AC215" t="s">
        <v>97</v>
      </c>
      <c r="AD215" t="s">
        <v>98</v>
      </c>
      <c r="AG215" t="s">
        <v>393</v>
      </c>
      <c r="AH215">
        <v>0</v>
      </c>
      <c r="AI215">
        <v>251</v>
      </c>
      <c r="AJ215">
        <v>29</v>
      </c>
      <c r="AK215">
        <v>123</v>
      </c>
      <c r="AL215">
        <v>0.81</v>
      </c>
    </row>
    <row r="216" spans="1:38" x14ac:dyDescent="0.3">
      <c r="A216" t="s">
        <v>90</v>
      </c>
      <c r="B216">
        <v>8511</v>
      </c>
      <c r="C216">
        <v>4</v>
      </c>
      <c r="D216" t="s">
        <v>389</v>
      </c>
      <c r="E216" t="s">
        <v>390</v>
      </c>
      <c r="F216">
        <v>151</v>
      </c>
      <c r="G216">
        <v>32.47</v>
      </c>
      <c r="H216">
        <v>107.37</v>
      </c>
      <c r="I216">
        <v>22.87</v>
      </c>
      <c r="J216">
        <v>75.63</v>
      </c>
      <c r="K216">
        <v>45</v>
      </c>
      <c r="T216">
        <v>3</v>
      </c>
      <c r="U216">
        <v>1</v>
      </c>
      <c r="V216" t="s">
        <v>138</v>
      </c>
      <c r="W216">
        <v>107</v>
      </c>
      <c r="X216">
        <v>15</v>
      </c>
      <c r="Y216">
        <v>7</v>
      </c>
      <c r="Z216" t="s">
        <v>391</v>
      </c>
      <c r="AA216" t="s">
        <v>392</v>
      </c>
      <c r="AB216" t="s">
        <v>96</v>
      </c>
      <c r="AC216" t="s">
        <v>97</v>
      </c>
      <c r="AD216" t="s">
        <v>98</v>
      </c>
      <c r="AG216" t="s">
        <v>393</v>
      </c>
      <c r="AH216">
        <v>0</v>
      </c>
      <c r="AI216">
        <v>251</v>
      </c>
      <c r="AJ216">
        <v>29</v>
      </c>
      <c r="AK216">
        <v>123</v>
      </c>
      <c r="AL216">
        <v>0.81</v>
      </c>
    </row>
    <row r="217" spans="1:38" x14ac:dyDescent="0.3">
      <c r="A217" t="s">
        <v>90</v>
      </c>
      <c r="B217">
        <v>2251</v>
      </c>
      <c r="C217">
        <v>1</v>
      </c>
      <c r="D217" t="s">
        <v>394</v>
      </c>
      <c r="E217" t="s">
        <v>395</v>
      </c>
      <c r="F217">
        <v>1140</v>
      </c>
      <c r="G217">
        <v>15.89</v>
      </c>
      <c r="H217">
        <v>52.55</v>
      </c>
      <c r="I217">
        <v>10.93</v>
      </c>
      <c r="J217">
        <v>36.159999999999997</v>
      </c>
      <c r="K217">
        <v>300</v>
      </c>
      <c r="T217">
        <v>2</v>
      </c>
      <c r="U217">
        <v>1</v>
      </c>
      <c r="V217" t="s">
        <v>138</v>
      </c>
      <c r="W217" t="s">
        <v>396</v>
      </c>
      <c r="X217">
        <v>15</v>
      </c>
      <c r="Y217">
        <v>15</v>
      </c>
      <c r="Z217" t="s">
        <v>397</v>
      </c>
      <c r="AA217" t="s">
        <v>398</v>
      </c>
      <c r="AB217" t="s">
        <v>96</v>
      </c>
      <c r="AC217" t="s">
        <v>97</v>
      </c>
      <c r="AD217" t="s">
        <v>98</v>
      </c>
      <c r="AG217" t="s">
        <v>399</v>
      </c>
      <c r="AH217">
        <v>0</v>
      </c>
      <c r="AI217">
        <v>173</v>
      </c>
      <c r="AJ217">
        <v>11</v>
      </c>
      <c r="AK217">
        <v>1140</v>
      </c>
      <c r="AL217">
        <v>1</v>
      </c>
    </row>
    <row r="218" spans="1:38" x14ac:dyDescent="0.3">
      <c r="A218" t="s">
        <v>90</v>
      </c>
      <c r="B218">
        <v>2251</v>
      </c>
      <c r="C218">
        <v>2</v>
      </c>
      <c r="D218" t="s">
        <v>394</v>
      </c>
      <c r="E218" t="s">
        <v>395</v>
      </c>
      <c r="F218">
        <v>1140</v>
      </c>
      <c r="G218">
        <v>15.97</v>
      </c>
      <c r="H218">
        <v>52.81</v>
      </c>
      <c r="I218">
        <v>10.99</v>
      </c>
      <c r="J218">
        <v>36.340000000000003</v>
      </c>
      <c r="K218">
        <v>60</v>
      </c>
      <c r="T218">
        <v>2</v>
      </c>
      <c r="U218">
        <v>1</v>
      </c>
      <c r="V218" t="s">
        <v>138</v>
      </c>
      <c r="W218" t="s">
        <v>400</v>
      </c>
      <c r="X218">
        <v>15</v>
      </c>
      <c r="Y218">
        <v>15</v>
      </c>
      <c r="Z218" t="s">
        <v>397</v>
      </c>
      <c r="AA218" t="s">
        <v>398</v>
      </c>
      <c r="AB218" t="s">
        <v>96</v>
      </c>
      <c r="AC218" t="s">
        <v>97</v>
      </c>
      <c r="AD218" t="s">
        <v>98</v>
      </c>
      <c r="AG218" t="s">
        <v>399</v>
      </c>
      <c r="AH218">
        <v>0</v>
      </c>
      <c r="AI218">
        <v>173</v>
      </c>
      <c r="AJ218">
        <v>11</v>
      </c>
      <c r="AK218">
        <v>1140</v>
      </c>
      <c r="AL218">
        <v>1</v>
      </c>
    </row>
    <row r="219" spans="1:38" x14ac:dyDescent="0.3">
      <c r="A219" t="s">
        <v>90</v>
      </c>
      <c r="B219">
        <v>2251</v>
      </c>
      <c r="C219">
        <v>3</v>
      </c>
      <c r="D219" t="s">
        <v>394</v>
      </c>
      <c r="E219" t="s">
        <v>395</v>
      </c>
      <c r="F219">
        <v>1140</v>
      </c>
      <c r="G219">
        <v>17.28</v>
      </c>
      <c r="H219">
        <v>57.15</v>
      </c>
      <c r="I219">
        <v>12.49</v>
      </c>
      <c r="J219">
        <v>41.3</v>
      </c>
      <c r="K219">
        <v>180</v>
      </c>
      <c r="T219">
        <v>2</v>
      </c>
      <c r="U219">
        <v>1</v>
      </c>
      <c r="V219" t="s">
        <v>138</v>
      </c>
      <c r="W219" t="s">
        <v>326</v>
      </c>
      <c r="X219">
        <v>15</v>
      </c>
      <c r="Y219">
        <v>15</v>
      </c>
      <c r="Z219" t="s">
        <v>397</v>
      </c>
      <c r="AA219" t="s">
        <v>398</v>
      </c>
      <c r="AB219" t="s">
        <v>96</v>
      </c>
      <c r="AC219" t="s">
        <v>97</v>
      </c>
      <c r="AD219" t="s">
        <v>98</v>
      </c>
      <c r="AG219" t="s">
        <v>399</v>
      </c>
      <c r="AH219">
        <v>0</v>
      </c>
      <c r="AI219">
        <v>173</v>
      </c>
      <c r="AJ219">
        <v>11</v>
      </c>
      <c r="AK219">
        <v>1140</v>
      </c>
      <c r="AL219">
        <v>1</v>
      </c>
    </row>
    <row r="220" spans="1:38" x14ac:dyDescent="0.3">
      <c r="A220" t="s">
        <v>90</v>
      </c>
      <c r="B220">
        <v>2251</v>
      </c>
      <c r="C220">
        <v>4</v>
      </c>
      <c r="D220" t="s">
        <v>394</v>
      </c>
      <c r="E220" t="s">
        <v>395</v>
      </c>
      <c r="F220">
        <v>1140</v>
      </c>
      <c r="G220">
        <v>17.28</v>
      </c>
      <c r="H220">
        <v>57.15</v>
      </c>
      <c r="I220">
        <v>12.49</v>
      </c>
      <c r="J220">
        <v>41.3</v>
      </c>
      <c r="K220">
        <v>90</v>
      </c>
      <c r="T220">
        <v>2</v>
      </c>
      <c r="U220">
        <v>1</v>
      </c>
      <c r="V220" t="s">
        <v>138</v>
      </c>
      <c r="W220" t="s">
        <v>284</v>
      </c>
      <c r="X220">
        <v>15</v>
      </c>
      <c r="Y220">
        <v>15</v>
      </c>
      <c r="Z220" t="s">
        <v>397</v>
      </c>
      <c r="AA220" t="s">
        <v>398</v>
      </c>
      <c r="AB220" t="s">
        <v>96</v>
      </c>
      <c r="AC220" t="s">
        <v>97</v>
      </c>
      <c r="AD220" t="s">
        <v>98</v>
      </c>
      <c r="AG220" t="s">
        <v>399</v>
      </c>
      <c r="AH220">
        <v>0</v>
      </c>
      <c r="AI220">
        <v>173</v>
      </c>
      <c r="AJ220">
        <v>11</v>
      </c>
      <c r="AK220">
        <v>1140</v>
      </c>
      <c r="AL220">
        <v>1</v>
      </c>
    </row>
    <row r="221" spans="1:38" x14ac:dyDescent="0.3">
      <c r="A221" t="s">
        <v>90</v>
      </c>
      <c r="B221">
        <v>2251</v>
      </c>
      <c r="C221">
        <v>5</v>
      </c>
      <c r="D221" t="s">
        <v>394</v>
      </c>
      <c r="E221" t="s">
        <v>395</v>
      </c>
      <c r="F221">
        <v>1140</v>
      </c>
      <c r="G221">
        <v>18.239999999999998</v>
      </c>
      <c r="H221">
        <v>60.33</v>
      </c>
      <c r="I221">
        <v>12.49</v>
      </c>
      <c r="J221">
        <v>41.3</v>
      </c>
      <c r="K221">
        <v>60</v>
      </c>
      <c r="T221">
        <v>2</v>
      </c>
      <c r="U221">
        <v>1</v>
      </c>
      <c r="V221" t="s">
        <v>138</v>
      </c>
      <c r="W221">
        <v>60</v>
      </c>
      <c r="X221">
        <v>15</v>
      </c>
      <c r="Y221">
        <v>15</v>
      </c>
      <c r="Z221" t="s">
        <v>397</v>
      </c>
      <c r="AA221" t="s">
        <v>398</v>
      </c>
      <c r="AB221" t="s">
        <v>96</v>
      </c>
      <c r="AC221" t="s">
        <v>97</v>
      </c>
      <c r="AD221" t="s">
        <v>98</v>
      </c>
      <c r="AG221" t="s">
        <v>399</v>
      </c>
      <c r="AH221">
        <v>0</v>
      </c>
      <c r="AI221">
        <v>173</v>
      </c>
      <c r="AJ221">
        <v>11</v>
      </c>
      <c r="AK221">
        <v>1140</v>
      </c>
      <c r="AL221">
        <v>1</v>
      </c>
    </row>
    <row r="222" spans="1:38" x14ac:dyDescent="0.3">
      <c r="A222" t="s">
        <v>90</v>
      </c>
      <c r="B222">
        <v>2251</v>
      </c>
      <c r="C222">
        <v>6</v>
      </c>
      <c r="D222" t="s">
        <v>394</v>
      </c>
      <c r="E222" t="s">
        <v>395</v>
      </c>
      <c r="F222">
        <v>1140</v>
      </c>
      <c r="G222">
        <v>20.9</v>
      </c>
      <c r="H222">
        <v>69.099999999999994</v>
      </c>
      <c r="I222">
        <v>15.1</v>
      </c>
      <c r="J222">
        <v>49.94</v>
      </c>
      <c r="K222">
        <v>270</v>
      </c>
      <c r="T222">
        <v>2</v>
      </c>
      <c r="U222">
        <v>1</v>
      </c>
      <c r="V222" t="s">
        <v>138</v>
      </c>
      <c r="W222">
        <v>69</v>
      </c>
      <c r="X222">
        <v>15</v>
      </c>
      <c r="Y222">
        <v>15</v>
      </c>
      <c r="Z222" t="s">
        <v>397</v>
      </c>
      <c r="AA222" t="s">
        <v>398</v>
      </c>
      <c r="AB222" t="s">
        <v>96</v>
      </c>
      <c r="AC222" t="s">
        <v>97</v>
      </c>
      <c r="AD222" t="s">
        <v>98</v>
      </c>
      <c r="AG222" t="s">
        <v>399</v>
      </c>
      <c r="AH222">
        <v>0</v>
      </c>
      <c r="AI222">
        <v>173</v>
      </c>
      <c r="AJ222">
        <v>11</v>
      </c>
      <c r="AK222">
        <v>1140</v>
      </c>
      <c r="AL222">
        <v>1</v>
      </c>
    </row>
    <row r="223" spans="1:38" x14ac:dyDescent="0.3">
      <c r="A223" t="s">
        <v>90</v>
      </c>
      <c r="B223">
        <v>2251</v>
      </c>
      <c r="C223">
        <v>7</v>
      </c>
      <c r="D223" t="s">
        <v>394</v>
      </c>
      <c r="E223" t="s">
        <v>395</v>
      </c>
      <c r="F223">
        <v>1140</v>
      </c>
      <c r="G223">
        <v>22.06</v>
      </c>
      <c r="H223">
        <v>72.95</v>
      </c>
      <c r="I223">
        <v>15.1</v>
      </c>
      <c r="J223">
        <v>49.94</v>
      </c>
      <c r="K223">
        <v>180</v>
      </c>
      <c r="T223">
        <v>2</v>
      </c>
      <c r="U223">
        <v>1</v>
      </c>
      <c r="V223" t="s">
        <v>138</v>
      </c>
      <c r="W223">
        <v>72</v>
      </c>
      <c r="X223">
        <v>15</v>
      </c>
      <c r="Y223">
        <v>15</v>
      </c>
      <c r="Z223" t="s">
        <v>397</v>
      </c>
      <c r="AA223" t="s">
        <v>398</v>
      </c>
      <c r="AB223" t="s">
        <v>96</v>
      </c>
      <c r="AC223" t="s">
        <v>97</v>
      </c>
      <c r="AD223" t="s">
        <v>98</v>
      </c>
      <c r="AG223" t="s">
        <v>399</v>
      </c>
      <c r="AH223">
        <v>0</v>
      </c>
      <c r="AI223">
        <v>173</v>
      </c>
      <c r="AJ223">
        <v>11</v>
      </c>
      <c r="AK223">
        <v>1140</v>
      </c>
      <c r="AL223">
        <v>1</v>
      </c>
    </row>
    <row r="224" spans="1:38" x14ac:dyDescent="0.3">
      <c r="A224" t="s">
        <v>90</v>
      </c>
      <c r="B224">
        <v>2250</v>
      </c>
      <c r="C224">
        <v>1</v>
      </c>
      <c r="D224" t="s">
        <v>401</v>
      </c>
      <c r="E224" t="s">
        <v>275</v>
      </c>
      <c r="F224">
        <v>216</v>
      </c>
      <c r="G224">
        <v>35.630000000000003</v>
      </c>
      <c r="H224">
        <v>117.79</v>
      </c>
      <c r="I224">
        <v>31</v>
      </c>
      <c r="J224">
        <v>102.48</v>
      </c>
      <c r="K224">
        <v>216</v>
      </c>
      <c r="T224">
        <v>4</v>
      </c>
      <c r="U224">
        <v>2</v>
      </c>
      <c r="V224" t="s">
        <v>93</v>
      </c>
      <c r="W224">
        <v>117</v>
      </c>
      <c r="X224">
        <v>18</v>
      </c>
      <c r="Y224">
        <v>18</v>
      </c>
      <c r="Z224" t="s">
        <v>402</v>
      </c>
      <c r="AA224" t="s">
        <v>277</v>
      </c>
      <c r="AB224" t="s">
        <v>96</v>
      </c>
      <c r="AC224" t="s">
        <v>97</v>
      </c>
      <c r="AD224" t="s">
        <v>98</v>
      </c>
      <c r="AG224" t="s">
        <v>278</v>
      </c>
      <c r="AH224">
        <v>0</v>
      </c>
      <c r="AI224">
        <v>249</v>
      </c>
      <c r="AJ224">
        <v>15</v>
      </c>
      <c r="AK224">
        <v>335</v>
      </c>
      <c r="AL224">
        <v>1.55</v>
      </c>
    </row>
    <row r="225" spans="1:38" x14ac:dyDescent="0.3">
      <c r="A225" t="s">
        <v>90</v>
      </c>
      <c r="B225">
        <v>115071</v>
      </c>
      <c r="C225">
        <v>1</v>
      </c>
      <c r="D225" t="s">
        <v>403</v>
      </c>
      <c r="E225" t="s">
        <v>404</v>
      </c>
      <c r="F225">
        <v>59</v>
      </c>
      <c r="G225">
        <v>18.22</v>
      </c>
      <c r="H225">
        <v>60.26</v>
      </c>
      <c r="I225">
        <v>13.6</v>
      </c>
      <c r="J225">
        <v>44.96</v>
      </c>
      <c r="K225">
        <v>1</v>
      </c>
      <c r="T225">
        <v>2</v>
      </c>
      <c r="U225">
        <v>1</v>
      </c>
      <c r="V225" t="s">
        <v>93</v>
      </c>
      <c r="W225">
        <v>60</v>
      </c>
      <c r="X225">
        <v>10</v>
      </c>
      <c r="Y225">
        <v>10</v>
      </c>
      <c r="Z225" t="s">
        <v>405</v>
      </c>
      <c r="AA225" t="s">
        <v>406</v>
      </c>
      <c r="AB225" t="s">
        <v>96</v>
      </c>
      <c r="AC225" t="s">
        <v>97</v>
      </c>
      <c r="AD225" t="s">
        <v>98</v>
      </c>
      <c r="AG225" t="s">
        <v>407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90</v>
      </c>
      <c r="B226">
        <v>115071</v>
      </c>
      <c r="C226">
        <v>2</v>
      </c>
      <c r="D226" t="s">
        <v>403</v>
      </c>
      <c r="E226" t="s">
        <v>404</v>
      </c>
      <c r="F226">
        <v>59</v>
      </c>
      <c r="G226">
        <v>19.920000000000002</v>
      </c>
      <c r="H226">
        <v>65.86</v>
      </c>
      <c r="I226">
        <v>14.8</v>
      </c>
      <c r="J226">
        <v>48.94</v>
      </c>
      <c r="K226">
        <v>1</v>
      </c>
      <c r="T226">
        <v>3</v>
      </c>
      <c r="U226">
        <v>1</v>
      </c>
      <c r="V226" t="s">
        <v>93</v>
      </c>
      <c r="W226" t="s">
        <v>299</v>
      </c>
      <c r="X226">
        <v>10</v>
      </c>
      <c r="Y226">
        <v>10</v>
      </c>
      <c r="Z226" t="s">
        <v>405</v>
      </c>
      <c r="AA226" t="s">
        <v>406</v>
      </c>
      <c r="AB226" t="s">
        <v>96</v>
      </c>
      <c r="AC226" t="s">
        <v>97</v>
      </c>
      <c r="AD226" t="s">
        <v>98</v>
      </c>
      <c r="AG226" t="s">
        <v>407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90</v>
      </c>
      <c r="B227">
        <v>115071</v>
      </c>
      <c r="C227">
        <v>3</v>
      </c>
      <c r="D227" t="s">
        <v>403</v>
      </c>
      <c r="E227" t="s">
        <v>404</v>
      </c>
      <c r="F227">
        <v>59</v>
      </c>
      <c r="G227">
        <v>20.09</v>
      </c>
      <c r="H227">
        <v>66.42</v>
      </c>
      <c r="I227">
        <v>14.75</v>
      </c>
      <c r="J227">
        <v>48.79</v>
      </c>
      <c r="K227">
        <v>1</v>
      </c>
      <c r="T227">
        <v>3</v>
      </c>
      <c r="U227">
        <v>1</v>
      </c>
      <c r="V227" t="s">
        <v>93</v>
      </c>
      <c r="W227" t="s">
        <v>408</v>
      </c>
      <c r="X227">
        <v>10</v>
      </c>
      <c r="Y227">
        <v>10</v>
      </c>
      <c r="Z227" t="s">
        <v>405</v>
      </c>
      <c r="AA227" t="s">
        <v>406</v>
      </c>
      <c r="AB227" t="s">
        <v>96</v>
      </c>
      <c r="AC227" t="s">
        <v>97</v>
      </c>
      <c r="AD227" t="s">
        <v>98</v>
      </c>
      <c r="AG227" t="s">
        <v>407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90</v>
      </c>
      <c r="B228">
        <v>115071</v>
      </c>
      <c r="C228">
        <v>4</v>
      </c>
      <c r="D228" t="s">
        <v>403</v>
      </c>
      <c r="E228" t="s">
        <v>404</v>
      </c>
      <c r="F228">
        <v>59</v>
      </c>
      <c r="G228">
        <v>20.3</v>
      </c>
      <c r="H228">
        <v>67.11</v>
      </c>
      <c r="I228">
        <v>14.99</v>
      </c>
      <c r="J228">
        <v>49.57</v>
      </c>
      <c r="K228">
        <v>1</v>
      </c>
      <c r="T228">
        <v>3</v>
      </c>
      <c r="U228">
        <v>1</v>
      </c>
      <c r="V228" t="s">
        <v>93</v>
      </c>
      <c r="W228" t="s">
        <v>409</v>
      </c>
      <c r="X228">
        <v>10</v>
      </c>
      <c r="Y228">
        <v>10</v>
      </c>
      <c r="Z228" t="s">
        <v>405</v>
      </c>
      <c r="AA228" t="s">
        <v>406</v>
      </c>
      <c r="AB228" t="s">
        <v>96</v>
      </c>
      <c r="AC228" t="s">
        <v>97</v>
      </c>
      <c r="AD228" t="s">
        <v>98</v>
      </c>
      <c r="AG228" t="s">
        <v>407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">
      <c r="A229" t="s">
        <v>90</v>
      </c>
      <c r="B229">
        <v>115071</v>
      </c>
      <c r="C229">
        <v>5</v>
      </c>
      <c r="D229" t="s">
        <v>403</v>
      </c>
      <c r="E229" t="s">
        <v>404</v>
      </c>
      <c r="F229">
        <v>59</v>
      </c>
      <c r="G229">
        <v>21.3</v>
      </c>
      <c r="H229">
        <v>70.44</v>
      </c>
      <c r="I229">
        <v>15.9</v>
      </c>
      <c r="J229">
        <v>52.58</v>
      </c>
      <c r="K229">
        <v>1</v>
      </c>
      <c r="T229">
        <v>3</v>
      </c>
      <c r="U229">
        <v>1</v>
      </c>
      <c r="V229" t="s">
        <v>93</v>
      </c>
      <c r="W229">
        <v>70</v>
      </c>
      <c r="X229">
        <v>10</v>
      </c>
      <c r="Y229">
        <v>10</v>
      </c>
      <c r="Z229" t="s">
        <v>405</v>
      </c>
      <c r="AA229" t="s">
        <v>406</v>
      </c>
      <c r="AB229" t="s">
        <v>96</v>
      </c>
      <c r="AC229" t="s">
        <v>97</v>
      </c>
      <c r="AD229" t="s">
        <v>98</v>
      </c>
      <c r="AG229" t="s">
        <v>407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90</v>
      </c>
      <c r="B230">
        <v>115071</v>
      </c>
      <c r="C230">
        <v>6</v>
      </c>
      <c r="D230" t="s">
        <v>403</v>
      </c>
      <c r="E230" t="s">
        <v>404</v>
      </c>
      <c r="F230">
        <v>59</v>
      </c>
      <c r="G230">
        <v>22.19</v>
      </c>
      <c r="H230">
        <v>73.36</v>
      </c>
      <c r="I230">
        <v>16.54</v>
      </c>
      <c r="J230">
        <v>54.69</v>
      </c>
      <c r="K230">
        <v>14</v>
      </c>
      <c r="T230">
        <v>3</v>
      </c>
      <c r="U230">
        <v>1</v>
      </c>
      <c r="V230" t="s">
        <v>93</v>
      </c>
      <c r="W230" t="s">
        <v>302</v>
      </c>
      <c r="X230">
        <v>10</v>
      </c>
      <c r="Y230">
        <v>10</v>
      </c>
      <c r="Z230" t="s">
        <v>405</v>
      </c>
      <c r="AA230" t="s">
        <v>406</v>
      </c>
      <c r="AB230" t="s">
        <v>96</v>
      </c>
      <c r="AC230" t="s">
        <v>97</v>
      </c>
      <c r="AD230" t="s">
        <v>98</v>
      </c>
      <c r="AG230" t="s">
        <v>407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90</v>
      </c>
      <c r="B231">
        <v>115071</v>
      </c>
      <c r="C231">
        <v>7</v>
      </c>
      <c r="D231" t="s">
        <v>403</v>
      </c>
      <c r="E231" t="s">
        <v>404</v>
      </c>
      <c r="F231">
        <v>59</v>
      </c>
      <c r="G231">
        <v>22.35</v>
      </c>
      <c r="H231">
        <v>73.900000000000006</v>
      </c>
      <c r="I231">
        <v>16.59</v>
      </c>
      <c r="J231">
        <v>54.87</v>
      </c>
      <c r="K231">
        <v>3</v>
      </c>
      <c r="T231">
        <v>3</v>
      </c>
      <c r="U231">
        <v>1</v>
      </c>
      <c r="V231" t="s">
        <v>93</v>
      </c>
      <c r="W231" t="s">
        <v>363</v>
      </c>
      <c r="X231">
        <v>10</v>
      </c>
      <c r="Y231">
        <v>10</v>
      </c>
      <c r="Z231" t="s">
        <v>405</v>
      </c>
      <c r="AA231" t="s">
        <v>406</v>
      </c>
      <c r="AB231" t="s">
        <v>96</v>
      </c>
      <c r="AC231" t="s">
        <v>97</v>
      </c>
      <c r="AD231" t="s">
        <v>98</v>
      </c>
      <c r="AG231" t="s">
        <v>407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90</v>
      </c>
      <c r="B232">
        <v>115071</v>
      </c>
      <c r="C232">
        <v>8</v>
      </c>
      <c r="D232" t="s">
        <v>403</v>
      </c>
      <c r="E232" t="s">
        <v>404</v>
      </c>
      <c r="F232">
        <v>59</v>
      </c>
      <c r="G232">
        <v>22.34</v>
      </c>
      <c r="H232">
        <v>73.86</v>
      </c>
      <c r="I232">
        <v>16.66</v>
      </c>
      <c r="J232">
        <v>55.1</v>
      </c>
      <c r="K232">
        <v>2</v>
      </c>
      <c r="T232">
        <v>3</v>
      </c>
      <c r="U232">
        <v>1</v>
      </c>
      <c r="V232" t="s">
        <v>93</v>
      </c>
      <c r="W232" t="s">
        <v>410</v>
      </c>
      <c r="X232">
        <v>10</v>
      </c>
      <c r="Y232">
        <v>10</v>
      </c>
      <c r="Z232" t="s">
        <v>405</v>
      </c>
      <c r="AA232" t="s">
        <v>406</v>
      </c>
      <c r="AB232" t="s">
        <v>96</v>
      </c>
      <c r="AC232" t="s">
        <v>97</v>
      </c>
      <c r="AD232" t="s">
        <v>98</v>
      </c>
      <c r="AG232" t="s">
        <v>407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">
      <c r="A233" t="s">
        <v>90</v>
      </c>
      <c r="B233">
        <v>115071</v>
      </c>
      <c r="C233">
        <v>9</v>
      </c>
      <c r="D233" t="s">
        <v>403</v>
      </c>
      <c r="E233" t="s">
        <v>404</v>
      </c>
      <c r="F233">
        <v>59</v>
      </c>
      <c r="G233">
        <v>23.88</v>
      </c>
      <c r="H233">
        <v>78.95</v>
      </c>
      <c r="I233">
        <v>17.97</v>
      </c>
      <c r="J233">
        <v>59.43</v>
      </c>
      <c r="K233">
        <v>27</v>
      </c>
      <c r="T233">
        <v>3</v>
      </c>
      <c r="U233">
        <v>1</v>
      </c>
      <c r="V233" t="s">
        <v>93</v>
      </c>
      <c r="W233">
        <v>78</v>
      </c>
      <c r="X233">
        <v>10</v>
      </c>
      <c r="Y233">
        <v>10</v>
      </c>
      <c r="Z233" t="s">
        <v>405</v>
      </c>
      <c r="AA233" t="s">
        <v>406</v>
      </c>
      <c r="AB233" t="s">
        <v>96</v>
      </c>
      <c r="AC233" t="s">
        <v>97</v>
      </c>
      <c r="AD233" t="s">
        <v>98</v>
      </c>
      <c r="AG233" t="s">
        <v>407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">
      <c r="A234" t="s">
        <v>90</v>
      </c>
      <c r="B234">
        <v>115071</v>
      </c>
      <c r="C234">
        <v>10</v>
      </c>
      <c r="D234" t="s">
        <v>403</v>
      </c>
      <c r="E234" t="s">
        <v>404</v>
      </c>
      <c r="F234">
        <v>59</v>
      </c>
      <c r="G234">
        <v>29.96</v>
      </c>
      <c r="H234">
        <v>99.05</v>
      </c>
      <c r="I234">
        <v>22.68</v>
      </c>
      <c r="J234">
        <v>75</v>
      </c>
      <c r="K234">
        <v>1</v>
      </c>
      <c r="T234">
        <v>3</v>
      </c>
      <c r="U234">
        <v>2</v>
      </c>
      <c r="V234" t="s">
        <v>93</v>
      </c>
      <c r="W234">
        <v>99</v>
      </c>
      <c r="X234">
        <v>10</v>
      </c>
      <c r="Y234">
        <v>10</v>
      </c>
      <c r="Z234" t="s">
        <v>405</v>
      </c>
      <c r="AA234" t="s">
        <v>406</v>
      </c>
      <c r="AB234" t="s">
        <v>96</v>
      </c>
      <c r="AC234" t="s">
        <v>97</v>
      </c>
      <c r="AD234" t="s">
        <v>98</v>
      </c>
      <c r="AG234" t="s">
        <v>407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90</v>
      </c>
      <c r="B235">
        <v>115071</v>
      </c>
      <c r="C235">
        <v>11</v>
      </c>
      <c r="D235" t="s">
        <v>403</v>
      </c>
      <c r="E235" t="s">
        <v>404</v>
      </c>
      <c r="F235">
        <v>59</v>
      </c>
      <c r="G235">
        <v>31.39</v>
      </c>
      <c r="H235">
        <v>103.77</v>
      </c>
      <c r="I235">
        <v>23.59</v>
      </c>
      <c r="J235">
        <v>77.989999999999995</v>
      </c>
      <c r="K235">
        <v>6</v>
      </c>
      <c r="T235">
        <v>3</v>
      </c>
      <c r="U235">
        <v>2</v>
      </c>
      <c r="V235" t="s">
        <v>93</v>
      </c>
      <c r="W235">
        <v>103</v>
      </c>
      <c r="X235">
        <v>10</v>
      </c>
      <c r="Y235">
        <v>10</v>
      </c>
      <c r="Z235" t="s">
        <v>405</v>
      </c>
      <c r="AA235" t="s">
        <v>406</v>
      </c>
      <c r="AB235" t="s">
        <v>96</v>
      </c>
      <c r="AC235" t="s">
        <v>97</v>
      </c>
      <c r="AD235" t="s">
        <v>98</v>
      </c>
      <c r="AG235" t="s">
        <v>407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90</v>
      </c>
      <c r="B236">
        <v>115071</v>
      </c>
      <c r="C236">
        <v>12</v>
      </c>
      <c r="D236" t="s">
        <v>403</v>
      </c>
      <c r="E236" t="s">
        <v>404</v>
      </c>
      <c r="F236">
        <v>59</v>
      </c>
      <c r="G236">
        <v>34.96</v>
      </c>
      <c r="H236">
        <v>115.6</v>
      </c>
      <c r="I236">
        <v>25.65</v>
      </c>
      <c r="J236">
        <v>84.8</v>
      </c>
      <c r="K236">
        <v>1</v>
      </c>
      <c r="T236">
        <v>3</v>
      </c>
      <c r="U236">
        <v>2</v>
      </c>
      <c r="V236" t="s">
        <v>93</v>
      </c>
      <c r="W236">
        <v>115</v>
      </c>
      <c r="X236">
        <v>10</v>
      </c>
      <c r="Y236">
        <v>10</v>
      </c>
      <c r="Z236" t="s">
        <v>405</v>
      </c>
      <c r="AA236" t="s">
        <v>406</v>
      </c>
      <c r="AB236" t="s">
        <v>96</v>
      </c>
      <c r="AC236" t="s">
        <v>97</v>
      </c>
      <c r="AD236" t="s">
        <v>98</v>
      </c>
      <c r="AG236" t="s">
        <v>407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 x14ac:dyDescent="0.3">
      <c r="A237" t="s">
        <v>411</v>
      </c>
      <c r="B237">
        <v>103843</v>
      </c>
      <c r="C237">
        <v>1</v>
      </c>
      <c r="D237" t="s">
        <v>412</v>
      </c>
      <c r="E237" t="s">
        <v>413</v>
      </c>
      <c r="F237">
        <v>454</v>
      </c>
      <c r="G237">
        <v>33.909999999999997</v>
      </c>
      <c r="H237">
        <v>112.11</v>
      </c>
      <c r="I237">
        <v>25.7</v>
      </c>
      <c r="J237">
        <v>84.98</v>
      </c>
      <c r="K237">
        <v>79</v>
      </c>
      <c r="T237">
        <v>3</v>
      </c>
      <c r="U237">
        <v>2</v>
      </c>
      <c r="V237" t="s">
        <v>93</v>
      </c>
      <c r="W237" t="s">
        <v>414</v>
      </c>
      <c r="X237">
        <v>15</v>
      </c>
      <c r="Y237">
        <v>13</v>
      </c>
      <c r="Z237" t="s">
        <v>415</v>
      </c>
      <c r="AA237" t="s">
        <v>416</v>
      </c>
      <c r="AB237" t="s">
        <v>96</v>
      </c>
      <c r="AC237" t="s">
        <v>97</v>
      </c>
      <c r="AD237" t="s">
        <v>417</v>
      </c>
      <c r="AG237" t="s">
        <v>418</v>
      </c>
      <c r="AH237">
        <v>0</v>
      </c>
      <c r="AI237">
        <v>181</v>
      </c>
      <c r="AJ237">
        <v>21</v>
      </c>
      <c r="AK237">
        <v>677</v>
      </c>
      <c r="AL237">
        <v>1.49</v>
      </c>
    </row>
    <row r="238" spans="1:38" x14ac:dyDescent="0.3">
      <c r="A238" t="s">
        <v>411</v>
      </c>
      <c r="B238">
        <v>103843</v>
      </c>
      <c r="C238">
        <v>2</v>
      </c>
      <c r="D238" t="s">
        <v>412</v>
      </c>
      <c r="E238" t="s">
        <v>413</v>
      </c>
      <c r="F238">
        <v>454</v>
      </c>
      <c r="G238">
        <v>33.950000000000003</v>
      </c>
      <c r="H238">
        <v>112.26</v>
      </c>
      <c r="I238">
        <v>25.68</v>
      </c>
      <c r="J238">
        <v>84.92</v>
      </c>
      <c r="K238">
        <v>66</v>
      </c>
      <c r="T238">
        <v>3</v>
      </c>
      <c r="U238">
        <v>2</v>
      </c>
      <c r="V238" t="s">
        <v>93</v>
      </c>
      <c r="W238" t="s">
        <v>419</v>
      </c>
      <c r="X238">
        <v>15</v>
      </c>
      <c r="Y238">
        <v>13</v>
      </c>
      <c r="Z238" t="s">
        <v>415</v>
      </c>
      <c r="AA238" t="s">
        <v>416</v>
      </c>
      <c r="AB238" t="s">
        <v>96</v>
      </c>
      <c r="AC238" t="s">
        <v>97</v>
      </c>
      <c r="AD238" t="s">
        <v>417</v>
      </c>
      <c r="AG238" t="s">
        <v>418</v>
      </c>
      <c r="AH238">
        <v>0</v>
      </c>
      <c r="AI238">
        <v>181</v>
      </c>
      <c r="AJ238">
        <v>21</v>
      </c>
      <c r="AK238">
        <v>677</v>
      </c>
      <c r="AL238">
        <v>1.49</v>
      </c>
    </row>
    <row r="239" spans="1:38" x14ac:dyDescent="0.3">
      <c r="A239" t="s">
        <v>411</v>
      </c>
      <c r="B239">
        <v>103843</v>
      </c>
      <c r="C239">
        <v>3</v>
      </c>
      <c r="D239" t="s">
        <v>412</v>
      </c>
      <c r="E239" t="s">
        <v>413</v>
      </c>
      <c r="F239">
        <v>454</v>
      </c>
      <c r="G239">
        <v>34.020000000000003</v>
      </c>
      <c r="H239">
        <v>112.49</v>
      </c>
      <c r="I239">
        <v>25.7</v>
      </c>
      <c r="J239">
        <v>84.96</v>
      </c>
      <c r="K239">
        <v>50</v>
      </c>
      <c r="T239">
        <v>3</v>
      </c>
      <c r="U239">
        <v>2</v>
      </c>
      <c r="V239" t="s">
        <v>93</v>
      </c>
      <c r="W239" t="s">
        <v>420</v>
      </c>
      <c r="X239">
        <v>15</v>
      </c>
      <c r="Y239">
        <v>13</v>
      </c>
      <c r="Z239" t="s">
        <v>415</v>
      </c>
      <c r="AA239" t="s">
        <v>416</v>
      </c>
      <c r="AB239" t="s">
        <v>96</v>
      </c>
      <c r="AC239" t="s">
        <v>97</v>
      </c>
      <c r="AD239" t="s">
        <v>417</v>
      </c>
      <c r="AG239" t="s">
        <v>418</v>
      </c>
      <c r="AH239">
        <v>0</v>
      </c>
      <c r="AI239">
        <v>181</v>
      </c>
      <c r="AJ239">
        <v>21</v>
      </c>
      <c r="AK239">
        <v>677</v>
      </c>
      <c r="AL239">
        <v>1.49</v>
      </c>
    </row>
    <row r="240" spans="1:38" x14ac:dyDescent="0.3">
      <c r="A240" t="s">
        <v>411</v>
      </c>
      <c r="B240">
        <v>103843</v>
      </c>
      <c r="C240">
        <v>4</v>
      </c>
      <c r="D240" t="s">
        <v>412</v>
      </c>
      <c r="E240" t="s">
        <v>413</v>
      </c>
      <c r="F240">
        <v>454</v>
      </c>
      <c r="G240">
        <v>39.94</v>
      </c>
      <c r="H240">
        <v>132.06</v>
      </c>
      <c r="I240">
        <v>30.81</v>
      </c>
      <c r="J240">
        <v>101.86</v>
      </c>
      <c r="K240">
        <v>109</v>
      </c>
      <c r="T240">
        <v>3</v>
      </c>
      <c r="U240">
        <v>2</v>
      </c>
      <c r="V240" t="s">
        <v>93</v>
      </c>
      <c r="W240">
        <v>132</v>
      </c>
      <c r="X240">
        <v>15</v>
      </c>
      <c r="Y240">
        <v>13</v>
      </c>
      <c r="Z240" t="s">
        <v>415</v>
      </c>
      <c r="AA240" t="s">
        <v>416</v>
      </c>
      <c r="AB240" t="s">
        <v>96</v>
      </c>
      <c r="AC240" t="s">
        <v>97</v>
      </c>
      <c r="AD240" t="s">
        <v>417</v>
      </c>
      <c r="AG240" t="s">
        <v>418</v>
      </c>
      <c r="AH240">
        <v>0</v>
      </c>
      <c r="AI240">
        <v>181</v>
      </c>
      <c r="AJ240">
        <v>21</v>
      </c>
      <c r="AK240">
        <v>677</v>
      </c>
      <c r="AL240">
        <v>1.49</v>
      </c>
    </row>
    <row r="241" spans="1:38" x14ac:dyDescent="0.3">
      <c r="A241" t="s">
        <v>411</v>
      </c>
      <c r="B241">
        <v>103843</v>
      </c>
      <c r="C241">
        <v>5</v>
      </c>
      <c r="D241" t="s">
        <v>412</v>
      </c>
      <c r="E241" t="s">
        <v>413</v>
      </c>
      <c r="F241">
        <v>454</v>
      </c>
      <c r="G241">
        <v>46.29</v>
      </c>
      <c r="H241">
        <v>153.05000000000001</v>
      </c>
      <c r="I241">
        <v>36.799999999999997</v>
      </c>
      <c r="J241">
        <v>121.67</v>
      </c>
      <c r="K241">
        <v>62</v>
      </c>
      <c r="T241">
        <v>4</v>
      </c>
      <c r="U241">
        <v>2</v>
      </c>
      <c r="V241" t="s">
        <v>93</v>
      </c>
      <c r="W241" t="s">
        <v>421</v>
      </c>
      <c r="X241">
        <v>15</v>
      </c>
      <c r="Y241">
        <v>13</v>
      </c>
      <c r="Z241" t="s">
        <v>415</v>
      </c>
      <c r="AA241" t="s">
        <v>416</v>
      </c>
      <c r="AB241" t="s">
        <v>96</v>
      </c>
      <c r="AC241" t="s">
        <v>97</v>
      </c>
      <c r="AD241" t="s">
        <v>417</v>
      </c>
      <c r="AG241" t="s">
        <v>418</v>
      </c>
      <c r="AH241">
        <v>0</v>
      </c>
      <c r="AI241">
        <v>181</v>
      </c>
      <c r="AJ241">
        <v>21</v>
      </c>
      <c r="AK241">
        <v>677</v>
      </c>
      <c r="AL241">
        <v>1.49</v>
      </c>
    </row>
    <row r="242" spans="1:38" x14ac:dyDescent="0.3">
      <c r="A242" t="s">
        <v>411</v>
      </c>
      <c r="B242">
        <v>103843</v>
      </c>
      <c r="C242">
        <v>6</v>
      </c>
      <c r="D242" t="s">
        <v>412</v>
      </c>
      <c r="E242" t="s">
        <v>413</v>
      </c>
      <c r="F242">
        <v>454</v>
      </c>
      <c r="G242">
        <v>46.29</v>
      </c>
      <c r="H242">
        <v>153.04</v>
      </c>
      <c r="I242">
        <v>36.64</v>
      </c>
      <c r="J242">
        <v>121.15</v>
      </c>
      <c r="K242">
        <v>12</v>
      </c>
      <c r="T242">
        <v>4</v>
      </c>
      <c r="U242">
        <v>2</v>
      </c>
      <c r="V242" t="s">
        <v>93</v>
      </c>
      <c r="W242" t="s">
        <v>422</v>
      </c>
      <c r="X242">
        <v>15</v>
      </c>
      <c r="Y242">
        <v>13</v>
      </c>
      <c r="Z242" t="s">
        <v>415</v>
      </c>
      <c r="AA242" t="s">
        <v>416</v>
      </c>
      <c r="AB242" t="s">
        <v>96</v>
      </c>
      <c r="AC242" t="s">
        <v>97</v>
      </c>
      <c r="AD242" t="s">
        <v>417</v>
      </c>
      <c r="AG242" t="s">
        <v>418</v>
      </c>
      <c r="AH242">
        <v>0</v>
      </c>
      <c r="AI242">
        <v>181</v>
      </c>
      <c r="AJ242">
        <v>21</v>
      </c>
      <c r="AK242">
        <v>677</v>
      </c>
      <c r="AL242">
        <v>1.49</v>
      </c>
    </row>
    <row r="243" spans="1:38" x14ac:dyDescent="0.3">
      <c r="A243" t="s">
        <v>411</v>
      </c>
      <c r="B243">
        <v>103843</v>
      </c>
      <c r="C243">
        <v>7</v>
      </c>
      <c r="D243" t="s">
        <v>412</v>
      </c>
      <c r="E243" t="s">
        <v>413</v>
      </c>
      <c r="F243">
        <v>454</v>
      </c>
      <c r="G243">
        <v>53.63</v>
      </c>
      <c r="H243">
        <v>177.29</v>
      </c>
      <c r="I243">
        <v>44.13</v>
      </c>
      <c r="J243">
        <v>145.88999999999999</v>
      </c>
      <c r="K243">
        <v>50</v>
      </c>
      <c r="T243">
        <v>4</v>
      </c>
      <c r="U243">
        <v>2</v>
      </c>
      <c r="V243" t="s">
        <v>93</v>
      </c>
      <c r="W243" t="s">
        <v>423</v>
      </c>
      <c r="X243">
        <v>15</v>
      </c>
      <c r="Y243">
        <v>13</v>
      </c>
      <c r="Z243" t="s">
        <v>415</v>
      </c>
      <c r="AA243" t="s">
        <v>416</v>
      </c>
      <c r="AB243" t="s">
        <v>96</v>
      </c>
      <c r="AC243" t="s">
        <v>97</v>
      </c>
      <c r="AD243" t="s">
        <v>417</v>
      </c>
      <c r="AG243" t="s">
        <v>418</v>
      </c>
      <c r="AH243">
        <v>0</v>
      </c>
      <c r="AI243">
        <v>181</v>
      </c>
      <c r="AJ243">
        <v>21</v>
      </c>
      <c r="AK243">
        <v>677</v>
      </c>
      <c r="AL243">
        <v>1.49</v>
      </c>
    </row>
    <row r="244" spans="1:38" x14ac:dyDescent="0.3">
      <c r="A244" t="s">
        <v>411</v>
      </c>
      <c r="B244">
        <v>103843</v>
      </c>
      <c r="C244">
        <v>8</v>
      </c>
      <c r="D244" t="s">
        <v>412</v>
      </c>
      <c r="E244" t="s">
        <v>413</v>
      </c>
      <c r="F244">
        <v>454</v>
      </c>
      <c r="G244">
        <v>53.62</v>
      </c>
      <c r="H244">
        <v>177.28</v>
      </c>
      <c r="I244">
        <v>44.09</v>
      </c>
      <c r="J244">
        <v>145.77000000000001</v>
      </c>
      <c r="K244">
        <v>26</v>
      </c>
      <c r="T244">
        <v>4</v>
      </c>
      <c r="U244">
        <v>2</v>
      </c>
      <c r="V244" t="s">
        <v>93</v>
      </c>
      <c r="W244" t="s">
        <v>424</v>
      </c>
      <c r="X244">
        <v>15</v>
      </c>
      <c r="Y244">
        <v>13</v>
      </c>
      <c r="Z244" t="s">
        <v>415</v>
      </c>
      <c r="AA244" t="s">
        <v>416</v>
      </c>
      <c r="AB244" t="s">
        <v>96</v>
      </c>
      <c r="AC244" t="s">
        <v>97</v>
      </c>
      <c r="AD244" t="s">
        <v>417</v>
      </c>
      <c r="AG244" t="s">
        <v>418</v>
      </c>
      <c r="AH244">
        <v>0</v>
      </c>
      <c r="AI244">
        <v>181</v>
      </c>
      <c r="AJ244">
        <v>21</v>
      </c>
      <c r="AK244">
        <v>677</v>
      </c>
      <c r="AL244">
        <v>1.49</v>
      </c>
    </row>
    <row r="245" spans="1:38" x14ac:dyDescent="0.3">
      <c r="A245" t="s">
        <v>411</v>
      </c>
      <c r="B245">
        <v>11032</v>
      </c>
      <c r="C245">
        <v>1</v>
      </c>
      <c r="D245" t="s">
        <v>425</v>
      </c>
      <c r="E245" t="s">
        <v>426</v>
      </c>
      <c r="F245">
        <v>394</v>
      </c>
      <c r="G245">
        <v>32</v>
      </c>
      <c r="H245">
        <v>105.79</v>
      </c>
      <c r="I245">
        <v>25.7</v>
      </c>
      <c r="J245">
        <v>84.98</v>
      </c>
      <c r="K245">
        <v>394</v>
      </c>
      <c r="T245">
        <v>3</v>
      </c>
      <c r="U245">
        <v>2</v>
      </c>
      <c r="V245" t="s">
        <v>93</v>
      </c>
      <c r="W245">
        <v>105</v>
      </c>
      <c r="X245">
        <v>15</v>
      </c>
      <c r="Y245">
        <v>7</v>
      </c>
      <c r="Z245" t="s">
        <v>427</v>
      </c>
      <c r="AA245" t="s">
        <v>428</v>
      </c>
      <c r="AB245" t="s">
        <v>96</v>
      </c>
      <c r="AC245" t="s">
        <v>97</v>
      </c>
      <c r="AD245" t="s">
        <v>417</v>
      </c>
      <c r="AG245" t="s">
        <v>429</v>
      </c>
      <c r="AH245">
        <v>0</v>
      </c>
      <c r="AI245">
        <v>199</v>
      </c>
      <c r="AJ245">
        <v>18</v>
      </c>
      <c r="AK245">
        <v>399</v>
      </c>
      <c r="AL245">
        <v>1.01</v>
      </c>
    </row>
    <row r="246" spans="1:38" x14ac:dyDescent="0.3">
      <c r="A246" t="s">
        <v>411</v>
      </c>
      <c r="B246">
        <v>103841</v>
      </c>
      <c r="C246">
        <v>1</v>
      </c>
      <c r="D246" t="s">
        <v>430</v>
      </c>
      <c r="E246" t="s">
        <v>413</v>
      </c>
      <c r="F246">
        <v>256</v>
      </c>
      <c r="G246">
        <v>33.51</v>
      </c>
      <c r="H246">
        <v>110.8</v>
      </c>
      <c r="I246">
        <v>25.7</v>
      </c>
      <c r="J246">
        <v>84.98</v>
      </c>
      <c r="K246">
        <v>79</v>
      </c>
      <c r="T246">
        <v>3</v>
      </c>
      <c r="U246">
        <v>2</v>
      </c>
      <c r="V246" t="s">
        <v>93</v>
      </c>
      <c r="W246" t="s">
        <v>431</v>
      </c>
      <c r="X246">
        <v>15</v>
      </c>
      <c r="Y246">
        <v>13</v>
      </c>
      <c r="Z246" t="s">
        <v>432</v>
      </c>
      <c r="AA246" t="s">
        <v>433</v>
      </c>
      <c r="AB246" t="s">
        <v>96</v>
      </c>
      <c r="AC246" t="s">
        <v>97</v>
      </c>
      <c r="AD246" t="s">
        <v>417</v>
      </c>
      <c r="AG246" t="s">
        <v>434</v>
      </c>
      <c r="AH246">
        <v>0</v>
      </c>
      <c r="AI246">
        <v>166</v>
      </c>
      <c r="AJ246">
        <v>18</v>
      </c>
      <c r="AK246">
        <v>393</v>
      </c>
      <c r="AL246">
        <v>1.54</v>
      </c>
    </row>
    <row r="247" spans="1:38" x14ac:dyDescent="0.3">
      <c r="A247" t="s">
        <v>411</v>
      </c>
      <c r="B247">
        <v>103841</v>
      </c>
      <c r="C247">
        <v>2</v>
      </c>
      <c r="D247" t="s">
        <v>430</v>
      </c>
      <c r="E247" t="s">
        <v>413</v>
      </c>
      <c r="F247">
        <v>256</v>
      </c>
      <c r="G247">
        <v>33.56</v>
      </c>
      <c r="H247">
        <v>110.95</v>
      </c>
      <c r="I247">
        <v>25.68</v>
      </c>
      <c r="J247">
        <v>84.92</v>
      </c>
      <c r="K247">
        <v>53</v>
      </c>
      <c r="T247">
        <v>3</v>
      </c>
      <c r="U247">
        <v>2</v>
      </c>
      <c r="V247" t="s">
        <v>93</v>
      </c>
      <c r="W247" t="s">
        <v>435</v>
      </c>
      <c r="X247">
        <v>15</v>
      </c>
      <c r="Y247">
        <v>13</v>
      </c>
      <c r="Z247" t="s">
        <v>432</v>
      </c>
      <c r="AA247" t="s">
        <v>433</v>
      </c>
      <c r="AB247" t="s">
        <v>96</v>
      </c>
      <c r="AC247" t="s">
        <v>97</v>
      </c>
      <c r="AD247" t="s">
        <v>417</v>
      </c>
      <c r="AG247" t="s">
        <v>434</v>
      </c>
      <c r="AH247">
        <v>0</v>
      </c>
      <c r="AI247">
        <v>166</v>
      </c>
      <c r="AJ247">
        <v>18</v>
      </c>
      <c r="AK247">
        <v>393</v>
      </c>
      <c r="AL247">
        <v>1.54</v>
      </c>
    </row>
    <row r="248" spans="1:38" x14ac:dyDescent="0.3">
      <c r="A248" t="s">
        <v>411</v>
      </c>
      <c r="B248">
        <v>103841</v>
      </c>
      <c r="C248">
        <v>3</v>
      </c>
      <c r="D248" t="s">
        <v>430</v>
      </c>
      <c r="E248" t="s">
        <v>413</v>
      </c>
      <c r="F248">
        <v>256</v>
      </c>
      <c r="G248">
        <v>33.630000000000003</v>
      </c>
      <c r="H248">
        <v>111.19</v>
      </c>
      <c r="I248">
        <v>25.7</v>
      </c>
      <c r="J248">
        <v>84.96</v>
      </c>
      <c r="K248">
        <v>26</v>
      </c>
      <c r="T248">
        <v>3</v>
      </c>
      <c r="U248">
        <v>2</v>
      </c>
      <c r="V248" t="s">
        <v>93</v>
      </c>
      <c r="W248" t="s">
        <v>436</v>
      </c>
      <c r="X248">
        <v>15</v>
      </c>
      <c r="Y248">
        <v>13</v>
      </c>
      <c r="Z248" t="s">
        <v>432</v>
      </c>
      <c r="AA248" t="s">
        <v>433</v>
      </c>
      <c r="AB248" t="s">
        <v>96</v>
      </c>
      <c r="AC248" t="s">
        <v>97</v>
      </c>
      <c r="AD248" t="s">
        <v>417</v>
      </c>
      <c r="AG248" t="s">
        <v>434</v>
      </c>
      <c r="AH248">
        <v>0</v>
      </c>
      <c r="AI248">
        <v>166</v>
      </c>
      <c r="AJ248">
        <v>18</v>
      </c>
      <c r="AK248">
        <v>393</v>
      </c>
      <c r="AL248">
        <v>1.54</v>
      </c>
    </row>
    <row r="249" spans="1:38" x14ac:dyDescent="0.3">
      <c r="A249" t="s">
        <v>411</v>
      </c>
      <c r="B249">
        <v>103841</v>
      </c>
      <c r="C249">
        <v>4</v>
      </c>
      <c r="D249" t="s">
        <v>430</v>
      </c>
      <c r="E249" t="s">
        <v>413</v>
      </c>
      <c r="F249">
        <v>256</v>
      </c>
      <c r="G249">
        <v>40.01</v>
      </c>
      <c r="H249">
        <v>132.29</v>
      </c>
      <c r="I249">
        <v>30.81</v>
      </c>
      <c r="J249">
        <v>101.86</v>
      </c>
      <c r="K249">
        <v>54</v>
      </c>
      <c r="T249">
        <v>3</v>
      </c>
      <c r="U249">
        <v>2</v>
      </c>
      <c r="V249" t="s">
        <v>93</v>
      </c>
      <c r="W249">
        <v>132</v>
      </c>
      <c r="X249">
        <v>15</v>
      </c>
      <c r="Y249">
        <v>13</v>
      </c>
      <c r="Z249" t="s">
        <v>432</v>
      </c>
      <c r="AA249" t="s">
        <v>433</v>
      </c>
      <c r="AB249" t="s">
        <v>96</v>
      </c>
      <c r="AC249" t="s">
        <v>97</v>
      </c>
      <c r="AD249" t="s">
        <v>417</v>
      </c>
      <c r="AG249" t="s">
        <v>434</v>
      </c>
      <c r="AH249">
        <v>0</v>
      </c>
      <c r="AI249">
        <v>166</v>
      </c>
      <c r="AJ249">
        <v>18</v>
      </c>
      <c r="AK249">
        <v>393</v>
      </c>
      <c r="AL249">
        <v>1.54</v>
      </c>
    </row>
    <row r="250" spans="1:38" x14ac:dyDescent="0.3">
      <c r="A250" t="s">
        <v>411</v>
      </c>
      <c r="B250">
        <v>103841</v>
      </c>
      <c r="C250">
        <v>5</v>
      </c>
      <c r="D250" t="s">
        <v>430</v>
      </c>
      <c r="E250" t="s">
        <v>413</v>
      </c>
      <c r="F250">
        <v>256</v>
      </c>
      <c r="G250">
        <v>45.48</v>
      </c>
      <c r="H250">
        <v>150.36000000000001</v>
      </c>
      <c r="I250">
        <v>36.799999999999997</v>
      </c>
      <c r="J250">
        <v>121.67</v>
      </c>
      <c r="K250">
        <v>30</v>
      </c>
      <c r="T250">
        <v>4</v>
      </c>
      <c r="U250">
        <v>2</v>
      </c>
      <c r="V250" t="s">
        <v>93</v>
      </c>
      <c r="W250" t="s">
        <v>437</v>
      </c>
      <c r="X250">
        <v>15</v>
      </c>
      <c r="Y250">
        <v>13</v>
      </c>
      <c r="Z250" t="s">
        <v>432</v>
      </c>
      <c r="AA250" t="s">
        <v>433</v>
      </c>
      <c r="AB250" t="s">
        <v>96</v>
      </c>
      <c r="AC250" t="s">
        <v>97</v>
      </c>
      <c r="AD250" t="s">
        <v>417</v>
      </c>
      <c r="AG250" t="s">
        <v>434</v>
      </c>
      <c r="AH250">
        <v>0</v>
      </c>
      <c r="AI250">
        <v>166</v>
      </c>
      <c r="AJ250">
        <v>18</v>
      </c>
      <c r="AK250">
        <v>393</v>
      </c>
      <c r="AL250">
        <v>1.54</v>
      </c>
    </row>
    <row r="251" spans="1:38" x14ac:dyDescent="0.3">
      <c r="A251" t="s">
        <v>411</v>
      </c>
      <c r="B251">
        <v>103841</v>
      </c>
      <c r="C251">
        <v>6</v>
      </c>
      <c r="D251" t="s">
        <v>430</v>
      </c>
      <c r="E251" t="s">
        <v>413</v>
      </c>
      <c r="F251">
        <v>256</v>
      </c>
      <c r="G251">
        <v>45.48</v>
      </c>
      <c r="H251">
        <v>150.36000000000001</v>
      </c>
      <c r="I251">
        <v>36.64</v>
      </c>
      <c r="J251">
        <v>121.15</v>
      </c>
      <c r="K251">
        <v>14</v>
      </c>
      <c r="T251">
        <v>4</v>
      </c>
      <c r="U251">
        <v>2</v>
      </c>
      <c r="V251" t="s">
        <v>93</v>
      </c>
      <c r="W251" t="s">
        <v>438</v>
      </c>
      <c r="X251">
        <v>15</v>
      </c>
      <c r="Y251">
        <v>13</v>
      </c>
      <c r="Z251" t="s">
        <v>432</v>
      </c>
      <c r="AA251" t="s">
        <v>433</v>
      </c>
      <c r="AB251" t="s">
        <v>96</v>
      </c>
      <c r="AC251" t="s">
        <v>97</v>
      </c>
      <c r="AD251" t="s">
        <v>417</v>
      </c>
      <c r="AG251" t="s">
        <v>434</v>
      </c>
      <c r="AH251">
        <v>0</v>
      </c>
      <c r="AI251">
        <v>166</v>
      </c>
      <c r="AJ251">
        <v>18</v>
      </c>
      <c r="AK251">
        <v>393</v>
      </c>
      <c r="AL251">
        <v>1.54</v>
      </c>
    </row>
    <row r="252" spans="1:38" x14ac:dyDescent="0.3">
      <c r="A252" t="s">
        <v>411</v>
      </c>
      <c r="B252">
        <v>102719</v>
      </c>
      <c r="C252">
        <v>1</v>
      </c>
      <c r="D252" t="s">
        <v>439</v>
      </c>
      <c r="E252" t="s">
        <v>440</v>
      </c>
      <c r="F252">
        <v>715</v>
      </c>
      <c r="G252">
        <v>33.700000000000003</v>
      </c>
      <c r="H252">
        <v>111.42</v>
      </c>
      <c r="I252">
        <v>25.68</v>
      </c>
      <c r="J252">
        <v>84.92</v>
      </c>
      <c r="K252">
        <v>221</v>
      </c>
      <c r="T252">
        <v>3</v>
      </c>
      <c r="U252">
        <v>2</v>
      </c>
      <c r="V252" t="s">
        <v>93</v>
      </c>
      <c r="W252" t="s">
        <v>441</v>
      </c>
      <c r="X252">
        <v>15</v>
      </c>
      <c r="Y252">
        <v>14</v>
      </c>
      <c r="Z252" t="s">
        <v>442</v>
      </c>
      <c r="AA252" t="s">
        <v>443</v>
      </c>
      <c r="AB252" t="s">
        <v>96</v>
      </c>
      <c r="AC252" t="s">
        <v>97</v>
      </c>
      <c r="AD252" t="s">
        <v>417</v>
      </c>
      <c r="AG252" t="s">
        <v>444</v>
      </c>
      <c r="AH252">
        <v>0</v>
      </c>
      <c r="AI252">
        <v>185</v>
      </c>
      <c r="AJ252">
        <v>20</v>
      </c>
      <c r="AK252">
        <v>1090</v>
      </c>
      <c r="AL252">
        <v>1.52</v>
      </c>
    </row>
    <row r="253" spans="1:38" x14ac:dyDescent="0.3">
      <c r="A253" t="s">
        <v>411</v>
      </c>
      <c r="B253">
        <v>102719</v>
      </c>
      <c r="C253">
        <v>2</v>
      </c>
      <c r="D253" t="s">
        <v>439</v>
      </c>
      <c r="E253" t="s">
        <v>440</v>
      </c>
      <c r="F253">
        <v>715</v>
      </c>
      <c r="G253">
        <v>33.770000000000003</v>
      </c>
      <c r="H253">
        <v>111.65</v>
      </c>
      <c r="I253">
        <v>25.7</v>
      </c>
      <c r="J253">
        <v>84.96</v>
      </c>
      <c r="K253">
        <v>174</v>
      </c>
      <c r="T253">
        <v>3</v>
      </c>
      <c r="U253">
        <v>2</v>
      </c>
      <c r="V253" t="s">
        <v>93</v>
      </c>
      <c r="W253" t="s">
        <v>436</v>
      </c>
      <c r="X253">
        <v>15</v>
      </c>
      <c r="Y253">
        <v>14</v>
      </c>
      <c r="Z253" t="s">
        <v>442</v>
      </c>
      <c r="AA253" t="s">
        <v>443</v>
      </c>
      <c r="AB253" t="s">
        <v>96</v>
      </c>
      <c r="AC253" t="s">
        <v>97</v>
      </c>
      <c r="AD253" t="s">
        <v>417</v>
      </c>
      <c r="AG253" t="s">
        <v>444</v>
      </c>
      <c r="AH253">
        <v>0</v>
      </c>
      <c r="AI253">
        <v>185</v>
      </c>
      <c r="AJ253">
        <v>20</v>
      </c>
      <c r="AK253">
        <v>1090</v>
      </c>
      <c r="AL253">
        <v>1.52</v>
      </c>
    </row>
    <row r="254" spans="1:38" x14ac:dyDescent="0.3">
      <c r="A254" t="s">
        <v>411</v>
      </c>
      <c r="B254">
        <v>102719</v>
      </c>
      <c r="C254">
        <v>3</v>
      </c>
      <c r="D254" t="s">
        <v>439</v>
      </c>
      <c r="E254" t="s">
        <v>440</v>
      </c>
      <c r="F254">
        <v>715</v>
      </c>
      <c r="G254">
        <v>33.65</v>
      </c>
      <c r="H254">
        <v>111.27</v>
      </c>
      <c r="I254">
        <v>25.7</v>
      </c>
      <c r="J254">
        <v>84.98</v>
      </c>
      <c r="K254">
        <v>145</v>
      </c>
      <c r="T254">
        <v>3</v>
      </c>
      <c r="U254">
        <v>2</v>
      </c>
      <c r="V254" t="s">
        <v>93</v>
      </c>
      <c r="W254" t="s">
        <v>445</v>
      </c>
      <c r="X254">
        <v>15</v>
      </c>
      <c r="Y254">
        <v>14</v>
      </c>
      <c r="Z254" t="s">
        <v>442</v>
      </c>
      <c r="AA254" t="s">
        <v>443</v>
      </c>
      <c r="AB254" t="s">
        <v>96</v>
      </c>
      <c r="AC254" t="s">
        <v>97</v>
      </c>
      <c r="AD254" t="s">
        <v>417</v>
      </c>
      <c r="AG254" t="s">
        <v>444</v>
      </c>
      <c r="AH254">
        <v>0</v>
      </c>
      <c r="AI254">
        <v>185</v>
      </c>
      <c r="AJ254">
        <v>20</v>
      </c>
      <c r="AK254">
        <v>1090</v>
      </c>
      <c r="AL254">
        <v>1.52</v>
      </c>
    </row>
    <row r="255" spans="1:38" x14ac:dyDescent="0.3">
      <c r="A255" t="s">
        <v>411</v>
      </c>
      <c r="B255">
        <v>102719</v>
      </c>
      <c r="C255">
        <v>4</v>
      </c>
      <c r="D255" t="s">
        <v>439</v>
      </c>
      <c r="E255" t="s">
        <v>440</v>
      </c>
      <c r="F255">
        <v>715</v>
      </c>
      <c r="G255">
        <v>39.79</v>
      </c>
      <c r="H255">
        <v>131.57</v>
      </c>
      <c r="I255">
        <v>30.81</v>
      </c>
      <c r="J255">
        <v>101.86</v>
      </c>
      <c r="K255">
        <v>87</v>
      </c>
      <c r="T255">
        <v>3</v>
      </c>
      <c r="U255">
        <v>2</v>
      </c>
      <c r="V255" t="s">
        <v>93</v>
      </c>
      <c r="W255">
        <v>131</v>
      </c>
      <c r="X255">
        <v>15</v>
      </c>
      <c r="Y255">
        <v>14</v>
      </c>
      <c r="Z255" t="s">
        <v>442</v>
      </c>
      <c r="AA255" t="s">
        <v>443</v>
      </c>
      <c r="AB255" t="s">
        <v>96</v>
      </c>
      <c r="AC255" t="s">
        <v>97</v>
      </c>
      <c r="AD255" t="s">
        <v>417</v>
      </c>
      <c r="AG255" t="s">
        <v>444</v>
      </c>
      <c r="AH255">
        <v>0</v>
      </c>
      <c r="AI255">
        <v>185</v>
      </c>
      <c r="AJ255">
        <v>20</v>
      </c>
      <c r="AK255">
        <v>1090</v>
      </c>
      <c r="AL255">
        <v>1.52</v>
      </c>
    </row>
    <row r="256" spans="1:38" x14ac:dyDescent="0.3">
      <c r="A256" t="s">
        <v>411</v>
      </c>
      <c r="B256">
        <v>102719</v>
      </c>
      <c r="C256">
        <v>5</v>
      </c>
      <c r="D256" t="s">
        <v>439</v>
      </c>
      <c r="E256" t="s">
        <v>440</v>
      </c>
      <c r="F256">
        <v>715</v>
      </c>
      <c r="G256">
        <v>45.48</v>
      </c>
      <c r="H256">
        <v>150.38</v>
      </c>
      <c r="I256">
        <v>36.799999999999997</v>
      </c>
      <c r="J256">
        <v>121.67</v>
      </c>
      <c r="K256">
        <v>58</v>
      </c>
      <c r="T256">
        <v>4</v>
      </c>
      <c r="U256">
        <v>2</v>
      </c>
      <c r="V256" t="s">
        <v>93</v>
      </c>
      <c r="W256" t="s">
        <v>437</v>
      </c>
      <c r="X256">
        <v>15</v>
      </c>
      <c r="Y256">
        <v>14</v>
      </c>
      <c r="Z256" t="s">
        <v>442</v>
      </c>
      <c r="AA256" t="s">
        <v>443</v>
      </c>
      <c r="AB256" t="s">
        <v>96</v>
      </c>
      <c r="AC256" t="s">
        <v>97</v>
      </c>
      <c r="AD256" t="s">
        <v>417</v>
      </c>
      <c r="AG256" t="s">
        <v>444</v>
      </c>
      <c r="AH256">
        <v>0</v>
      </c>
      <c r="AI256">
        <v>185</v>
      </c>
      <c r="AJ256">
        <v>20</v>
      </c>
      <c r="AK256">
        <v>1090</v>
      </c>
      <c r="AL256">
        <v>1.52</v>
      </c>
    </row>
    <row r="257" spans="1:38" x14ac:dyDescent="0.3">
      <c r="A257" t="s">
        <v>411</v>
      </c>
      <c r="B257">
        <v>102719</v>
      </c>
      <c r="C257">
        <v>6</v>
      </c>
      <c r="D257" t="s">
        <v>439</v>
      </c>
      <c r="E257" t="s">
        <v>440</v>
      </c>
      <c r="F257">
        <v>715</v>
      </c>
      <c r="G257">
        <v>45.48</v>
      </c>
      <c r="H257">
        <v>150.38</v>
      </c>
      <c r="I257">
        <v>36.64</v>
      </c>
      <c r="J257">
        <v>121.15</v>
      </c>
      <c r="K257">
        <v>30</v>
      </c>
      <c r="T257">
        <v>4</v>
      </c>
      <c r="U257">
        <v>2</v>
      </c>
      <c r="V257" t="s">
        <v>93</v>
      </c>
      <c r="W257" t="s">
        <v>438</v>
      </c>
      <c r="X257">
        <v>15</v>
      </c>
      <c r="Y257">
        <v>14</v>
      </c>
      <c r="Z257" t="s">
        <v>442</v>
      </c>
      <c r="AA257" t="s">
        <v>443</v>
      </c>
      <c r="AB257" t="s">
        <v>96</v>
      </c>
      <c r="AC257" t="s">
        <v>97</v>
      </c>
      <c r="AD257" t="s">
        <v>417</v>
      </c>
      <c r="AG257" t="s">
        <v>444</v>
      </c>
      <c r="AH257">
        <v>0</v>
      </c>
      <c r="AI257">
        <v>185</v>
      </c>
      <c r="AJ257">
        <v>20</v>
      </c>
      <c r="AK257">
        <v>1090</v>
      </c>
      <c r="AL257">
        <v>1.52</v>
      </c>
    </row>
    <row r="258" spans="1:38" x14ac:dyDescent="0.3">
      <c r="A258" t="s">
        <v>411</v>
      </c>
      <c r="B258">
        <v>145112</v>
      </c>
      <c r="C258">
        <v>1</v>
      </c>
      <c r="D258" t="s">
        <v>446</v>
      </c>
      <c r="E258" t="s">
        <v>447</v>
      </c>
      <c r="F258">
        <v>45</v>
      </c>
      <c r="G258">
        <v>10.98</v>
      </c>
      <c r="H258">
        <v>36.32</v>
      </c>
      <c r="I258">
        <v>9.16</v>
      </c>
      <c r="J258">
        <v>30.3</v>
      </c>
      <c r="K258">
        <v>2</v>
      </c>
      <c r="T258">
        <v>1</v>
      </c>
      <c r="U258">
        <v>1</v>
      </c>
      <c r="V258" t="s">
        <v>93</v>
      </c>
      <c r="W258" t="s">
        <v>448</v>
      </c>
      <c r="X258">
        <v>5</v>
      </c>
      <c r="Y258">
        <v>2</v>
      </c>
      <c r="Z258" t="s">
        <v>449</v>
      </c>
      <c r="AA258" t="s">
        <v>450</v>
      </c>
      <c r="AB258" t="s">
        <v>96</v>
      </c>
      <c r="AC258" t="s">
        <v>97</v>
      </c>
      <c r="AD258" t="s">
        <v>417</v>
      </c>
      <c r="AG258" t="s">
        <v>451</v>
      </c>
      <c r="AH258">
        <v>0</v>
      </c>
      <c r="AI258">
        <v>0</v>
      </c>
      <c r="AJ258">
        <v>0</v>
      </c>
      <c r="AK258">
        <v>45</v>
      </c>
      <c r="AL258">
        <v>1</v>
      </c>
    </row>
    <row r="259" spans="1:38" x14ac:dyDescent="0.3">
      <c r="A259" t="s">
        <v>411</v>
      </c>
      <c r="B259">
        <v>145112</v>
      </c>
      <c r="C259">
        <v>2</v>
      </c>
      <c r="D259" t="s">
        <v>446</v>
      </c>
      <c r="E259" t="s">
        <v>447</v>
      </c>
      <c r="F259">
        <v>45</v>
      </c>
      <c r="G259">
        <v>11.42</v>
      </c>
      <c r="H259">
        <v>37.76</v>
      </c>
      <c r="I259">
        <v>9.5399999999999991</v>
      </c>
      <c r="J259">
        <v>31.54</v>
      </c>
      <c r="K259">
        <v>8</v>
      </c>
      <c r="T259">
        <v>1</v>
      </c>
      <c r="U259">
        <v>1</v>
      </c>
      <c r="V259" t="s">
        <v>93</v>
      </c>
      <c r="W259" t="s">
        <v>452</v>
      </c>
      <c r="X259">
        <v>5</v>
      </c>
      <c r="Y259">
        <v>2</v>
      </c>
      <c r="Z259" t="s">
        <v>449</v>
      </c>
      <c r="AA259" t="s">
        <v>450</v>
      </c>
      <c r="AB259" t="s">
        <v>96</v>
      </c>
      <c r="AC259" t="s">
        <v>97</v>
      </c>
      <c r="AD259" t="s">
        <v>417</v>
      </c>
      <c r="AG259" t="s">
        <v>451</v>
      </c>
      <c r="AH259">
        <v>0</v>
      </c>
      <c r="AI259">
        <v>0</v>
      </c>
      <c r="AJ259">
        <v>0</v>
      </c>
      <c r="AK259">
        <v>45</v>
      </c>
      <c r="AL259">
        <v>1</v>
      </c>
    </row>
    <row r="260" spans="1:38" x14ac:dyDescent="0.3">
      <c r="A260" t="s">
        <v>411</v>
      </c>
      <c r="B260">
        <v>145112</v>
      </c>
      <c r="C260">
        <v>3</v>
      </c>
      <c r="D260" t="s">
        <v>446</v>
      </c>
      <c r="E260" t="s">
        <v>447</v>
      </c>
      <c r="F260">
        <v>45</v>
      </c>
      <c r="G260">
        <v>11.9</v>
      </c>
      <c r="H260">
        <v>39.35</v>
      </c>
      <c r="I260">
        <v>9.9499999999999993</v>
      </c>
      <c r="J260">
        <v>32.909999999999997</v>
      </c>
      <c r="K260">
        <v>8</v>
      </c>
      <c r="T260">
        <v>1</v>
      </c>
      <c r="U260">
        <v>1</v>
      </c>
      <c r="V260" t="s">
        <v>93</v>
      </c>
      <c r="W260">
        <v>39</v>
      </c>
      <c r="X260">
        <v>5</v>
      </c>
      <c r="Y260">
        <v>2</v>
      </c>
      <c r="Z260" t="s">
        <v>449</v>
      </c>
      <c r="AA260" t="s">
        <v>450</v>
      </c>
      <c r="AB260" t="s">
        <v>96</v>
      </c>
      <c r="AC260" t="s">
        <v>97</v>
      </c>
      <c r="AD260" t="s">
        <v>417</v>
      </c>
      <c r="AG260" t="s">
        <v>451</v>
      </c>
      <c r="AH260">
        <v>0</v>
      </c>
      <c r="AI260">
        <v>0</v>
      </c>
      <c r="AJ260">
        <v>0</v>
      </c>
      <c r="AK260">
        <v>45</v>
      </c>
      <c r="AL260">
        <v>1</v>
      </c>
    </row>
    <row r="261" spans="1:38" x14ac:dyDescent="0.3">
      <c r="A261" t="s">
        <v>411</v>
      </c>
      <c r="B261">
        <v>145112</v>
      </c>
      <c r="C261">
        <v>4</v>
      </c>
      <c r="D261" t="s">
        <v>446</v>
      </c>
      <c r="E261" t="s">
        <v>447</v>
      </c>
      <c r="F261">
        <v>45</v>
      </c>
      <c r="G261">
        <v>12.99</v>
      </c>
      <c r="H261">
        <v>42.96</v>
      </c>
      <c r="I261">
        <v>10.88</v>
      </c>
      <c r="J261">
        <v>35.97</v>
      </c>
      <c r="K261">
        <v>8</v>
      </c>
      <c r="T261">
        <v>1</v>
      </c>
      <c r="U261">
        <v>1</v>
      </c>
      <c r="V261" t="s">
        <v>93</v>
      </c>
      <c r="W261" t="s">
        <v>453</v>
      </c>
      <c r="X261">
        <v>5</v>
      </c>
      <c r="Y261">
        <v>2</v>
      </c>
      <c r="Z261" t="s">
        <v>449</v>
      </c>
      <c r="AA261" t="s">
        <v>450</v>
      </c>
      <c r="AB261" t="s">
        <v>96</v>
      </c>
      <c r="AC261" t="s">
        <v>97</v>
      </c>
      <c r="AD261" t="s">
        <v>417</v>
      </c>
      <c r="AG261" t="s">
        <v>451</v>
      </c>
      <c r="AH261">
        <v>0</v>
      </c>
      <c r="AI261">
        <v>0</v>
      </c>
      <c r="AJ261">
        <v>0</v>
      </c>
      <c r="AK261">
        <v>45</v>
      </c>
      <c r="AL261">
        <v>1</v>
      </c>
    </row>
    <row r="262" spans="1:38" x14ac:dyDescent="0.3">
      <c r="A262" t="s">
        <v>411</v>
      </c>
      <c r="B262">
        <v>145112</v>
      </c>
      <c r="C262">
        <v>5</v>
      </c>
      <c r="D262" t="s">
        <v>446</v>
      </c>
      <c r="E262" t="s">
        <v>447</v>
      </c>
      <c r="F262">
        <v>45</v>
      </c>
      <c r="G262">
        <v>12.81</v>
      </c>
      <c r="H262">
        <v>42.37</v>
      </c>
      <c r="I262">
        <v>10.71</v>
      </c>
      <c r="J262">
        <v>35.43</v>
      </c>
      <c r="K262">
        <v>2</v>
      </c>
      <c r="T262">
        <v>1</v>
      </c>
      <c r="U262">
        <v>1</v>
      </c>
      <c r="V262" t="s">
        <v>93</v>
      </c>
      <c r="W262" t="s">
        <v>454</v>
      </c>
      <c r="X262">
        <v>5</v>
      </c>
      <c r="Y262">
        <v>2</v>
      </c>
      <c r="Z262" t="s">
        <v>449</v>
      </c>
      <c r="AA262" t="s">
        <v>450</v>
      </c>
      <c r="AB262" t="s">
        <v>96</v>
      </c>
      <c r="AC262" t="s">
        <v>97</v>
      </c>
      <c r="AD262" t="s">
        <v>417</v>
      </c>
      <c r="AG262" t="s">
        <v>451</v>
      </c>
      <c r="AH262">
        <v>0</v>
      </c>
      <c r="AI262">
        <v>0</v>
      </c>
      <c r="AJ262">
        <v>0</v>
      </c>
      <c r="AK262">
        <v>45</v>
      </c>
      <c r="AL262">
        <v>1</v>
      </c>
    </row>
    <row r="263" spans="1:38" x14ac:dyDescent="0.3">
      <c r="A263" t="s">
        <v>411</v>
      </c>
      <c r="B263">
        <v>145112</v>
      </c>
      <c r="C263">
        <v>6</v>
      </c>
      <c r="D263" t="s">
        <v>446</v>
      </c>
      <c r="E263" t="s">
        <v>447</v>
      </c>
      <c r="F263">
        <v>45</v>
      </c>
      <c r="G263">
        <v>13.47</v>
      </c>
      <c r="H263">
        <v>44.53</v>
      </c>
      <c r="I263">
        <v>11.29</v>
      </c>
      <c r="J263">
        <v>37.33</v>
      </c>
      <c r="K263">
        <v>8</v>
      </c>
      <c r="T263">
        <v>1</v>
      </c>
      <c r="U263">
        <v>1</v>
      </c>
      <c r="V263" t="s">
        <v>93</v>
      </c>
      <c r="W263" t="s">
        <v>455</v>
      </c>
      <c r="X263">
        <v>5</v>
      </c>
      <c r="Y263">
        <v>2</v>
      </c>
      <c r="Z263" t="s">
        <v>449</v>
      </c>
      <c r="AA263" t="s">
        <v>450</v>
      </c>
      <c r="AB263" t="s">
        <v>96</v>
      </c>
      <c r="AC263" t="s">
        <v>97</v>
      </c>
      <c r="AD263" t="s">
        <v>417</v>
      </c>
      <c r="AG263" t="s">
        <v>451</v>
      </c>
      <c r="AH263">
        <v>0</v>
      </c>
      <c r="AI263">
        <v>0</v>
      </c>
      <c r="AJ263">
        <v>0</v>
      </c>
      <c r="AK263">
        <v>45</v>
      </c>
      <c r="AL263">
        <v>1</v>
      </c>
    </row>
    <row r="264" spans="1:38" x14ac:dyDescent="0.3">
      <c r="A264" t="s">
        <v>411</v>
      </c>
      <c r="B264">
        <v>145112</v>
      </c>
      <c r="C264">
        <v>7</v>
      </c>
      <c r="D264" t="s">
        <v>446</v>
      </c>
      <c r="E264" t="s">
        <v>447</v>
      </c>
      <c r="F264">
        <v>45</v>
      </c>
      <c r="G264">
        <v>15.09</v>
      </c>
      <c r="H264">
        <v>49.89</v>
      </c>
      <c r="I264">
        <v>12.58</v>
      </c>
      <c r="J264">
        <v>41.59</v>
      </c>
      <c r="K264">
        <v>3</v>
      </c>
      <c r="T264">
        <v>2</v>
      </c>
      <c r="U264">
        <v>1</v>
      </c>
      <c r="V264" t="s">
        <v>93</v>
      </c>
      <c r="W264">
        <v>49</v>
      </c>
      <c r="X264">
        <v>5</v>
      </c>
      <c r="Y264">
        <v>2</v>
      </c>
      <c r="Z264" t="s">
        <v>449</v>
      </c>
      <c r="AA264" t="s">
        <v>450</v>
      </c>
      <c r="AB264" t="s">
        <v>96</v>
      </c>
      <c r="AC264" t="s">
        <v>97</v>
      </c>
      <c r="AD264" t="s">
        <v>417</v>
      </c>
      <c r="AG264" t="s">
        <v>451</v>
      </c>
      <c r="AH264">
        <v>0</v>
      </c>
      <c r="AI264">
        <v>0</v>
      </c>
      <c r="AJ264">
        <v>0</v>
      </c>
      <c r="AK264">
        <v>45</v>
      </c>
      <c r="AL264">
        <v>1</v>
      </c>
    </row>
    <row r="265" spans="1:38" x14ac:dyDescent="0.3">
      <c r="A265" t="s">
        <v>411</v>
      </c>
      <c r="B265">
        <v>145112</v>
      </c>
      <c r="C265">
        <v>8</v>
      </c>
      <c r="D265" t="s">
        <v>446</v>
      </c>
      <c r="E265" t="s">
        <v>447</v>
      </c>
      <c r="F265">
        <v>45</v>
      </c>
      <c r="G265">
        <v>16.45</v>
      </c>
      <c r="H265">
        <v>54.41</v>
      </c>
      <c r="I265">
        <v>13.68</v>
      </c>
      <c r="J265">
        <v>45.24</v>
      </c>
      <c r="K265">
        <v>2</v>
      </c>
      <c r="T265">
        <v>2</v>
      </c>
      <c r="U265">
        <v>1</v>
      </c>
      <c r="V265" t="s">
        <v>93</v>
      </c>
      <c r="W265" t="s">
        <v>352</v>
      </c>
      <c r="X265">
        <v>5</v>
      </c>
      <c r="Y265">
        <v>2</v>
      </c>
      <c r="Z265" t="s">
        <v>449</v>
      </c>
      <c r="AA265" t="s">
        <v>450</v>
      </c>
      <c r="AB265" t="s">
        <v>96</v>
      </c>
      <c r="AC265" t="s">
        <v>97</v>
      </c>
      <c r="AD265" t="s">
        <v>417</v>
      </c>
      <c r="AG265" t="s">
        <v>451</v>
      </c>
      <c r="AH265">
        <v>0</v>
      </c>
      <c r="AI265">
        <v>0</v>
      </c>
      <c r="AJ265">
        <v>0</v>
      </c>
      <c r="AK265">
        <v>45</v>
      </c>
      <c r="AL265">
        <v>1</v>
      </c>
    </row>
    <row r="266" spans="1:38" x14ac:dyDescent="0.3">
      <c r="A266" t="s">
        <v>411</v>
      </c>
      <c r="B266">
        <v>145112</v>
      </c>
      <c r="C266">
        <v>9</v>
      </c>
      <c r="D266" t="s">
        <v>446</v>
      </c>
      <c r="E266" t="s">
        <v>447</v>
      </c>
      <c r="F266">
        <v>45</v>
      </c>
      <c r="G266">
        <v>16.36</v>
      </c>
      <c r="H266">
        <v>54.09</v>
      </c>
      <c r="I266">
        <v>13.6</v>
      </c>
      <c r="J266">
        <v>44.96</v>
      </c>
      <c r="K266">
        <v>1</v>
      </c>
      <c r="T266">
        <v>2</v>
      </c>
      <c r="U266">
        <v>1</v>
      </c>
      <c r="V266" t="s">
        <v>93</v>
      </c>
      <c r="W266" t="s">
        <v>456</v>
      </c>
      <c r="X266">
        <v>5</v>
      </c>
      <c r="Y266">
        <v>2</v>
      </c>
      <c r="Z266" t="s">
        <v>449</v>
      </c>
      <c r="AA266" t="s">
        <v>450</v>
      </c>
      <c r="AB266" t="s">
        <v>96</v>
      </c>
      <c r="AC266" t="s">
        <v>97</v>
      </c>
      <c r="AD266" t="s">
        <v>417</v>
      </c>
      <c r="AG266" t="s">
        <v>451</v>
      </c>
      <c r="AH266">
        <v>0</v>
      </c>
      <c r="AI266">
        <v>0</v>
      </c>
      <c r="AJ266">
        <v>0</v>
      </c>
      <c r="AK266">
        <v>45</v>
      </c>
      <c r="AL266">
        <v>1</v>
      </c>
    </row>
    <row r="267" spans="1:38" x14ac:dyDescent="0.3">
      <c r="A267" t="s">
        <v>411</v>
      </c>
      <c r="B267">
        <v>145112</v>
      </c>
      <c r="C267">
        <v>10</v>
      </c>
      <c r="D267" t="s">
        <v>446</v>
      </c>
      <c r="E267" t="s">
        <v>447</v>
      </c>
      <c r="F267">
        <v>45</v>
      </c>
      <c r="G267">
        <v>18.66</v>
      </c>
      <c r="H267">
        <v>61.7</v>
      </c>
      <c r="I267">
        <v>15.66</v>
      </c>
      <c r="J267">
        <v>51.79</v>
      </c>
      <c r="K267">
        <v>2</v>
      </c>
      <c r="T267">
        <v>2</v>
      </c>
      <c r="U267">
        <v>1</v>
      </c>
      <c r="V267" t="s">
        <v>93</v>
      </c>
      <c r="W267">
        <v>61</v>
      </c>
      <c r="X267">
        <v>5</v>
      </c>
      <c r="Y267">
        <v>2</v>
      </c>
      <c r="Z267" t="s">
        <v>449</v>
      </c>
      <c r="AA267" t="s">
        <v>450</v>
      </c>
      <c r="AB267" t="s">
        <v>96</v>
      </c>
      <c r="AC267" t="s">
        <v>97</v>
      </c>
      <c r="AD267" t="s">
        <v>417</v>
      </c>
      <c r="AG267" t="s">
        <v>451</v>
      </c>
      <c r="AH267">
        <v>0</v>
      </c>
      <c r="AI267">
        <v>0</v>
      </c>
      <c r="AJ267">
        <v>0</v>
      </c>
      <c r="AK267">
        <v>45</v>
      </c>
      <c r="AL267">
        <v>1</v>
      </c>
    </row>
    <row r="268" spans="1:38" x14ac:dyDescent="0.3">
      <c r="A268" t="s">
        <v>411</v>
      </c>
      <c r="B268">
        <v>145112</v>
      </c>
      <c r="C268">
        <v>11</v>
      </c>
      <c r="D268" t="s">
        <v>446</v>
      </c>
      <c r="E268" t="s">
        <v>447</v>
      </c>
      <c r="F268">
        <v>45</v>
      </c>
      <c r="G268">
        <v>20.12</v>
      </c>
      <c r="H268">
        <v>66.53</v>
      </c>
      <c r="I268">
        <v>16.989999999999998</v>
      </c>
      <c r="J268">
        <v>56.19</v>
      </c>
      <c r="K268">
        <v>1</v>
      </c>
      <c r="T268">
        <v>3</v>
      </c>
      <c r="U268">
        <v>1</v>
      </c>
      <c r="V268" t="s">
        <v>93</v>
      </c>
      <c r="W268">
        <v>66</v>
      </c>
      <c r="X268">
        <v>5</v>
      </c>
      <c r="Y268">
        <v>2</v>
      </c>
      <c r="Z268" t="s">
        <v>449</v>
      </c>
      <c r="AA268" t="s">
        <v>450</v>
      </c>
      <c r="AB268" t="s">
        <v>96</v>
      </c>
      <c r="AC268" t="s">
        <v>97</v>
      </c>
      <c r="AD268" t="s">
        <v>417</v>
      </c>
      <c r="AG268" t="s">
        <v>451</v>
      </c>
      <c r="AH268">
        <v>0</v>
      </c>
      <c r="AI268">
        <v>0</v>
      </c>
      <c r="AJ268">
        <v>0</v>
      </c>
      <c r="AK268">
        <v>45</v>
      </c>
      <c r="AL268">
        <v>1</v>
      </c>
    </row>
    <row r="269" spans="1:38" x14ac:dyDescent="0.3">
      <c r="A269" t="s">
        <v>457</v>
      </c>
      <c r="B269">
        <v>102309</v>
      </c>
      <c r="C269">
        <v>1</v>
      </c>
      <c r="D269" t="s">
        <v>458</v>
      </c>
      <c r="E269" t="s">
        <v>459</v>
      </c>
      <c r="F269">
        <v>158</v>
      </c>
      <c r="G269">
        <v>33.19</v>
      </c>
      <c r="H269">
        <v>109.74</v>
      </c>
      <c r="I269">
        <v>25.68</v>
      </c>
      <c r="J269">
        <v>84.92</v>
      </c>
      <c r="K269">
        <v>74</v>
      </c>
      <c r="T269">
        <v>3</v>
      </c>
      <c r="U269">
        <v>2</v>
      </c>
      <c r="V269" t="s">
        <v>93</v>
      </c>
      <c r="W269" t="s">
        <v>460</v>
      </c>
      <c r="X269">
        <v>15</v>
      </c>
      <c r="Y269">
        <v>8</v>
      </c>
      <c r="Z269" t="s">
        <v>461</v>
      </c>
      <c r="AA269" t="s">
        <v>462</v>
      </c>
      <c r="AB269" t="s">
        <v>96</v>
      </c>
      <c r="AC269" t="s">
        <v>97</v>
      </c>
      <c r="AD269" t="s">
        <v>463</v>
      </c>
      <c r="AG269" t="s">
        <v>464</v>
      </c>
      <c r="AH269">
        <v>0</v>
      </c>
      <c r="AI269">
        <v>198</v>
      </c>
      <c r="AJ269">
        <v>19</v>
      </c>
      <c r="AK269">
        <v>172</v>
      </c>
      <c r="AL269">
        <v>1.0900000000000001</v>
      </c>
    </row>
    <row r="270" spans="1:38" x14ac:dyDescent="0.3">
      <c r="A270" t="s">
        <v>457</v>
      </c>
      <c r="B270">
        <v>102309</v>
      </c>
      <c r="C270">
        <v>2</v>
      </c>
      <c r="D270" t="s">
        <v>458</v>
      </c>
      <c r="E270" t="s">
        <v>459</v>
      </c>
      <c r="F270">
        <v>158</v>
      </c>
      <c r="G270">
        <v>33.36</v>
      </c>
      <c r="H270">
        <v>110.3</v>
      </c>
      <c r="I270">
        <v>25.69</v>
      </c>
      <c r="J270">
        <v>84.95</v>
      </c>
      <c r="K270">
        <v>42</v>
      </c>
      <c r="T270">
        <v>3</v>
      </c>
      <c r="U270">
        <v>2</v>
      </c>
      <c r="V270" t="s">
        <v>93</v>
      </c>
      <c r="W270" t="s">
        <v>435</v>
      </c>
      <c r="X270">
        <v>15</v>
      </c>
      <c r="Y270">
        <v>8</v>
      </c>
      <c r="Z270" t="s">
        <v>461</v>
      </c>
      <c r="AA270" t="s">
        <v>462</v>
      </c>
      <c r="AB270" t="s">
        <v>96</v>
      </c>
      <c r="AC270" t="s">
        <v>97</v>
      </c>
      <c r="AD270" t="s">
        <v>463</v>
      </c>
      <c r="AG270" t="s">
        <v>464</v>
      </c>
      <c r="AH270">
        <v>0</v>
      </c>
      <c r="AI270">
        <v>198</v>
      </c>
      <c r="AJ270">
        <v>19</v>
      </c>
      <c r="AK270">
        <v>172</v>
      </c>
      <c r="AL270">
        <v>1.0900000000000001</v>
      </c>
    </row>
    <row r="271" spans="1:38" x14ac:dyDescent="0.3">
      <c r="A271" t="s">
        <v>457</v>
      </c>
      <c r="B271">
        <v>102309</v>
      </c>
      <c r="C271">
        <v>3</v>
      </c>
      <c r="D271" t="s">
        <v>458</v>
      </c>
      <c r="E271" t="s">
        <v>459</v>
      </c>
      <c r="F271">
        <v>158</v>
      </c>
      <c r="G271">
        <v>33.380000000000003</v>
      </c>
      <c r="H271">
        <v>110.36</v>
      </c>
      <c r="I271">
        <v>25.69</v>
      </c>
      <c r="J271">
        <v>84.94</v>
      </c>
      <c r="K271">
        <v>42</v>
      </c>
      <c r="T271">
        <v>3</v>
      </c>
      <c r="U271">
        <v>2</v>
      </c>
      <c r="V271" t="s">
        <v>93</v>
      </c>
      <c r="W271" t="s">
        <v>431</v>
      </c>
      <c r="X271">
        <v>15</v>
      </c>
      <c r="Y271">
        <v>8</v>
      </c>
      <c r="Z271" t="s">
        <v>461</v>
      </c>
      <c r="AA271" t="s">
        <v>462</v>
      </c>
      <c r="AB271" t="s">
        <v>96</v>
      </c>
      <c r="AC271" t="s">
        <v>97</v>
      </c>
      <c r="AD271" t="s">
        <v>463</v>
      </c>
      <c r="AG271" t="s">
        <v>464</v>
      </c>
      <c r="AH271">
        <v>0</v>
      </c>
      <c r="AI271">
        <v>198</v>
      </c>
      <c r="AJ271">
        <v>19</v>
      </c>
      <c r="AK271">
        <v>172</v>
      </c>
      <c r="AL271">
        <v>1.0900000000000001</v>
      </c>
    </row>
    <row r="272" spans="1:38" x14ac:dyDescent="0.3">
      <c r="A272" t="s">
        <v>457</v>
      </c>
      <c r="B272">
        <v>11412</v>
      </c>
      <c r="C272">
        <v>1</v>
      </c>
      <c r="D272" t="s">
        <v>465</v>
      </c>
      <c r="E272" t="s">
        <v>466</v>
      </c>
      <c r="F272">
        <v>466</v>
      </c>
      <c r="G272">
        <v>33.46</v>
      </c>
      <c r="H272">
        <v>110.64</v>
      </c>
      <c r="I272">
        <v>25.64</v>
      </c>
      <c r="J272">
        <v>84.78</v>
      </c>
      <c r="K272">
        <v>317</v>
      </c>
      <c r="T272">
        <v>3</v>
      </c>
      <c r="U272">
        <v>2</v>
      </c>
      <c r="V272" t="s">
        <v>93</v>
      </c>
      <c r="W272">
        <v>110</v>
      </c>
      <c r="X272">
        <v>15</v>
      </c>
      <c r="Y272">
        <v>10</v>
      </c>
      <c r="Z272" t="s">
        <v>467</v>
      </c>
      <c r="AA272" t="s">
        <v>468</v>
      </c>
      <c r="AB272" t="s">
        <v>96</v>
      </c>
      <c r="AC272" t="s">
        <v>97</v>
      </c>
      <c r="AD272" t="s">
        <v>463</v>
      </c>
      <c r="AG272" t="s">
        <v>469</v>
      </c>
      <c r="AH272">
        <v>0</v>
      </c>
      <c r="AI272">
        <v>198</v>
      </c>
      <c r="AJ272">
        <v>17</v>
      </c>
      <c r="AK272">
        <v>592</v>
      </c>
      <c r="AL272">
        <v>1.27</v>
      </c>
    </row>
    <row r="273" spans="1:38" x14ac:dyDescent="0.3">
      <c r="A273" t="s">
        <v>457</v>
      </c>
      <c r="B273">
        <v>11412</v>
      </c>
      <c r="C273">
        <v>2</v>
      </c>
      <c r="D273" t="s">
        <v>465</v>
      </c>
      <c r="E273" t="s">
        <v>466</v>
      </c>
      <c r="F273">
        <v>466</v>
      </c>
      <c r="G273">
        <v>43.21</v>
      </c>
      <c r="H273">
        <v>142.86000000000001</v>
      </c>
      <c r="I273">
        <v>34.729999999999997</v>
      </c>
      <c r="J273">
        <v>114.81</v>
      </c>
      <c r="K273">
        <v>149</v>
      </c>
      <c r="T273">
        <v>4</v>
      </c>
      <c r="U273">
        <v>2</v>
      </c>
      <c r="V273" t="s">
        <v>93</v>
      </c>
      <c r="W273">
        <v>142</v>
      </c>
      <c r="X273">
        <v>15</v>
      </c>
      <c r="Y273">
        <v>10</v>
      </c>
      <c r="Z273" t="s">
        <v>467</v>
      </c>
      <c r="AA273" t="s">
        <v>468</v>
      </c>
      <c r="AB273" t="s">
        <v>96</v>
      </c>
      <c r="AC273" t="s">
        <v>97</v>
      </c>
      <c r="AD273" t="s">
        <v>463</v>
      </c>
      <c r="AG273" t="s">
        <v>469</v>
      </c>
      <c r="AH273">
        <v>0</v>
      </c>
      <c r="AI273">
        <v>198</v>
      </c>
      <c r="AJ273">
        <v>17</v>
      </c>
      <c r="AK273">
        <v>592</v>
      </c>
      <c r="AL273">
        <v>1.27</v>
      </c>
    </row>
    <row r="274" spans="1:38" x14ac:dyDescent="0.3">
      <c r="A274" t="s">
        <v>457</v>
      </c>
      <c r="B274">
        <v>24201</v>
      </c>
      <c r="C274">
        <v>1</v>
      </c>
      <c r="D274" t="s">
        <v>470</v>
      </c>
      <c r="E274" t="s">
        <v>471</v>
      </c>
      <c r="F274">
        <v>478</v>
      </c>
      <c r="G274">
        <v>23.89</v>
      </c>
      <c r="H274">
        <v>79</v>
      </c>
      <c r="I274">
        <v>18.03</v>
      </c>
      <c r="J274">
        <v>59.61</v>
      </c>
      <c r="K274">
        <v>478</v>
      </c>
      <c r="T274">
        <v>3</v>
      </c>
      <c r="U274">
        <v>1</v>
      </c>
      <c r="V274" t="s">
        <v>93</v>
      </c>
      <c r="W274">
        <v>79</v>
      </c>
      <c r="X274">
        <v>15</v>
      </c>
      <c r="Y274">
        <v>15</v>
      </c>
      <c r="Z274" t="s">
        <v>472</v>
      </c>
      <c r="AA274" t="s">
        <v>473</v>
      </c>
      <c r="AB274" t="s">
        <v>96</v>
      </c>
      <c r="AC274" t="s">
        <v>97</v>
      </c>
      <c r="AD274" t="s">
        <v>463</v>
      </c>
      <c r="AG274" t="s">
        <v>474</v>
      </c>
      <c r="AH274">
        <v>0</v>
      </c>
      <c r="AI274">
        <v>192</v>
      </c>
      <c r="AJ274">
        <v>16</v>
      </c>
      <c r="AK274">
        <v>458</v>
      </c>
      <c r="AL274">
        <v>0.96</v>
      </c>
    </row>
    <row r="275" spans="1:38" x14ac:dyDescent="0.3">
      <c r="A275" t="s">
        <v>475</v>
      </c>
      <c r="B275">
        <v>100106</v>
      </c>
      <c r="C275">
        <v>1</v>
      </c>
      <c r="D275" t="s">
        <v>476</v>
      </c>
      <c r="E275" t="s">
        <v>477</v>
      </c>
      <c r="F275">
        <v>182</v>
      </c>
      <c r="G275">
        <v>33.29</v>
      </c>
      <c r="H275">
        <v>110.07</v>
      </c>
      <c r="I275">
        <v>25.7</v>
      </c>
      <c r="J275">
        <v>84.99</v>
      </c>
      <c r="K275">
        <v>89</v>
      </c>
      <c r="T275">
        <v>3</v>
      </c>
      <c r="U275">
        <v>2</v>
      </c>
      <c r="V275" t="s">
        <v>93</v>
      </c>
      <c r="W275" t="s">
        <v>435</v>
      </c>
      <c r="X275">
        <v>14</v>
      </c>
      <c r="Y275">
        <v>14</v>
      </c>
      <c r="Z275" t="s">
        <v>478</v>
      </c>
      <c r="AA275" t="s">
        <v>479</v>
      </c>
      <c r="AB275" t="s">
        <v>96</v>
      </c>
      <c r="AC275" t="s">
        <v>97</v>
      </c>
      <c r="AD275" t="s">
        <v>480</v>
      </c>
      <c r="AG275" t="s">
        <v>481</v>
      </c>
      <c r="AH275">
        <v>0</v>
      </c>
      <c r="AI275">
        <v>225</v>
      </c>
      <c r="AJ275">
        <v>27</v>
      </c>
      <c r="AK275">
        <v>264</v>
      </c>
      <c r="AL275">
        <v>1.45</v>
      </c>
    </row>
    <row r="276" spans="1:38" x14ac:dyDescent="0.3">
      <c r="A276" t="s">
        <v>475</v>
      </c>
      <c r="B276">
        <v>100106</v>
      </c>
      <c r="C276">
        <v>2</v>
      </c>
      <c r="D276" t="s">
        <v>476</v>
      </c>
      <c r="E276" t="s">
        <v>477</v>
      </c>
      <c r="F276">
        <v>182</v>
      </c>
      <c r="G276">
        <v>33.369999999999997</v>
      </c>
      <c r="H276">
        <v>110.33</v>
      </c>
      <c r="I276">
        <v>25.7</v>
      </c>
      <c r="J276">
        <v>84.96</v>
      </c>
      <c r="K276">
        <v>22</v>
      </c>
      <c r="T276">
        <v>3</v>
      </c>
      <c r="U276">
        <v>2</v>
      </c>
      <c r="V276" t="s">
        <v>93</v>
      </c>
      <c r="W276" t="s">
        <v>431</v>
      </c>
      <c r="X276">
        <v>14</v>
      </c>
      <c r="Y276">
        <v>14</v>
      </c>
      <c r="Z276" t="s">
        <v>478</v>
      </c>
      <c r="AA276" t="s">
        <v>479</v>
      </c>
      <c r="AB276" t="s">
        <v>96</v>
      </c>
      <c r="AC276" t="s">
        <v>97</v>
      </c>
      <c r="AD276" t="s">
        <v>480</v>
      </c>
      <c r="AG276" t="s">
        <v>481</v>
      </c>
      <c r="AH276">
        <v>0</v>
      </c>
      <c r="AI276">
        <v>225</v>
      </c>
      <c r="AJ276">
        <v>27</v>
      </c>
      <c r="AK276">
        <v>264</v>
      </c>
      <c r="AL276">
        <v>1.45</v>
      </c>
    </row>
    <row r="277" spans="1:38" x14ac:dyDescent="0.3">
      <c r="A277" t="s">
        <v>475</v>
      </c>
      <c r="B277">
        <v>100106</v>
      </c>
      <c r="C277">
        <v>3</v>
      </c>
      <c r="D277" t="s">
        <v>476</v>
      </c>
      <c r="E277" t="s">
        <v>477</v>
      </c>
      <c r="F277">
        <v>182</v>
      </c>
      <c r="G277">
        <v>41.21</v>
      </c>
      <c r="H277">
        <v>136.25</v>
      </c>
      <c r="I277">
        <v>31.7</v>
      </c>
      <c r="J277">
        <v>104.81</v>
      </c>
      <c r="K277">
        <v>10</v>
      </c>
      <c r="T277">
        <v>4</v>
      </c>
      <c r="U277">
        <v>2</v>
      </c>
      <c r="V277" t="s">
        <v>93</v>
      </c>
      <c r="W277">
        <v>136</v>
      </c>
      <c r="X277">
        <v>14</v>
      </c>
      <c r="Y277">
        <v>14</v>
      </c>
      <c r="Z277" t="s">
        <v>478</v>
      </c>
      <c r="AA277" t="s">
        <v>479</v>
      </c>
      <c r="AB277" t="s">
        <v>96</v>
      </c>
      <c r="AC277" t="s">
        <v>97</v>
      </c>
      <c r="AD277" t="s">
        <v>480</v>
      </c>
      <c r="AG277" t="s">
        <v>481</v>
      </c>
      <c r="AH277">
        <v>0</v>
      </c>
      <c r="AI277">
        <v>225</v>
      </c>
      <c r="AJ277">
        <v>27</v>
      </c>
      <c r="AK277">
        <v>264</v>
      </c>
      <c r="AL277">
        <v>1.45</v>
      </c>
    </row>
    <row r="278" spans="1:38" x14ac:dyDescent="0.3">
      <c r="A278" t="s">
        <v>475</v>
      </c>
      <c r="B278">
        <v>100106</v>
      </c>
      <c r="C278">
        <v>4</v>
      </c>
      <c r="D278" t="s">
        <v>476</v>
      </c>
      <c r="E278" t="s">
        <v>477</v>
      </c>
      <c r="F278">
        <v>182</v>
      </c>
      <c r="G278">
        <v>46.44</v>
      </c>
      <c r="H278">
        <v>153.54</v>
      </c>
      <c r="I278">
        <v>35.74</v>
      </c>
      <c r="J278">
        <v>118.16</v>
      </c>
      <c r="K278">
        <v>3</v>
      </c>
      <c r="T278">
        <v>4</v>
      </c>
      <c r="U278">
        <v>2</v>
      </c>
      <c r="V278" t="s">
        <v>93</v>
      </c>
      <c r="W278">
        <v>153</v>
      </c>
      <c r="X278">
        <v>14</v>
      </c>
      <c r="Y278">
        <v>14</v>
      </c>
      <c r="Z278" t="s">
        <v>478</v>
      </c>
      <c r="AA278" t="s">
        <v>479</v>
      </c>
      <c r="AB278" t="s">
        <v>96</v>
      </c>
      <c r="AC278" t="s">
        <v>97</v>
      </c>
      <c r="AD278" t="s">
        <v>480</v>
      </c>
      <c r="AG278" t="s">
        <v>481</v>
      </c>
      <c r="AH278">
        <v>0</v>
      </c>
      <c r="AI278">
        <v>225</v>
      </c>
      <c r="AJ278">
        <v>27</v>
      </c>
      <c r="AK278">
        <v>264</v>
      </c>
      <c r="AL278">
        <v>1.45</v>
      </c>
    </row>
    <row r="279" spans="1:38" x14ac:dyDescent="0.3">
      <c r="A279" t="s">
        <v>475</v>
      </c>
      <c r="B279">
        <v>100106</v>
      </c>
      <c r="C279">
        <v>5</v>
      </c>
      <c r="D279" t="s">
        <v>476</v>
      </c>
      <c r="E279" t="s">
        <v>477</v>
      </c>
      <c r="F279">
        <v>182</v>
      </c>
      <c r="G279">
        <v>50.52</v>
      </c>
      <c r="H279">
        <v>167.02</v>
      </c>
      <c r="I279">
        <v>41.93</v>
      </c>
      <c r="J279">
        <v>138.63999999999999</v>
      </c>
      <c r="K279">
        <v>35</v>
      </c>
      <c r="T279">
        <v>4</v>
      </c>
      <c r="U279">
        <v>2</v>
      </c>
      <c r="V279" t="s">
        <v>93</v>
      </c>
      <c r="W279" t="s">
        <v>482</v>
      </c>
      <c r="X279">
        <v>14</v>
      </c>
      <c r="Y279">
        <v>14</v>
      </c>
      <c r="Z279" t="s">
        <v>478</v>
      </c>
      <c r="AA279" t="s">
        <v>479</v>
      </c>
      <c r="AB279" t="s">
        <v>96</v>
      </c>
      <c r="AC279" t="s">
        <v>97</v>
      </c>
      <c r="AD279" t="s">
        <v>480</v>
      </c>
      <c r="AG279" t="s">
        <v>481</v>
      </c>
      <c r="AH279">
        <v>0</v>
      </c>
      <c r="AI279">
        <v>225</v>
      </c>
      <c r="AJ279">
        <v>27</v>
      </c>
      <c r="AK279">
        <v>264</v>
      </c>
      <c r="AL279">
        <v>1.45</v>
      </c>
    </row>
    <row r="280" spans="1:38" x14ac:dyDescent="0.3">
      <c r="A280" t="s">
        <v>475</v>
      </c>
      <c r="B280">
        <v>100106</v>
      </c>
      <c r="C280">
        <v>6</v>
      </c>
      <c r="D280" t="s">
        <v>476</v>
      </c>
      <c r="E280" t="s">
        <v>477</v>
      </c>
      <c r="F280">
        <v>182</v>
      </c>
      <c r="G280">
        <v>50.9</v>
      </c>
      <c r="H280">
        <v>168.29</v>
      </c>
      <c r="I280">
        <v>42.32</v>
      </c>
      <c r="J280">
        <v>139.91</v>
      </c>
      <c r="K280">
        <v>20</v>
      </c>
      <c r="T280">
        <v>4</v>
      </c>
      <c r="U280">
        <v>2</v>
      </c>
      <c r="V280" t="s">
        <v>93</v>
      </c>
      <c r="W280" t="s">
        <v>483</v>
      </c>
      <c r="X280">
        <v>14</v>
      </c>
      <c r="Y280">
        <v>14</v>
      </c>
      <c r="Z280" t="s">
        <v>478</v>
      </c>
      <c r="AA280" t="s">
        <v>479</v>
      </c>
      <c r="AB280" t="s">
        <v>96</v>
      </c>
      <c r="AC280" t="s">
        <v>97</v>
      </c>
      <c r="AD280" t="s">
        <v>480</v>
      </c>
      <c r="AG280" t="s">
        <v>481</v>
      </c>
      <c r="AH280">
        <v>0</v>
      </c>
      <c r="AI280">
        <v>225</v>
      </c>
      <c r="AJ280">
        <v>27</v>
      </c>
      <c r="AK280">
        <v>264</v>
      </c>
      <c r="AL280">
        <v>1.45</v>
      </c>
    </row>
    <row r="281" spans="1:38" x14ac:dyDescent="0.3">
      <c r="A281" t="s">
        <v>475</v>
      </c>
      <c r="B281">
        <v>100106</v>
      </c>
      <c r="C281">
        <v>7</v>
      </c>
      <c r="D281" t="s">
        <v>476</v>
      </c>
      <c r="E281" t="s">
        <v>477</v>
      </c>
      <c r="F281">
        <v>182</v>
      </c>
      <c r="G281">
        <v>70.239999999999995</v>
      </c>
      <c r="H281">
        <v>232.21</v>
      </c>
      <c r="I281">
        <v>58.11</v>
      </c>
      <c r="J281">
        <v>192.1</v>
      </c>
      <c r="K281">
        <v>3</v>
      </c>
      <c r="T281">
        <v>5</v>
      </c>
      <c r="U281">
        <v>3</v>
      </c>
      <c r="V281" t="s">
        <v>93</v>
      </c>
      <c r="W281">
        <v>232</v>
      </c>
      <c r="X281">
        <v>14</v>
      </c>
      <c r="Y281">
        <v>14</v>
      </c>
      <c r="Z281" t="s">
        <v>478</v>
      </c>
      <c r="AA281" t="s">
        <v>479</v>
      </c>
      <c r="AB281" t="s">
        <v>96</v>
      </c>
      <c r="AC281" t="s">
        <v>97</v>
      </c>
      <c r="AD281" t="s">
        <v>480</v>
      </c>
      <c r="AG281" t="s">
        <v>481</v>
      </c>
      <c r="AH281">
        <v>0</v>
      </c>
      <c r="AI281">
        <v>225</v>
      </c>
      <c r="AJ281">
        <v>27</v>
      </c>
      <c r="AK281">
        <v>264</v>
      </c>
      <c r="AL281">
        <v>1.45</v>
      </c>
    </row>
    <row r="282" spans="1:38" x14ac:dyDescent="0.3">
      <c r="A282" t="s">
        <v>475</v>
      </c>
      <c r="B282">
        <v>100107</v>
      </c>
      <c r="C282">
        <v>1</v>
      </c>
      <c r="D282" t="s">
        <v>484</v>
      </c>
      <c r="E282" t="s">
        <v>485</v>
      </c>
      <c r="F282">
        <v>257</v>
      </c>
      <c r="G282">
        <v>33.159999999999997</v>
      </c>
      <c r="H282">
        <v>109.63</v>
      </c>
      <c r="I282">
        <v>25.7</v>
      </c>
      <c r="J282">
        <v>84.99</v>
      </c>
      <c r="K282">
        <v>86</v>
      </c>
      <c r="T282">
        <v>3</v>
      </c>
      <c r="U282">
        <v>2</v>
      </c>
      <c r="V282" t="s">
        <v>93</v>
      </c>
      <c r="W282" t="s">
        <v>486</v>
      </c>
      <c r="X282">
        <v>15</v>
      </c>
      <c r="Y282">
        <v>12</v>
      </c>
      <c r="Z282" t="s">
        <v>487</v>
      </c>
      <c r="AA282" t="s">
        <v>488</v>
      </c>
      <c r="AB282" t="s">
        <v>96</v>
      </c>
      <c r="AC282" t="s">
        <v>97</v>
      </c>
      <c r="AD282" t="s">
        <v>480</v>
      </c>
      <c r="AG282" t="s">
        <v>489</v>
      </c>
      <c r="AH282">
        <v>0</v>
      </c>
      <c r="AI282">
        <v>230</v>
      </c>
      <c r="AJ282">
        <v>24</v>
      </c>
      <c r="AK282">
        <v>330</v>
      </c>
      <c r="AL282">
        <v>1.28</v>
      </c>
    </row>
    <row r="283" spans="1:38" x14ac:dyDescent="0.3">
      <c r="A283" t="s">
        <v>475</v>
      </c>
      <c r="B283">
        <v>100107</v>
      </c>
      <c r="C283">
        <v>2</v>
      </c>
      <c r="D283" t="s">
        <v>484</v>
      </c>
      <c r="E283" t="s">
        <v>485</v>
      </c>
      <c r="F283">
        <v>257</v>
      </c>
      <c r="G283">
        <v>33.24</v>
      </c>
      <c r="H283">
        <v>109.89</v>
      </c>
      <c r="I283">
        <v>25.7</v>
      </c>
      <c r="J283">
        <v>84.96</v>
      </c>
      <c r="K283">
        <v>60</v>
      </c>
      <c r="T283">
        <v>3</v>
      </c>
      <c r="U283">
        <v>2</v>
      </c>
      <c r="V283" t="s">
        <v>93</v>
      </c>
      <c r="W283" t="s">
        <v>490</v>
      </c>
      <c r="X283">
        <v>15</v>
      </c>
      <c r="Y283">
        <v>12</v>
      </c>
      <c r="Z283" t="s">
        <v>487</v>
      </c>
      <c r="AA283" t="s">
        <v>488</v>
      </c>
      <c r="AB283" t="s">
        <v>96</v>
      </c>
      <c r="AC283" t="s">
        <v>97</v>
      </c>
      <c r="AD283" t="s">
        <v>480</v>
      </c>
      <c r="AG283" t="s">
        <v>489</v>
      </c>
      <c r="AH283">
        <v>0</v>
      </c>
      <c r="AI283">
        <v>230</v>
      </c>
      <c r="AJ283">
        <v>24</v>
      </c>
      <c r="AK283">
        <v>330</v>
      </c>
      <c r="AL283">
        <v>1.28</v>
      </c>
    </row>
    <row r="284" spans="1:38" x14ac:dyDescent="0.3">
      <c r="A284" t="s">
        <v>475</v>
      </c>
      <c r="B284">
        <v>100107</v>
      </c>
      <c r="C284">
        <v>3</v>
      </c>
      <c r="D284" t="s">
        <v>484</v>
      </c>
      <c r="E284" t="s">
        <v>485</v>
      </c>
      <c r="F284">
        <v>257</v>
      </c>
      <c r="G284">
        <v>33.21</v>
      </c>
      <c r="H284">
        <v>109.79</v>
      </c>
      <c r="I284">
        <v>25.7</v>
      </c>
      <c r="J284">
        <v>84.96</v>
      </c>
      <c r="K284">
        <v>15</v>
      </c>
      <c r="T284">
        <v>3</v>
      </c>
      <c r="U284">
        <v>2</v>
      </c>
      <c r="V284" t="s">
        <v>93</v>
      </c>
      <c r="W284" t="s">
        <v>460</v>
      </c>
      <c r="X284">
        <v>15</v>
      </c>
      <c r="Y284">
        <v>12</v>
      </c>
      <c r="Z284" t="s">
        <v>487</v>
      </c>
      <c r="AA284" t="s">
        <v>488</v>
      </c>
      <c r="AB284" t="s">
        <v>96</v>
      </c>
      <c r="AC284" t="s">
        <v>97</v>
      </c>
      <c r="AD284" t="s">
        <v>480</v>
      </c>
      <c r="AG284" t="s">
        <v>489</v>
      </c>
      <c r="AH284">
        <v>0</v>
      </c>
      <c r="AI284">
        <v>230</v>
      </c>
      <c r="AJ284">
        <v>24</v>
      </c>
      <c r="AK284">
        <v>330</v>
      </c>
      <c r="AL284">
        <v>1.28</v>
      </c>
    </row>
    <row r="285" spans="1:38" x14ac:dyDescent="0.3">
      <c r="A285" t="s">
        <v>475</v>
      </c>
      <c r="B285">
        <v>100107</v>
      </c>
      <c r="C285">
        <v>4</v>
      </c>
      <c r="D285" t="s">
        <v>484</v>
      </c>
      <c r="E285" t="s">
        <v>485</v>
      </c>
      <c r="F285">
        <v>257</v>
      </c>
      <c r="G285">
        <v>38.770000000000003</v>
      </c>
      <c r="H285">
        <v>128.18</v>
      </c>
      <c r="I285">
        <v>30.67</v>
      </c>
      <c r="J285">
        <v>101.42</v>
      </c>
      <c r="K285">
        <v>70</v>
      </c>
      <c r="T285">
        <v>3</v>
      </c>
      <c r="U285">
        <v>2</v>
      </c>
      <c r="V285" t="s">
        <v>93</v>
      </c>
      <c r="W285">
        <v>128</v>
      </c>
      <c r="X285">
        <v>15</v>
      </c>
      <c r="Y285">
        <v>12</v>
      </c>
      <c r="Z285" t="s">
        <v>487</v>
      </c>
      <c r="AA285" t="s">
        <v>488</v>
      </c>
      <c r="AB285" t="s">
        <v>96</v>
      </c>
      <c r="AC285" t="s">
        <v>97</v>
      </c>
      <c r="AD285" t="s">
        <v>480</v>
      </c>
      <c r="AG285" t="s">
        <v>489</v>
      </c>
      <c r="AH285">
        <v>0</v>
      </c>
      <c r="AI285">
        <v>230</v>
      </c>
      <c r="AJ285">
        <v>24</v>
      </c>
      <c r="AK285">
        <v>330</v>
      </c>
      <c r="AL285">
        <v>1.28</v>
      </c>
    </row>
    <row r="286" spans="1:38" x14ac:dyDescent="0.3">
      <c r="A286" t="s">
        <v>475</v>
      </c>
      <c r="B286">
        <v>100107</v>
      </c>
      <c r="C286">
        <v>5</v>
      </c>
      <c r="D286" t="s">
        <v>484</v>
      </c>
      <c r="E286" t="s">
        <v>485</v>
      </c>
      <c r="F286">
        <v>257</v>
      </c>
      <c r="G286">
        <v>48.61</v>
      </c>
      <c r="H286">
        <v>160.69999999999999</v>
      </c>
      <c r="I286">
        <v>41.81</v>
      </c>
      <c r="J286">
        <v>138.22999999999999</v>
      </c>
      <c r="K286">
        <v>13</v>
      </c>
      <c r="T286">
        <v>4</v>
      </c>
      <c r="U286">
        <v>2</v>
      </c>
      <c r="V286" t="s">
        <v>93</v>
      </c>
      <c r="W286" t="s">
        <v>491</v>
      </c>
      <c r="X286">
        <v>15</v>
      </c>
      <c r="Y286">
        <v>12</v>
      </c>
      <c r="Z286" t="s">
        <v>487</v>
      </c>
      <c r="AA286" t="s">
        <v>488</v>
      </c>
      <c r="AB286" t="s">
        <v>96</v>
      </c>
      <c r="AC286" t="s">
        <v>97</v>
      </c>
      <c r="AD286" t="s">
        <v>480</v>
      </c>
      <c r="AG286" t="s">
        <v>489</v>
      </c>
      <c r="AH286">
        <v>0</v>
      </c>
      <c r="AI286">
        <v>230</v>
      </c>
      <c r="AJ286">
        <v>24</v>
      </c>
      <c r="AK286">
        <v>330</v>
      </c>
      <c r="AL286">
        <v>1.28</v>
      </c>
    </row>
    <row r="287" spans="1:38" x14ac:dyDescent="0.3">
      <c r="A287" t="s">
        <v>475</v>
      </c>
      <c r="B287">
        <v>100107</v>
      </c>
      <c r="C287">
        <v>6</v>
      </c>
      <c r="D287" t="s">
        <v>484</v>
      </c>
      <c r="E287" t="s">
        <v>485</v>
      </c>
      <c r="F287">
        <v>257</v>
      </c>
      <c r="G287">
        <v>48.95</v>
      </c>
      <c r="H287">
        <v>161.85</v>
      </c>
      <c r="I287">
        <v>41.93</v>
      </c>
      <c r="J287">
        <v>138.63999999999999</v>
      </c>
      <c r="K287">
        <v>13</v>
      </c>
      <c r="T287">
        <v>4</v>
      </c>
      <c r="U287">
        <v>2</v>
      </c>
      <c r="V287" t="s">
        <v>93</v>
      </c>
      <c r="W287" t="s">
        <v>492</v>
      </c>
      <c r="X287">
        <v>15</v>
      </c>
      <c r="Y287">
        <v>12</v>
      </c>
      <c r="Z287" t="s">
        <v>487</v>
      </c>
      <c r="AA287" t="s">
        <v>488</v>
      </c>
      <c r="AB287" t="s">
        <v>96</v>
      </c>
      <c r="AC287" t="s">
        <v>97</v>
      </c>
      <c r="AD287" t="s">
        <v>480</v>
      </c>
      <c r="AG287" t="s">
        <v>489</v>
      </c>
      <c r="AH287">
        <v>0</v>
      </c>
      <c r="AI287">
        <v>230</v>
      </c>
      <c r="AJ287">
        <v>24</v>
      </c>
      <c r="AK287">
        <v>330</v>
      </c>
      <c r="AL287">
        <v>1.28</v>
      </c>
    </row>
    <row r="288" spans="1:38" x14ac:dyDescent="0.3">
      <c r="A288" t="s">
        <v>475</v>
      </c>
      <c r="B288">
        <v>17559</v>
      </c>
      <c r="C288">
        <v>1</v>
      </c>
      <c r="D288" t="s">
        <v>493</v>
      </c>
      <c r="E288" t="s">
        <v>494</v>
      </c>
      <c r="F288">
        <v>207</v>
      </c>
      <c r="G288">
        <v>24.9</v>
      </c>
      <c r="H288">
        <v>82.33</v>
      </c>
      <c r="I288">
        <v>18.12</v>
      </c>
      <c r="J288">
        <v>59.93</v>
      </c>
      <c r="K288">
        <v>16</v>
      </c>
      <c r="T288">
        <v>3</v>
      </c>
      <c r="U288">
        <v>2</v>
      </c>
      <c r="V288" t="s">
        <v>93</v>
      </c>
      <c r="W288">
        <v>82</v>
      </c>
      <c r="X288">
        <v>14</v>
      </c>
      <c r="Y288">
        <v>7</v>
      </c>
      <c r="Z288" t="s">
        <v>495</v>
      </c>
      <c r="AA288" t="s">
        <v>496</v>
      </c>
      <c r="AB288" t="s">
        <v>96</v>
      </c>
      <c r="AC288" t="s">
        <v>97</v>
      </c>
      <c r="AD288" t="s">
        <v>480</v>
      </c>
      <c r="AG288" t="s">
        <v>497</v>
      </c>
      <c r="AH288">
        <v>0</v>
      </c>
      <c r="AI288">
        <v>245</v>
      </c>
      <c r="AJ288">
        <v>29</v>
      </c>
      <c r="AK288">
        <v>226</v>
      </c>
      <c r="AL288">
        <v>1.0900000000000001</v>
      </c>
    </row>
    <row r="289" spans="1:38" x14ac:dyDescent="0.3">
      <c r="A289" t="s">
        <v>475</v>
      </c>
      <c r="B289">
        <v>17559</v>
      </c>
      <c r="C289">
        <v>2</v>
      </c>
      <c r="D289" t="s">
        <v>493</v>
      </c>
      <c r="E289" t="s">
        <v>494</v>
      </c>
      <c r="F289">
        <v>207</v>
      </c>
      <c r="G289">
        <v>32.19</v>
      </c>
      <c r="H289">
        <v>106.44</v>
      </c>
      <c r="I289">
        <v>25.7</v>
      </c>
      <c r="J289">
        <v>84.98</v>
      </c>
      <c r="K289">
        <v>191</v>
      </c>
      <c r="T289">
        <v>3</v>
      </c>
      <c r="U289">
        <v>2</v>
      </c>
      <c r="V289" t="s">
        <v>93</v>
      </c>
      <c r="W289">
        <v>106</v>
      </c>
      <c r="X289">
        <v>14</v>
      </c>
      <c r="Y289">
        <v>7</v>
      </c>
      <c r="Z289" t="s">
        <v>495</v>
      </c>
      <c r="AA289" t="s">
        <v>496</v>
      </c>
      <c r="AB289" t="s">
        <v>96</v>
      </c>
      <c r="AC289" t="s">
        <v>97</v>
      </c>
      <c r="AD289" t="s">
        <v>480</v>
      </c>
      <c r="AG289" t="s">
        <v>497</v>
      </c>
      <c r="AH289">
        <v>0</v>
      </c>
      <c r="AI289">
        <v>245</v>
      </c>
      <c r="AJ289">
        <v>29</v>
      </c>
      <c r="AK289">
        <v>226</v>
      </c>
      <c r="AL289">
        <v>1.0900000000000001</v>
      </c>
    </row>
    <row r="290" spans="1:38" x14ac:dyDescent="0.3">
      <c r="A290" t="s">
        <v>475</v>
      </c>
      <c r="B290">
        <v>10566</v>
      </c>
      <c r="C290">
        <v>1</v>
      </c>
      <c r="D290" t="s">
        <v>498</v>
      </c>
      <c r="E290" t="s">
        <v>494</v>
      </c>
      <c r="F290">
        <v>670</v>
      </c>
      <c r="G290">
        <v>24.77</v>
      </c>
      <c r="H290">
        <v>81.900000000000006</v>
      </c>
      <c r="I290">
        <v>18.13</v>
      </c>
      <c r="J290">
        <v>59.95</v>
      </c>
      <c r="K290">
        <v>140</v>
      </c>
      <c r="T290">
        <v>3</v>
      </c>
      <c r="U290">
        <v>2</v>
      </c>
      <c r="V290" t="s">
        <v>93</v>
      </c>
      <c r="W290">
        <v>81</v>
      </c>
      <c r="X290">
        <v>15</v>
      </c>
      <c r="Y290">
        <v>8</v>
      </c>
      <c r="Z290" t="s">
        <v>499</v>
      </c>
      <c r="AA290" t="s">
        <v>500</v>
      </c>
      <c r="AB290" t="s">
        <v>96</v>
      </c>
      <c r="AC290" t="s">
        <v>97</v>
      </c>
      <c r="AD290" t="s">
        <v>480</v>
      </c>
      <c r="AG290" t="s">
        <v>501</v>
      </c>
      <c r="AH290">
        <v>0</v>
      </c>
      <c r="AI290">
        <v>237</v>
      </c>
      <c r="AJ290">
        <v>21</v>
      </c>
      <c r="AK290">
        <v>679</v>
      </c>
      <c r="AL290">
        <v>1.01</v>
      </c>
    </row>
    <row r="291" spans="1:38" x14ac:dyDescent="0.3">
      <c r="A291" t="s">
        <v>475</v>
      </c>
      <c r="B291">
        <v>10566</v>
      </c>
      <c r="C291">
        <v>2</v>
      </c>
      <c r="D291" t="s">
        <v>498</v>
      </c>
      <c r="E291" t="s">
        <v>494</v>
      </c>
      <c r="F291">
        <v>670</v>
      </c>
      <c r="G291">
        <v>32.08</v>
      </c>
      <c r="H291">
        <v>106.05</v>
      </c>
      <c r="I291">
        <v>25.7</v>
      </c>
      <c r="J291">
        <v>84.97</v>
      </c>
      <c r="K291">
        <v>530</v>
      </c>
      <c r="T291">
        <v>3</v>
      </c>
      <c r="U291">
        <v>2</v>
      </c>
      <c r="V291" t="s">
        <v>93</v>
      </c>
      <c r="W291">
        <v>106</v>
      </c>
      <c r="X291">
        <v>15</v>
      </c>
      <c r="Y291">
        <v>8</v>
      </c>
      <c r="Z291" t="s">
        <v>499</v>
      </c>
      <c r="AA291" t="s">
        <v>500</v>
      </c>
      <c r="AB291" t="s">
        <v>96</v>
      </c>
      <c r="AC291" t="s">
        <v>97</v>
      </c>
      <c r="AD291" t="s">
        <v>480</v>
      </c>
      <c r="AG291" t="s">
        <v>501</v>
      </c>
      <c r="AH291">
        <v>0</v>
      </c>
      <c r="AI291">
        <v>237</v>
      </c>
      <c r="AJ291">
        <v>21</v>
      </c>
      <c r="AK291">
        <v>679</v>
      </c>
      <c r="AL291">
        <v>1.01</v>
      </c>
    </row>
    <row r="292" spans="1:38" x14ac:dyDescent="0.3">
      <c r="A292" t="s">
        <v>475</v>
      </c>
      <c r="B292">
        <v>103713</v>
      </c>
      <c r="C292">
        <v>1</v>
      </c>
      <c r="D292" t="s">
        <v>502</v>
      </c>
      <c r="E292" t="s">
        <v>459</v>
      </c>
      <c r="F292">
        <v>376</v>
      </c>
      <c r="G292">
        <v>24.22</v>
      </c>
      <c r="H292">
        <v>80.09</v>
      </c>
      <c r="I292">
        <v>18.14</v>
      </c>
      <c r="J292">
        <v>59.97</v>
      </c>
      <c r="K292">
        <v>85</v>
      </c>
      <c r="T292">
        <v>3</v>
      </c>
      <c r="U292">
        <v>2</v>
      </c>
      <c r="V292" t="s">
        <v>93</v>
      </c>
      <c r="W292">
        <v>80</v>
      </c>
      <c r="X292">
        <v>15</v>
      </c>
      <c r="Y292">
        <v>10</v>
      </c>
      <c r="Z292" t="s">
        <v>503</v>
      </c>
      <c r="AA292" t="s">
        <v>504</v>
      </c>
      <c r="AB292" t="s">
        <v>96</v>
      </c>
      <c r="AC292" t="s">
        <v>97</v>
      </c>
      <c r="AD292" t="s">
        <v>480</v>
      </c>
      <c r="AG292" t="s">
        <v>505</v>
      </c>
      <c r="AH292">
        <v>0</v>
      </c>
      <c r="AI292">
        <v>229</v>
      </c>
      <c r="AJ292">
        <v>26</v>
      </c>
      <c r="AK292">
        <v>413</v>
      </c>
      <c r="AL292">
        <v>1.1000000000000001</v>
      </c>
    </row>
    <row r="293" spans="1:38" x14ac:dyDescent="0.3">
      <c r="A293" t="s">
        <v>475</v>
      </c>
      <c r="B293">
        <v>103713</v>
      </c>
      <c r="C293">
        <v>2</v>
      </c>
      <c r="D293" t="s">
        <v>502</v>
      </c>
      <c r="E293" t="s">
        <v>459</v>
      </c>
      <c r="F293">
        <v>376</v>
      </c>
      <c r="G293">
        <v>34.39</v>
      </c>
      <c r="H293">
        <v>113.69</v>
      </c>
      <c r="I293">
        <v>25.7</v>
      </c>
      <c r="J293">
        <v>84.99</v>
      </c>
      <c r="K293">
        <v>133</v>
      </c>
      <c r="T293">
        <v>3</v>
      </c>
      <c r="U293">
        <v>2</v>
      </c>
      <c r="V293" t="s">
        <v>93</v>
      </c>
      <c r="W293" t="s">
        <v>506</v>
      </c>
      <c r="X293">
        <v>15</v>
      </c>
      <c r="Y293">
        <v>10</v>
      </c>
      <c r="Z293" t="s">
        <v>503</v>
      </c>
      <c r="AA293" t="s">
        <v>504</v>
      </c>
      <c r="AB293" t="s">
        <v>96</v>
      </c>
      <c r="AC293" t="s">
        <v>97</v>
      </c>
      <c r="AD293" t="s">
        <v>480</v>
      </c>
      <c r="AG293" t="s">
        <v>505</v>
      </c>
      <c r="AH293">
        <v>0</v>
      </c>
      <c r="AI293">
        <v>229</v>
      </c>
      <c r="AJ293">
        <v>26</v>
      </c>
      <c r="AK293">
        <v>413</v>
      </c>
      <c r="AL293">
        <v>1.1000000000000001</v>
      </c>
    </row>
    <row r="294" spans="1:38" x14ac:dyDescent="0.3">
      <c r="A294" t="s">
        <v>475</v>
      </c>
      <c r="B294">
        <v>103713</v>
      </c>
      <c r="C294">
        <v>3</v>
      </c>
      <c r="D294" t="s">
        <v>502</v>
      </c>
      <c r="E294" t="s">
        <v>459</v>
      </c>
      <c r="F294">
        <v>376</v>
      </c>
      <c r="G294">
        <v>34.479999999999997</v>
      </c>
      <c r="H294">
        <v>114.01</v>
      </c>
      <c r="I294">
        <v>25.7</v>
      </c>
      <c r="J294">
        <v>84.99</v>
      </c>
      <c r="K294">
        <v>103</v>
      </c>
      <c r="T294">
        <v>3</v>
      </c>
      <c r="U294">
        <v>2</v>
      </c>
      <c r="V294" t="s">
        <v>93</v>
      </c>
      <c r="W294" t="s">
        <v>507</v>
      </c>
      <c r="X294">
        <v>15</v>
      </c>
      <c r="Y294">
        <v>10</v>
      </c>
      <c r="Z294" t="s">
        <v>503</v>
      </c>
      <c r="AA294" t="s">
        <v>504</v>
      </c>
      <c r="AB294" t="s">
        <v>96</v>
      </c>
      <c r="AC294" t="s">
        <v>97</v>
      </c>
      <c r="AD294" t="s">
        <v>480</v>
      </c>
      <c r="AG294" t="s">
        <v>505</v>
      </c>
      <c r="AH294">
        <v>0</v>
      </c>
      <c r="AI294">
        <v>229</v>
      </c>
      <c r="AJ294">
        <v>26</v>
      </c>
      <c r="AK294">
        <v>413</v>
      </c>
      <c r="AL294">
        <v>1.1000000000000001</v>
      </c>
    </row>
    <row r="295" spans="1:38" x14ac:dyDescent="0.3">
      <c r="A295" t="s">
        <v>475</v>
      </c>
      <c r="B295">
        <v>103713</v>
      </c>
      <c r="C295">
        <v>4</v>
      </c>
      <c r="D295" t="s">
        <v>502</v>
      </c>
      <c r="E295" t="s">
        <v>459</v>
      </c>
      <c r="F295">
        <v>376</v>
      </c>
      <c r="G295">
        <v>48.38</v>
      </c>
      <c r="H295">
        <v>159.94999999999999</v>
      </c>
      <c r="I295">
        <v>36.58</v>
      </c>
      <c r="J295">
        <v>120.93</v>
      </c>
      <c r="K295">
        <v>55</v>
      </c>
      <c r="T295">
        <v>4</v>
      </c>
      <c r="U295">
        <v>2</v>
      </c>
      <c r="V295" t="s">
        <v>93</v>
      </c>
      <c r="W295">
        <v>159</v>
      </c>
      <c r="X295">
        <v>15</v>
      </c>
      <c r="Y295">
        <v>10</v>
      </c>
      <c r="Z295" t="s">
        <v>503</v>
      </c>
      <c r="AA295" t="s">
        <v>504</v>
      </c>
      <c r="AB295" t="s">
        <v>96</v>
      </c>
      <c r="AC295" t="s">
        <v>97</v>
      </c>
      <c r="AD295" t="s">
        <v>480</v>
      </c>
      <c r="AG295" t="s">
        <v>505</v>
      </c>
      <c r="AH295">
        <v>0</v>
      </c>
      <c r="AI295">
        <v>229</v>
      </c>
      <c r="AJ295">
        <v>26</v>
      </c>
      <c r="AK295">
        <v>413</v>
      </c>
      <c r="AL295">
        <v>1.1000000000000001</v>
      </c>
    </row>
    <row r="296" spans="1:38" x14ac:dyDescent="0.3">
      <c r="A296" t="s">
        <v>508</v>
      </c>
      <c r="B296">
        <v>141651</v>
      </c>
      <c r="C296">
        <v>1</v>
      </c>
      <c r="D296" t="s">
        <v>509</v>
      </c>
      <c r="E296" t="s">
        <v>510</v>
      </c>
      <c r="F296">
        <v>546</v>
      </c>
      <c r="G296">
        <v>24.44</v>
      </c>
      <c r="H296">
        <v>80.81</v>
      </c>
      <c r="I296">
        <v>18.11</v>
      </c>
      <c r="J296">
        <v>59.89</v>
      </c>
      <c r="K296">
        <v>211</v>
      </c>
      <c r="T296">
        <v>3</v>
      </c>
      <c r="U296">
        <v>2</v>
      </c>
      <c r="V296" t="s">
        <v>93</v>
      </c>
      <c r="W296" t="s">
        <v>511</v>
      </c>
      <c r="X296">
        <v>15</v>
      </c>
      <c r="Y296">
        <v>7</v>
      </c>
      <c r="Z296" t="s">
        <v>512</v>
      </c>
      <c r="AA296" t="s">
        <v>513</v>
      </c>
      <c r="AB296" t="s">
        <v>96</v>
      </c>
      <c r="AC296" t="s">
        <v>97</v>
      </c>
      <c r="AD296" t="s">
        <v>514</v>
      </c>
      <c r="AG296" t="s">
        <v>515</v>
      </c>
      <c r="AH296">
        <v>0</v>
      </c>
      <c r="AI296">
        <v>185</v>
      </c>
      <c r="AJ296">
        <v>21</v>
      </c>
      <c r="AK296">
        <v>598</v>
      </c>
      <c r="AL296">
        <v>1.1000000000000001</v>
      </c>
    </row>
    <row r="297" spans="1:38" x14ac:dyDescent="0.3">
      <c r="A297" t="s">
        <v>508</v>
      </c>
      <c r="B297">
        <v>141651</v>
      </c>
      <c r="C297">
        <v>2</v>
      </c>
      <c r="D297" t="s">
        <v>509</v>
      </c>
      <c r="E297" t="s">
        <v>510</v>
      </c>
      <c r="F297">
        <v>546</v>
      </c>
      <c r="G297">
        <v>24.29</v>
      </c>
      <c r="H297">
        <v>80.31</v>
      </c>
      <c r="I297">
        <v>18.14</v>
      </c>
      <c r="J297">
        <v>59.99</v>
      </c>
      <c r="K297">
        <v>74</v>
      </c>
      <c r="T297">
        <v>3</v>
      </c>
      <c r="U297">
        <v>2</v>
      </c>
      <c r="V297" t="s">
        <v>93</v>
      </c>
      <c r="W297" t="s">
        <v>516</v>
      </c>
      <c r="X297">
        <v>15</v>
      </c>
      <c r="Y297">
        <v>7</v>
      </c>
      <c r="Z297" t="s">
        <v>512</v>
      </c>
      <c r="AA297" t="s">
        <v>513</v>
      </c>
      <c r="AB297" t="s">
        <v>96</v>
      </c>
      <c r="AC297" t="s">
        <v>97</v>
      </c>
      <c r="AD297" t="s">
        <v>514</v>
      </c>
      <c r="AG297" t="s">
        <v>515</v>
      </c>
      <c r="AH297">
        <v>0</v>
      </c>
      <c r="AI297">
        <v>185</v>
      </c>
      <c r="AJ297">
        <v>21</v>
      </c>
      <c r="AK297">
        <v>598</v>
      </c>
      <c r="AL297">
        <v>1.1000000000000001</v>
      </c>
    </row>
    <row r="298" spans="1:38" x14ac:dyDescent="0.3">
      <c r="A298" t="s">
        <v>508</v>
      </c>
      <c r="B298">
        <v>141651</v>
      </c>
      <c r="C298">
        <v>3</v>
      </c>
      <c r="D298" t="s">
        <v>509</v>
      </c>
      <c r="E298" t="s">
        <v>510</v>
      </c>
      <c r="F298">
        <v>546</v>
      </c>
      <c r="G298">
        <v>24.62</v>
      </c>
      <c r="H298">
        <v>81.39</v>
      </c>
      <c r="I298">
        <v>18.11</v>
      </c>
      <c r="J298">
        <v>59.87</v>
      </c>
      <c r="K298">
        <v>76</v>
      </c>
      <c r="T298">
        <v>3</v>
      </c>
      <c r="U298">
        <v>2</v>
      </c>
      <c r="V298" t="s">
        <v>93</v>
      </c>
      <c r="W298" t="s">
        <v>517</v>
      </c>
      <c r="X298">
        <v>15</v>
      </c>
      <c r="Y298">
        <v>7</v>
      </c>
      <c r="Z298" t="s">
        <v>512</v>
      </c>
      <c r="AA298" t="s">
        <v>513</v>
      </c>
      <c r="AB298" t="s">
        <v>96</v>
      </c>
      <c r="AC298" t="s">
        <v>97</v>
      </c>
      <c r="AD298" t="s">
        <v>514</v>
      </c>
      <c r="AG298" t="s">
        <v>515</v>
      </c>
      <c r="AH298">
        <v>0</v>
      </c>
      <c r="AI298">
        <v>185</v>
      </c>
      <c r="AJ298">
        <v>21</v>
      </c>
      <c r="AK298">
        <v>598</v>
      </c>
      <c r="AL298">
        <v>1.1000000000000001</v>
      </c>
    </row>
    <row r="299" spans="1:38" x14ac:dyDescent="0.3">
      <c r="A299" t="s">
        <v>508</v>
      </c>
      <c r="B299">
        <v>141651</v>
      </c>
      <c r="C299">
        <v>4</v>
      </c>
      <c r="D299" t="s">
        <v>509</v>
      </c>
      <c r="E299" t="s">
        <v>510</v>
      </c>
      <c r="F299">
        <v>546</v>
      </c>
      <c r="G299">
        <v>32.229999999999997</v>
      </c>
      <c r="H299">
        <v>106.56</v>
      </c>
      <c r="I299">
        <v>25.67</v>
      </c>
      <c r="J299">
        <v>84.87</v>
      </c>
      <c r="K299">
        <v>28</v>
      </c>
      <c r="T299">
        <v>3</v>
      </c>
      <c r="U299">
        <v>2</v>
      </c>
      <c r="V299" t="s">
        <v>93</v>
      </c>
      <c r="W299" t="s">
        <v>518</v>
      </c>
      <c r="X299">
        <v>15</v>
      </c>
      <c r="Y299">
        <v>7</v>
      </c>
      <c r="Z299" t="s">
        <v>512</v>
      </c>
      <c r="AA299" t="s">
        <v>513</v>
      </c>
      <c r="AB299" t="s">
        <v>96</v>
      </c>
      <c r="AC299" t="s">
        <v>97</v>
      </c>
      <c r="AD299" t="s">
        <v>514</v>
      </c>
      <c r="AG299" t="s">
        <v>515</v>
      </c>
      <c r="AH299">
        <v>0</v>
      </c>
      <c r="AI299">
        <v>185</v>
      </c>
      <c r="AJ299">
        <v>21</v>
      </c>
      <c r="AK299">
        <v>598</v>
      </c>
      <c r="AL299">
        <v>1.1000000000000001</v>
      </c>
    </row>
    <row r="300" spans="1:38" x14ac:dyDescent="0.3">
      <c r="A300" t="s">
        <v>508</v>
      </c>
      <c r="B300">
        <v>141651</v>
      </c>
      <c r="C300">
        <v>5</v>
      </c>
      <c r="D300" t="s">
        <v>509</v>
      </c>
      <c r="E300" t="s">
        <v>510</v>
      </c>
      <c r="F300">
        <v>546</v>
      </c>
      <c r="G300">
        <v>32.479999999999997</v>
      </c>
      <c r="H300">
        <v>107.39</v>
      </c>
      <c r="I300">
        <v>25.7</v>
      </c>
      <c r="J300">
        <v>84.96</v>
      </c>
      <c r="K300">
        <v>116</v>
      </c>
      <c r="T300">
        <v>3</v>
      </c>
      <c r="U300">
        <v>2</v>
      </c>
      <c r="V300" t="s">
        <v>93</v>
      </c>
      <c r="W300" t="s">
        <v>519</v>
      </c>
      <c r="X300">
        <v>15</v>
      </c>
      <c r="Y300">
        <v>7</v>
      </c>
      <c r="Z300" t="s">
        <v>512</v>
      </c>
      <c r="AA300" t="s">
        <v>513</v>
      </c>
      <c r="AB300" t="s">
        <v>96</v>
      </c>
      <c r="AC300" t="s">
        <v>97</v>
      </c>
      <c r="AD300" t="s">
        <v>514</v>
      </c>
      <c r="AG300" t="s">
        <v>515</v>
      </c>
      <c r="AH300">
        <v>0</v>
      </c>
      <c r="AI300">
        <v>185</v>
      </c>
      <c r="AJ300">
        <v>21</v>
      </c>
      <c r="AK300">
        <v>598</v>
      </c>
      <c r="AL300">
        <v>1.1000000000000001</v>
      </c>
    </row>
    <row r="301" spans="1:38" x14ac:dyDescent="0.3">
      <c r="A301" t="s">
        <v>508</v>
      </c>
      <c r="B301">
        <v>141651</v>
      </c>
      <c r="C301">
        <v>6</v>
      </c>
      <c r="D301" t="s">
        <v>509</v>
      </c>
      <c r="E301" t="s">
        <v>510</v>
      </c>
      <c r="F301">
        <v>546</v>
      </c>
      <c r="G301">
        <v>32.6</v>
      </c>
      <c r="H301">
        <v>107.77</v>
      </c>
      <c r="I301">
        <v>25.69</v>
      </c>
      <c r="J301">
        <v>84.94</v>
      </c>
      <c r="K301">
        <v>41</v>
      </c>
      <c r="T301">
        <v>3</v>
      </c>
      <c r="U301">
        <v>2</v>
      </c>
      <c r="V301" t="s">
        <v>93</v>
      </c>
      <c r="W301" t="s">
        <v>520</v>
      </c>
      <c r="X301">
        <v>15</v>
      </c>
      <c r="Y301">
        <v>7</v>
      </c>
      <c r="Z301" t="s">
        <v>512</v>
      </c>
      <c r="AA301" t="s">
        <v>513</v>
      </c>
      <c r="AB301" t="s">
        <v>96</v>
      </c>
      <c r="AC301" t="s">
        <v>97</v>
      </c>
      <c r="AD301" t="s">
        <v>514</v>
      </c>
      <c r="AG301" t="s">
        <v>515</v>
      </c>
      <c r="AH301">
        <v>0</v>
      </c>
      <c r="AI301">
        <v>185</v>
      </c>
      <c r="AJ301">
        <v>21</v>
      </c>
      <c r="AK301">
        <v>598</v>
      </c>
      <c r="AL301">
        <v>1.1000000000000001</v>
      </c>
    </row>
    <row r="302" spans="1:38" x14ac:dyDescent="0.3">
      <c r="A302" t="s">
        <v>508</v>
      </c>
      <c r="B302">
        <v>8535</v>
      </c>
      <c r="C302">
        <v>1</v>
      </c>
      <c r="D302" t="s">
        <v>521</v>
      </c>
      <c r="E302" t="s">
        <v>205</v>
      </c>
      <c r="F302">
        <v>200</v>
      </c>
      <c r="G302">
        <v>19.010000000000002</v>
      </c>
      <c r="H302">
        <v>62.87</v>
      </c>
      <c r="I302">
        <v>14.53</v>
      </c>
      <c r="J302">
        <v>48.04</v>
      </c>
      <c r="K302">
        <v>120</v>
      </c>
      <c r="T302">
        <v>3</v>
      </c>
      <c r="U302">
        <v>1</v>
      </c>
      <c r="V302" t="s">
        <v>93</v>
      </c>
      <c r="W302" t="s">
        <v>522</v>
      </c>
      <c r="X302">
        <v>5</v>
      </c>
      <c r="Y302">
        <v>5</v>
      </c>
      <c r="Z302" t="s">
        <v>523</v>
      </c>
      <c r="AA302" t="s">
        <v>524</v>
      </c>
      <c r="AB302" t="s">
        <v>96</v>
      </c>
      <c r="AC302" t="s">
        <v>97</v>
      </c>
      <c r="AD302" t="s">
        <v>514</v>
      </c>
      <c r="AG302" t="s">
        <v>525</v>
      </c>
      <c r="AH302">
        <v>0</v>
      </c>
      <c r="AI302">
        <v>124</v>
      </c>
      <c r="AJ302">
        <v>27</v>
      </c>
      <c r="AK302">
        <v>0</v>
      </c>
      <c r="AL302">
        <v>0</v>
      </c>
    </row>
    <row r="303" spans="1:38" x14ac:dyDescent="0.3">
      <c r="A303" t="s">
        <v>508</v>
      </c>
      <c r="B303">
        <v>8535</v>
      </c>
      <c r="C303">
        <v>2</v>
      </c>
      <c r="D303" t="s">
        <v>521</v>
      </c>
      <c r="E303" t="s">
        <v>205</v>
      </c>
      <c r="F303">
        <v>200</v>
      </c>
      <c r="G303">
        <v>18.88</v>
      </c>
      <c r="H303">
        <v>62.44</v>
      </c>
      <c r="I303">
        <v>14.42</v>
      </c>
      <c r="J303">
        <v>47.67</v>
      </c>
      <c r="K303">
        <v>80</v>
      </c>
      <c r="T303">
        <v>3</v>
      </c>
      <c r="U303">
        <v>1</v>
      </c>
      <c r="V303" t="s">
        <v>93</v>
      </c>
      <c r="W303" t="s">
        <v>285</v>
      </c>
      <c r="X303">
        <v>5</v>
      </c>
      <c r="Y303">
        <v>5</v>
      </c>
      <c r="Z303" t="s">
        <v>523</v>
      </c>
      <c r="AA303" t="s">
        <v>524</v>
      </c>
      <c r="AB303" t="s">
        <v>96</v>
      </c>
      <c r="AC303" t="s">
        <v>97</v>
      </c>
      <c r="AD303" t="s">
        <v>514</v>
      </c>
      <c r="AG303" t="s">
        <v>525</v>
      </c>
      <c r="AH303">
        <v>0</v>
      </c>
      <c r="AI303">
        <v>124</v>
      </c>
      <c r="AJ303">
        <v>27</v>
      </c>
      <c r="AK303">
        <v>0</v>
      </c>
      <c r="AL303">
        <v>0</v>
      </c>
    </row>
    <row r="304" spans="1:38" x14ac:dyDescent="0.3">
      <c r="A304" t="s">
        <v>508</v>
      </c>
      <c r="B304">
        <v>8520</v>
      </c>
      <c r="C304">
        <v>1</v>
      </c>
      <c r="D304" t="s">
        <v>526</v>
      </c>
      <c r="E304" t="s">
        <v>527</v>
      </c>
      <c r="F304">
        <v>480</v>
      </c>
      <c r="G304">
        <v>22.94</v>
      </c>
      <c r="H304">
        <v>75.86</v>
      </c>
      <c r="I304">
        <v>18.13</v>
      </c>
      <c r="J304">
        <v>59.95</v>
      </c>
      <c r="K304">
        <v>204</v>
      </c>
      <c r="T304">
        <v>3</v>
      </c>
      <c r="U304">
        <v>1</v>
      </c>
      <c r="V304" t="s">
        <v>93</v>
      </c>
      <c r="W304">
        <v>75</v>
      </c>
      <c r="X304">
        <v>6</v>
      </c>
      <c r="Y304">
        <v>6</v>
      </c>
      <c r="Z304" t="s">
        <v>528</v>
      </c>
      <c r="AA304" t="s">
        <v>529</v>
      </c>
      <c r="AB304" t="s">
        <v>96</v>
      </c>
      <c r="AC304" t="s">
        <v>97</v>
      </c>
      <c r="AD304" t="s">
        <v>514</v>
      </c>
      <c r="AG304" t="s">
        <v>530</v>
      </c>
      <c r="AH304">
        <v>0</v>
      </c>
      <c r="AI304">
        <v>187</v>
      </c>
      <c r="AJ304">
        <v>31</v>
      </c>
      <c r="AK304">
        <v>158</v>
      </c>
      <c r="AL304">
        <v>0.33</v>
      </c>
    </row>
    <row r="305" spans="1:38" x14ac:dyDescent="0.3">
      <c r="A305" t="s">
        <v>508</v>
      </c>
      <c r="B305">
        <v>8520</v>
      </c>
      <c r="C305">
        <v>2</v>
      </c>
      <c r="D305" t="s">
        <v>526</v>
      </c>
      <c r="E305" t="s">
        <v>527</v>
      </c>
      <c r="F305">
        <v>480</v>
      </c>
      <c r="G305">
        <v>24.16</v>
      </c>
      <c r="H305">
        <v>79.89</v>
      </c>
      <c r="I305">
        <v>19.16</v>
      </c>
      <c r="J305">
        <v>63.36</v>
      </c>
      <c r="K305">
        <v>240</v>
      </c>
      <c r="T305">
        <v>3</v>
      </c>
      <c r="U305">
        <v>1</v>
      </c>
      <c r="V305" t="s">
        <v>93</v>
      </c>
      <c r="W305">
        <v>79</v>
      </c>
      <c r="X305">
        <v>6</v>
      </c>
      <c r="Y305">
        <v>6</v>
      </c>
      <c r="Z305" t="s">
        <v>528</v>
      </c>
      <c r="AA305" t="s">
        <v>529</v>
      </c>
      <c r="AB305" t="s">
        <v>96</v>
      </c>
      <c r="AC305" t="s">
        <v>97</v>
      </c>
      <c r="AD305" t="s">
        <v>514</v>
      </c>
      <c r="AG305" t="s">
        <v>530</v>
      </c>
      <c r="AH305">
        <v>0</v>
      </c>
      <c r="AI305">
        <v>187</v>
      </c>
      <c r="AJ305">
        <v>31</v>
      </c>
      <c r="AK305">
        <v>158</v>
      </c>
      <c r="AL305">
        <v>0.33</v>
      </c>
    </row>
    <row r="306" spans="1:38" x14ac:dyDescent="0.3">
      <c r="A306" t="s">
        <v>508</v>
      </c>
      <c r="B306">
        <v>8520</v>
      </c>
      <c r="C306">
        <v>3</v>
      </c>
      <c r="D306" t="s">
        <v>526</v>
      </c>
      <c r="E306" t="s">
        <v>527</v>
      </c>
      <c r="F306">
        <v>480</v>
      </c>
      <c r="G306">
        <v>25.34</v>
      </c>
      <c r="H306">
        <v>83.8</v>
      </c>
      <c r="I306">
        <v>20.190000000000001</v>
      </c>
      <c r="J306">
        <v>66.75</v>
      </c>
      <c r="K306">
        <v>36</v>
      </c>
      <c r="T306">
        <v>3</v>
      </c>
      <c r="U306">
        <v>1</v>
      </c>
      <c r="V306" t="s">
        <v>93</v>
      </c>
      <c r="W306">
        <v>83</v>
      </c>
      <c r="X306">
        <v>6</v>
      </c>
      <c r="Y306">
        <v>6</v>
      </c>
      <c r="Z306" t="s">
        <v>528</v>
      </c>
      <c r="AA306" t="s">
        <v>529</v>
      </c>
      <c r="AB306" t="s">
        <v>96</v>
      </c>
      <c r="AC306" t="s">
        <v>97</v>
      </c>
      <c r="AD306" t="s">
        <v>514</v>
      </c>
      <c r="AG306" t="s">
        <v>530</v>
      </c>
      <c r="AH306">
        <v>0</v>
      </c>
      <c r="AI306">
        <v>187</v>
      </c>
      <c r="AJ306">
        <v>31</v>
      </c>
      <c r="AK306">
        <v>158</v>
      </c>
      <c r="AL306">
        <v>0.33</v>
      </c>
    </row>
    <row r="307" spans="1:38" x14ac:dyDescent="0.3">
      <c r="A307" t="s">
        <v>508</v>
      </c>
      <c r="B307">
        <v>22825</v>
      </c>
      <c r="C307">
        <v>1</v>
      </c>
      <c r="D307" t="s">
        <v>531</v>
      </c>
      <c r="E307" t="s">
        <v>532</v>
      </c>
      <c r="F307">
        <v>187</v>
      </c>
      <c r="G307">
        <v>25.92</v>
      </c>
      <c r="H307">
        <v>85.71</v>
      </c>
      <c r="I307">
        <v>18.12</v>
      </c>
      <c r="J307">
        <v>59.93</v>
      </c>
      <c r="K307">
        <v>84</v>
      </c>
      <c r="T307">
        <v>3</v>
      </c>
      <c r="U307">
        <v>2</v>
      </c>
      <c r="V307" t="s">
        <v>93</v>
      </c>
      <c r="W307">
        <v>85</v>
      </c>
      <c r="X307">
        <v>15</v>
      </c>
      <c r="Y307">
        <v>9</v>
      </c>
      <c r="Z307" t="s">
        <v>533</v>
      </c>
      <c r="AA307" t="s">
        <v>534</v>
      </c>
      <c r="AB307" t="s">
        <v>96</v>
      </c>
      <c r="AC307" t="s">
        <v>97</v>
      </c>
      <c r="AD307" t="s">
        <v>514</v>
      </c>
      <c r="AG307" t="s">
        <v>535</v>
      </c>
      <c r="AH307">
        <v>0</v>
      </c>
      <c r="AI307">
        <v>220</v>
      </c>
      <c r="AJ307">
        <v>25</v>
      </c>
      <c r="AK307">
        <v>190</v>
      </c>
      <c r="AL307">
        <v>1.02</v>
      </c>
    </row>
    <row r="308" spans="1:38" x14ac:dyDescent="0.3">
      <c r="A308" t="s">
        <v>508</v>
      </c>
      <c r="B308">
        <v>22825</v>
      </c>
      <c r="C308">
        <v>2</v>
      </c>
      <c r="D308" t="s">
        <v>531</v>
      </c>
      <c r="E308" t="s">
        <v>532</v>
      </c>
      <c r="F308">
        <v>187</v>
      </c>
      <c r="G308">
        <v>29.79</v>
      </c>
      <c r="H308">
        <v>98.49</v>
      </c>
      <c r="I308">
        <v>21.8</v>
      </c>
      <c r="J308">
        <v>72.09</v>
      </c>
      <c r="K308">
        <v>15</v>
      </c>
      <c r="T308">
        <v>3</v>
      </c>
      <c r="U308">
        <v>2</v>
      </c>
      <c r="V308" t="s">
        <v>93</v>
      </c>
      <c r="W308">
        <v>98</v>
      </c>
      <c r="X308">
        <v>15</v>
      </c>
      <c r="Y308">
        <v>9</v>
      </c>
      <c r="Z308" t="s">
        <v>533</v>
      </c>
      <c r="AA308" t="s">
        <v>534</v>
      </c>
      <c r="AB308" t="s">
        <v>96</v>
      </c>
      <c r="AC308" t="s">
        <v>97</v>
      </c>
      <c r="AD308" t="s">
        <v>514</v>
      </c>
      <c r="AG308" t="s">
        <v>535</v>
      </c>
      <c r="AH308">
        <v>0</v>
      </c>
      <c r="AI308">
        <v>220</v>
      </c>
      <c r="AJ308">
        <v>25</v>
      </c>
      <c r="AK308">
        <v>190</v>
      </c>
      <c r="AL308">
        <v>1.02</v>
      </c>
    </row>
    <row r="309" spans="1:38" x14ac:dyDescent="0.3">
      <c r="A309" t="s">
        <v>508</v>
      </c>
      <c r="B309">
        <v>22825</v>
      </c>
      <c r="C309">
        <v>3</v>
      </c>
      <c r="D309" t="s">
        <v>531</v>
      </c>
      <c r="E309" t="s">
        <v>532</v>
      </c>
      <c r="F309">
        <v>187</v>
      </c>
      <c r="G309">
        <v>33.29</v>
      </c>
      <c r="H309">
        <v>110.05</v>
      </c>
      <c r="I309">
        <v>25.66</v>
      </c>
      <c r="J309">
        <v>84.84</v>
      </c>
      <c r="K309">
        <v>88</v>
      </c>
      <c r="T309">
        <v>3</v>
      </c>
      <c r="U309">
        <v>2</v>
      </c>
      <c r="V309" t="s">
        <v>93</v>
      </c>
      <c r="W309">
        <v>110</v>
      </c>
      <c r="X309">
        <v>15</v>
      </c>
      <c r="Y309">
        <v>9</v>
      </c>
      <c r="Z309" t="s">
        <v>533</v>
      </c>
      <c r="AA309" t="s">
        <v>534</v>
      </c>
      <c r="AB309" t="s">
        <v>96</v>
      </c>
      <c r="AC309" t="s">
        <v>97</v>
      </c>
      <c r="AD309" t="s">
        <v>514</v>
      </c>
      <c r="AG309" t="s">
        <v>535</v>
      </c>
      <c r="AH309">
        <v>0</v>
      </c>
      <c r="AI309">
        <v>220</v>
      </c>
      <c r="AJ309">
        <v>25</v>
      </c>
      <c r="AK309">
        <v>190</v>
      </c>
      <c r="AL309">
        <v>1.02</v>
      </c>
    </row>
    <row r="310" spans="1:38" x14ac:dyDescent="0.3">
      <c r="A310" t="s">
        <v>536</v>
      </c>
      <c r="B310">
        <v>8251</v>
      </c>
      <c r="C310">
        <v>1</v>
      </c>
      <c r="D310" t="s">
        <v>537</v>
      </c>
      <c r="E310" t="s">
        <v>538</v>
      </c>
      <c r="F310">
        <v>1261</v>
      </c>
      <c r="G310">
        <v>12.03</v>
      </c>
      <c r="H310">
        <v>39.78</v>
      </c>
      <c r="I310">
        <v>7.86</v>
      </c>
      <c r="J310">
        <v>26.01</v>
      </c>
      <c r="K310">
        <v>519</v>
      </c>
      <c r="T310">
        <v>1</v>
      </c>
      <c r="U310">
        <v>1</v>
      </c>
      <c r="V310" t="s">
        <v>93</v>
      </c>
      <c r="W310">
        <v>39</v>
      </c>
      <c r="X310">
        <v>18</v>
      </c>
      <c r="Y310">
        <v>15</v>
      </c>
      <c r="Z310" t="s">
        <v>539</v>
      </c>
      <c r="AA310" t="s">
        <v>540</v>
      </c>
      <c r="AB310" t="s">
        <v>96</v>
      </c>
      <c r="AC310" t="s">
        <v>97</v>
      </c>
      <c r="AD310" t="s">
        <v>541</v>
      </c>
      <c r="AG310" t="s">
        <v>542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38" x14ac:dyDescent="0.3">
      <c r="A311" t="s">
        <v>536</v>
      </c>
      <c r="B311">
        <v>8251</v>
      </c>
      <c r="C311">
        <v>2</v>
      </c>
      <c r="D311" t="s">
        <v>537</v>
      </c>
      <c r="E311" t="s">
        <v>538</v>
      </c>
      <c r="F311">
        <v>1261</v>
      </c>
      <c r="G311">
        <v>24.56</v>
      </c>
      <c r="H311">
        <v>81.209999999999994</v>
      </c>
      <c r="I311">
        <v>18.079999999999998</v>
      </c>
      <c r="J311">
        <v>59.79</v>
      </c>
      <c r="K311">
        <v>742</v>
      </c>
      <c r="T311">
        <v>2</v>
      </c>
      <c r="U311">
        <v>2</v>
      </c>
      <c r="V311" t="s">
        <v>93</v>
      </c>
      <c r="W311">
        <v>81</v>
      </c>
      <c r="X311">
        <v>18</v>
      </c>
      <c r="Y311">
        <v>15</v>
      </c>
      <c r="Z311" t="s">
        <v>539</v>
      </c>
      <c r="AA311" t="s">
        <v>540</v>
      </c>
      <c r="AB311" t="s">
        <v>96</v>
      </c>
      <c r="AC311" t="s">
        <v>97</v>
      </c>
      <c r="AD311" t="s">
        <v>541</v>
      </c>
      <c r="AG311" t="s">
        <v>542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536</v>
      </c>
      <c r="B312">
        <v>8253</v>
      </c>
      <c r="C312">
        <v>1</v>
      </c>
      <c r="D312" t="s">
        <v>543</v>
      </c>
      <c r="E312" t="s">
        <v>544</v>
      </c>
      <c r="F312">
        <v>204</v>
      </c>
      <c r="G312">
        <v>15.91</v>
      </c>
      <c r="H312">
        <v>52.62</v>
      </c>
      <c r="I312">
        <v>12.07</v>
      </c>
      <c r="J312">
        <v>39.909999999999997</v>
      </c>
      <c r="K312">
        <v>132</v>
      </c>
      <c r="T312">
        <v>2</v>
      </c>
      <c r="U312">
        <v>1</v>
      </c>
      <c r="V312" t="s">
        <v>93</v>
      </c>
      <c r="W312">
        <v>52</v>
      </c>
      <c r="X312">
        <v>6</v>
      </c>
      <c r="Y312">
        <v>6</v>
      </c>
      <c r="Z312" t="s">
        <v>545</v>
      </c>
      <c r="AA312" t="s">
        <v>546</v>
      </c>
      <c r="AB312" t="s">
        <v>96</v>
      </c>
      <c r="AC312" t="s">
        <v>97</v>
      </c>
      <c r="AD312" t="s">
        <v>541</v>
      </c>
      <c r="AG312" t="s">
        <v>547</v>
      </c>
      <c r="AH312">
        <v>0</v>
      </c>
      <c r="AI312">
        <v>171</v>
      </c>
      <c r="AJ312">
        <v>30</v>
      </c>
      <c r="AK312">
        <v>48</v>
      </c>
      <c r="AL312">
        <v>0.24</v>
      </c>
    </row>
    <row r="313" spans="1:38" x14ac:dyDescent="0.3">
      <c r="A313" t="s">
        <v>536</v>
      </c>
      <c r="B313">
        <v>8253</v>
      </c>
      <c r="C313">
        <v>2</v>
      </c>
      <c r="D313" t="s">
        <v>543</v>
      </c>
      <c r="E313" t="s">
        <v>544</v>
      </c>
      <c r="F313">
        <v>204</v>
      </c>
      <c r="G313">
        <v>18.73</v>
      </c>
      <c r="H313">
        <v>61.95</v>
      </c>
      <c r="I313">
        <v>14.45</v>
      </c>
      <c r="J313">
        <v>47.79</v>
      </c>
      <c r="K313">
        <v>72</v>
      </c>
      <c r="T313">
        <v>3</v>
      </c>
      <c r="U313">
        <v>1</v>
      </c>
      <c r="V313" t="s">
        <v>93</v>
      </c>
      <c r="W313">
        <v>61</v>
      </c>
      <c r="X313">
        <v>6</v>
      </c>
      <c r="Y313">
        <v>6</v>
      </c>
      <c r="Z313" t="s">
        <v>545</v>
      </c>
      <c r="AA313" t="s">
        <v>546</v>
      </c>
      <c r="AB313" t="s">
        <v>96</v>
      </c>
      <c r="AC313" t="s">
        <v>97</v>
      </c>
      <c r="AD313" t="s">
        <v>541</v>
      </c>
      <c r="AG313" t="s">
        <v>547</v>
      </c>
      <c r="AH313">
        <v>0</v>
      </c>
      <c r="AI313">
        <v>171</v>
      </c>
      <c r="AJ313">
        <v>30</v>
      </c>
      <c r="AK313">
        <v>48</v>
      </c>
      <c r="AL313">
        <v>0.24</v>
      </c>
    </row>
    <row r="314" spans="1:38" x14ac:dyDescent="0.3">
      <c r="A314" t="s">
        <v>536</v>
      </c>
      <c r="B314">
        <v>8259</v>
      </c>
      <c r="C314">
        <v>1</v>
      </c>
      <c r="D314" t="s">
        <v>548</v>
      </c>
      <c r="E314" t="s">
        <v>538</v>
      </c>
      <c r="F314">
        <v>1047</v>
      </c>
      <c r="G314">
        <v>12.03</v>
      </c>
      <c r="H314">
        <v>39.78</v>
      </c>
      <c r="I314">
        <v>7.86</v>
      </c>
      <c r="J314">
        <v>26.01</v>
      </c>
      <c r="K314">
        <v>347</v>
      </c>
      <c r="T314">
        <v>1</v>
      </c>
      <c r="U314">
        <v>1</v>
      </c>
      <c r="V314" t="s">
        <v>138</v>
      </c>
      <c r="W314">
        <v>39</v>
      </c>
      <c r="X314">
        <v>16</v>
      </c>
      <c r="Y314">
        <v>12</v>
      </c>
      <c r="Z314" t="s">
        <v>549</v>
      </c>
      <c r="AA314" t="s">
        <v>540</v>
      </c>
      <c r="AB314" t="s">
        <v>96</v>
      </c>
      <c r="AC314" t="s">
        <v>97</v>
      </c>
      <c r="AD314" t="s">
        <v>541</v>
      </c>
      <c r="AG314" t="s">
        <v>542</v>
      </c>
      <c r="AH314">
        <v>0</v>
      </c>
      <c r="AI314">
        <v>237</v>
      </c>
      <c r="AJ314">
        <v>22</v>
      </c>
      <c r="AK314">
        <v>2313</v>
      </c>
      <c r="AL314">
        <v>2.21</v>
      </c>
    </row>
    <row r="315" spans="1:38" x14ac:dyDescent="0.3">
      <c r="A315" t="s">
        <v>536</v>
      </c>
      <c r="B315">
        <v>8259</v>
      </c>
      <c r="C315">
        <v>2</v>
      </c>
      <c r="D315" t="s">
        <v>548</v>
      </c>
      <c r="E315" t="s">
        <v>538</v>
      </c>
      <c r="F315">
        <v>1047</v>
      </c>
      <c r="G315">
        <v>24.62</v>
      </c>
      <c r="H315">
        <v>81.41</v>
      </c>
      <c r="I315">
        <v>18.13</v>
      </c>
      <c r="J315">
        <v>59.94</v>
      </c>
      <c r="K315">
        <v>700</v>
      </c>
      <c r="T315">
        <v>3</v>
      </c>
      <c r="U315">
        <v>2</v>
      </c>
      <c r="V315" t="s">
        <v>93</v>
      </c>
      <c r="W315">
        <v>81</v>
      </c>
      <c r="X315">
        <v>16</v>
      </c>
      <c r="Y315">
        <v>12</v>
      </c>
      <c r="Z315" t="s">
        <v>549</v>
      </c>
      <c r="AA315" t="s">
        <v>540</v>
      </c>
      <c r="AB315" t="s">
        <v>96</v>
      </c>
      <c r="AC315" t="s">
        <v>97</v>
      </c>
      <c r="AD315" t="s">
        <v>541</v>
      </c>
      <c r="AG315" t="s">
        <v>542</v>
      </c>
      <c r="AH315">
        <v>0</v>
      </c>
      <c r="AI315">
        <v>237</v>
      </c>
      <c r="AJ315">
        <v>22</v>
      </c>
      <c r="AK315">
        <v>2313</v>
      </c>
      <c r="AL315">
        <v>2.21</v>
      </c>
    </row>
    <row r="316" spans="1:38" x14ac:dyDescent="0.3">
      <c r="A316" t="s">
        <v>536</v>
      </c>
      <c r="B316">
        <v>8256</v>
      </c>
      <c r="C316">
        <v>1</v>
      </c>
      <c r="D316" t="s">
        <v>550</v>
      </c>
      <c r="E316" t="s">
        <v>551</v>
      </c>
      <c r="F316">
        <v>688</v>
      </c>
      <c r="G316">
        <v>14.9</v>
      </c>
      <c r="H316">
        <v>49.26</v>
      </c>
      <c r="I316">
        <v>10.41</v>
      </c>
      <c r="J316">
        <v>34.44</v>
      </c>
      <c r="K316">
        <v>176</v>
      </c>
      <c r="T316">
        <v>2</v>
      </c>
      <c r="U316">
        <v>1</v>
      </c>
      <c r="V316" t="s">
        <v>138</v>
      </c>
      <c r="W316" t="s">
        <v>552</v>
      </c>
      <c r="X316">
        <v>16</v>
      </c>
      <c r="Y316">
        <v>16</v>
      </c>
      <c r="Z316" t="s">
        <v>553</v>
      </c>
      <c r="AA316" t="s">
        <v>554</v>
      </c>
      <c r="AB316" t="s">
        <v>96</v>
      </c>
      <c r="AC316" t="s">
        <v>97</v>
      </c>
      <c r="AD316" t="s">
        <v>541</v>
      </c>
      <c r="AG316" t="s">
        <v>555</v>
      </c>
      <c r="AH316">
        <v>0</v>
      </c>
      <c r="AI316">
        <v>247</v>
      </c>
      <c r="AJ316">
        <v>18</v>
      </c>
      <c r="AK316">
        <v>551</v>
      </c>
      <c r="AL316">
        <v>0.8</v>
      </c>
    </row>
    <row r="317" spans="1:38" x14ac:dyDescent="0.3">
      <c r="A317" t="s">
        <v>536</v>
      </c>
      <c r="B317">
        <v>8256</v>
      </c>
      <c r="C317">
        <v>2</v>
      </c>
      <c r="D317" t="s">
        <v>550</v>
      </c>
      <c r="E317" t="s">
        <v>551</v>
      </c>
      <c r="F317">
        <v>688</v>
      </c>
      <c r="G317">
        <v>14.9</v>
      </c>
      <c r="H317">
        <v>49.26</v>
      </c>
      <c r="I317">
        <v>10.41</v>
      </c>
      <c r="J317">
        <v>34.44</v>
      </c>
      <c r="K317">
        <v>64</v>
      </c>
      <c r="T317">
        <v>2</v>
      </c>
      <c r="U317">
        <v>1</v>
      </c>
      <c r="V317" t="s">
        <v>138</v>
      </c>
      <c r="W317" t="s">
        <v>556</v>
      </c>
      <c r="X317">
        <v>16</v>
      </c>
      <c r="Y317">
        <v>16</v>
      </c>
      <c r="Z317" t="s">
        <v>553</v>
      </c>
      <c r="AA317" t="s">
        <v>554</v>
      </c>
      <c r="AB317" t="s">
        <v>96</v>
      </c>
      <c r="AC317" t="s">
        <v>97</v>
      </c>
      <c r="AD317" t="s">
        <v>541</v>
      </c>
      <c r="AG317" t="s">
        <v>555</v>
      </c>
      <c r="AH317">
        <v>0</v>
      </c>
      <c r="AI317">
        <v>247</v>
      </c>
      <c r="AJ317">
        <v>18</v>
      </c>
      <c r="AK317">
        <v>551</v>
      </c>
      <c r="AL317">
        <v>0.8</v>
      </c>
    </row>
    <row r="318" spans="1:38" x14ac:dyDescent="0.3">
      <c r="A318" t="s">
        <v>536</v>
      </c>
      <c r="B318">
        <v>8256</v>
      </c>
      <c r="C318">
        <v>3</v>
      </c>
      <c r="D318" t="s">
        <v>550</v>
      </c>
      <c r="E318" t="s">
        <v>551</v>
      </c>
      <c r="F318">
        <v>688</v>
      </c>
      <c r="G318">
        <v>24.52</v>
      </c>
      <c r="H318">
        <v>81.09</v>
      </c>
      <c r="I318">
        <v>18.13</v>
      </c>
      <c r="J318">
        <v>59.94</v>
      </c>
      <c r="K318">
        <v>448</v>
      </c>
      <c r="T318">
        <v>3</v>
      </c>
      <c r="U318">
        <v>1</v>
      </c>
      <c r="V318" t="s">
        <v>93</v>
      </c>
      <c r="W318">
        <v>81</v>
      </c>
      <c r="X318">
        <v>16</v>
      </c>
      <c r="Y318">
        <v>16</v>
      </c>
      <c r="Z318" t="s">
        <v>553</v>
      </c>
      <c r="AA318" t="s">
        <v>554</v>
      </c>
      <c r="AB318" t="s">
        <v>96</v>
      </c>
      <c r="AC318" t="s">
        <v>97</v>
      </c>
      <c r="AD318" t="s">
        <v>541</v>
      </c>
      <c r="AG318" t="s">
        <v>555</v>
      </c>
      <c r="AH318">
        <v>0</v>
      </c>
      <c r="AI318">
        <v>247</v>
      </c>
      <c r="AJ318">
        <v>18</v>
      </c>
      <c r="AK318">
        <v>551</v>
      </c>
      <c r="AL318">
        <v>0.8</v>
      </c>
    </row>
    <row r="319" spans="1:38" x14ac:dyDescent="0.3">
      <c r="A319" t="s">
        <v>536</v>
      </c>
      <c r="B319">
        <v>8252</v>
      </c>
      <c r="C319">
        <v>1</v>
      </c>
      <c r="D319" t="s">
        <v>557</v>
      </c>
      <c r="E319" t="s">
        <v>558</v>
      </c>
      <c r="F319">
        <v>258</v>
      </c>
      <c r="G319">
        <v>15.05</v>
      </c>
      <c r="H319">
        <v>49.78</v>
      </c>
      <c r="I319">
        <v>12.56</v>
      </c>
      <c r="J319">
        <v>41.55</v>
      </c>
      <c r="K319">
        <v>96</v>
      </c>
      <c r="T319">
        <v>2</v>
      </c>
      <c r="U319">
        <v>1</v>
      </c>
      <c r="V319" t="s">
        <v>93</v>
      </c>
      <c r="W319">
        <v>49</v>
      </c>
      <c r="X319">
        <v>6</v>
      </c>
      <c r="Y319">
        <v>6</v>
      </c>
      <c r="Z319" t="s">
        <v>559</v>
      </c>
      <c r="AA319" t="s">
        <v>560</v>
      </c>
      <c r="AB319" t="s">
        <v>96</v>
      </c>
      <c r="AC319" t="s">
        <v>97</v>
      </c>
      <c r="AD319" t="s">
        <v>541</v>
      </c>
      <c r="AG319" t="s">
        <v>561</v>
      </c>
      <c r="AH319">
        <v>0</v>
      </c>
      <c r="AI319">
        <v>176</v>
      </c>
      <c r="AJ319">
        <v>33</v>
      </c>
      <c r="AK319">
        <v>54</v>
      </c>
      <c r="AL319">
        <v>0.21</v>
      </c>
    </row>
    <row r="320" spans="1:38" x14ac:dyDescent="0.3">
      <c r="A320" t="s">
        <v>536</v>
      </c>
      <c r="B320">
        <v>8252</v>
      </c>
      <c r="C320">
        <v>2</v>
      </c>
      <c r="D320" t="s">
        <v>557</v>
      </c>
      <c r="E320" t="s">
        <v>558</v>
      </c>
      <c r="F320">
        <v>258</v>
      </c>
      <c r="G320">
        <v>18.73</v>
      </c>
      <c r="H320">
        <v>61.95</v>
      </c>
      <c r="I320">
        <v>14.59</v>
      </c>
      <c r="J320">
        <v>48.24</v>
      </c>
      <c r="K320">
        <v>156</v>
      </c>
      <c r="T320">
        <v>3</v>
      </c>
      <c r="U320">
        <v>1</v>
      </c>
      <c r="V320" t="s">
        <v>93</v>
      </c>
      <c r="W320">
        <v>61</v>
      </c>
      <c r="X320">
        <v>6</v>
      </c>
      <c r="Y320">
        <v>6</v>
      </c>
      <c r="Z320" t="s">
        <v>559</v>
      </c>
      <c r="AA320" t="s">
        <v>560</v>
      </c>
      <c r="AB320" t="s">
        <v>96</v>
      </c>
      <c r="AC320" t="s">
        <v>97</v>
      </c>
      <c r="AD320" t="s">
        <v>541</v>
      </c>
      <c r="AG320" t="s">
        <v>561</v>
      </c>
      <c r="AH320">
        <v>0</v>
      </c>
      <c r="AI320">
        <v>176</v>
      </c>
      <c r="AJ320">
        <v>33</v>
      </c>
      <c r="AK320">
        <v>54</v>
      </c>
      <c r="AL320">
        <v>0.21</v>
      </c>
    </row>
    <row r="321" spans="1:38" x14ac:dyDescent="0.3">
      <c r="A321" t="s">
        <v>536</v>
      </c>
      <c r="B321">
        <v>8252</v>
      </c>
      <c r="C321">
        <v>3</v>
      </c>
      <c r="D321" t="s">
        <v>557</v>
      </c>
      <c r="E321" t="s">
        <v>558</v>
      </c>
      <c r="F321">
        <v>258</v>
      </c>
      <c r="G321">
        <v>25.71</v>
      </c>
      <c r="H321">
        <v>85</v>
      </c>
      <c r="I321">
        <v>19.11</v>
      </c>
      <c r="J321">
        <v>63.18</v>
      </c>
      <c r="K321">
        <v>6</v>
      </c>
      <c r="T321">
        <v>3</v>
      </c>
      <c r="U321">
        <v>1</v>
      </c>
      <c r="V321" t="s">
        <v>93</v>
      </c>
      <c r="W321">
        <v>85</v>
      </c>
      <c r="X321">
        <v>6</v>
      </c>
      <c r="Y321">
        <v>6</v>
      </c>
      <c r="Z321" t="s">
        <v>559</v>
      </c>
      <c r="AA321" t="s">
        <v>560</v>
      </c>
      <c r="AB321" t="s">
        <v>96</v>
      </c>
      <c r="AC321" t="s">
        <v>97</v>
      </c>
      <c r="AD321" t="s">
        <v>541</v>
      </c>
      <c r="AG321" t="s">
        <v>561</v>
      </c>
      <c r="AH321">
        <v>0</v>
      </c>
      <c r="AI321">
        <v>176</v>
      </c>
      <c r="AJ321">
        <v>33</v>
      </c>
      <c r="AK321">
        <v>54</v>
      </c>
      <c r="AL321">
        <v>0.21</v>
      </c>
    </row>
    <row r="322" spans="1:38" x14ac:dyDescent="0.3">
      <c r="A322" t="s">
        <v>536</v>
      </c>
      <c r="B322">
        <v>140482</v>
      </c>
      <c r="C322">
        <v>1</v>
      </c>
      <c r="D322" t="s">
        <v>562</v>
      </c>
      <c r="E322" t="s">
        <v>563</v>
      </c>
      <c r="F322">
        <v>14</v>
      </c>
      <c r="G322">
        <v>23.71</v>
      </c>
      <c r="H322">
        <v>78.39</v>
      </c>
      <c r="I322">
        <v>20.420000000000002</v>
      </c>
      <c r="J322">
        <v>67.510000000000005</v>
      </c>
      <c r="K322">
        <v>1</v>
      </c>
      <c r="T322">
        <v>3</v>
      </c>
      <c r="U322">
        <v>1</v>
      </c>
      <c r="V322" t="s">
        <v>93</v>
      </c>
      <c r="W322">
        <v>78</v>
      </c>
      <c r="X322">
        <v>8</v>
      </c>
      <c r="Y322">
        <v>8</v>
      </c>
      <c r="Z322" t="s">
        <v>564</v>
      </c>
      <c r="AA322" t="s">
        <v>565</v>
      </c>
      <c r="AB322" t="s">
        <v>96</v>
      </c>
      <c r="AC322" t="s">
        <v>97</v>
      </c>
      <c r="AD322" t="s">
        <v>541</v>
      </c>
      <c r="AG322" t="s">
        <v>566</v>
      </c>
      <c r="AH322">
        <v>0</v>
      </c>
      <c r="AI322">
        <v>219</v>
      </c>
      <c r="AJ322">
        <v>31</v>
      </c>
      <c r="AK322">
        <v>15</v>
      </c>
      <c r="AL322">
        <v>1.07</v>
      </c>
    </row>
    <row r="323" spans="1:38" x14ac:dyDescent="0.3">
      <c r="A323" t="s">
        <v>536</v>
      </c>
      <c r="B323">
        <v>140482</v>
      </c>
      <c r="C323">
        <v>2</v>
      </c>
      <c r="D323" t="s">
        <v>562</v>
      </c>
      <c r="E323" t="s">
        <v>563</v>
      </c>
      <c r="F323">
        <v>14</v>
      </c>
      <c r="G323">
        <v>25.24</v>
      </c>
      <c r="H323">
        <v>83.45</v>
      </c>
      <c r="I323">
        <v>21.74</v>
      </c>
      <c r="J323">
        <v>71.87</v>
      </c>
      <c r="K323">
        <v>1</v>
      </c>
      <c r="T323">
        <v>3</v>
      </c>
      <c r="U323">
        <v>2</v>
      </c>
      <c r="V323" t="s">
        <v>93</v>
      </c>
      <c r="W323">
        <v>83</v>
      </c>
      <c r="X323">
        <v>8</v>
      </c>
      <c r="Y323">
        <v>8</v>
      </c>
      <c r="Z323" t="s">
        <v>564</v>
      </c>
      <c r="AA323" t="s">
        <v>565</v>
      </c>
      <c r="AB323" t="s">
        <v>96</v>
      </c>
      <c r="AC323" t="s">
        <v>97</v>
      </c>
      <c r="AD323" t="s">
        <v>541</v>
      </c>
      <c r="AG323" t="s">
        <v>566</v>
      </c>
      <c r="AH323">
        <v>0</v>
      </c>
      <c r="AI323">
        <v>219</v>
      </c>
      <c r="AJ323">
        <v>31</v>
      </c>
      <c r="AK323">
        <v>15</v>
      </c>
      <c r="AL323">
        <v>1.07</v>
      </c>
    </row>
    <row r="324" spans="1:38" x14ac:dyDescent="0.3">
      <c r="A324" t="s">
        <v>536</v>
      </c>
      <c r="B324">
        <v>140482</v>
      </c>
      <c r="C324">
        <v>3</v>
      </c>
      <c r="D324" t="s">
        <v>562</v>
      </c>
      <c r="E324" t="s">
        <v>563</v>
      </c>
      <c r="F324">
        <v>14</v>
      </c>
      <c r="G324">
        <v>29</v>
      </c>
      <c r="H324">
        <v>95.9</v>
      </c>
      <c r="I324">
        <v>24.98</v>
      </c>
      <c r="J324">
        <v>82.59</v>
      </c>
      <c r="K324">
        <v>6</v>
      </c>
      <c r="T324">
        <v>3</v>
      </c>
      <c r="U324">
        <v>2</v>
      </c>
      <c r="V324" t="s">
        <v>93</v>
      </c>
      <c r="W324" t="s">
        <v>567</v>
      </c>
      <c r="X324">
        <v>8</v>
      </c>
      <c r="Y324">
        <v>8</v>
      </c>
      <c r="Z324" t="s">
        <v>564</v>
      </c>
      <c r="AA324" t="s">
        <v>565</v>
      </c>
      <c r="AB324" t="s">
        <v>96</v>
      </c>
      <c r="AC324" t="s">
        <v>97</v>
      </c>
      <c r="AD324" t="s">
        <v>541</v>
      </c>
      <c r="AG324" t="s">
        <v>566</v>
      </c>
      <c r="AH324">
        <v>0</v>
      </c>
      <c r="AI324">
        <v>219</v>
      </c>
      <c r="AJ324">
        <v>31</v>
      </c>
      <c r="AK324">
        <v>15</v>
      </c>
      <c r="AL324">
        <v>1.07</v>
      </c>
    </row>
    <row r="325" spans="1:38" x14ac:dyDescent="0.3">
      <c r="A325" t="s">
        <v>536</v>
      </c>
      <c r="B325">
        <v>140482</v>
      </c>
      <c r="C325">
        <v>4</v>
      </c>
      <c r="D325" t="s">
        <v>562</v>
      </c>
      <c r="E325" t="s">
        <v>563</v>
      </c>
      <c r="F325">
        <v>14</v>
      </c>
      <c r="G325">
        <v>29.09</v>
      </c>
      <c r="H325">
        <v>96.17</v>
      </c>
      <c r="I325">
        <v>25.05</v>
      </c>
      <c r="J325">
        <v>82.83</v>
      </c>
      <c r="K325">
        <v>5</v>
      </c>
      <c r="T325">
        <v>3</v>
      </c>
      <c r="U325">
        <v>2</v>
      </c>
      <c r="V325" t="s">
        <v>93</v>
      </c>
      <c r="W325" t="s">
        <v>568</v>
      </c>
      <c r="X325">
        <v>8</v>
      </c>
      <c r="Y325">
        <v>8</v>
      </c>
      <c r="Z325" t="s">
        <v>564</v>
      </c>
      <c r="AA325" t="s">
        <v>565</v>
      </c>
      <c r="AB325" t="s">
        <v>96</v>
      </c>
      <c r="AC325" t="s">
        <v>97</v>
      </c>
      <c r="AD325" t="s">
        <v>541</v>
      </c>
      <c r="AG325" t="s">
        <v>566</v>
      </c>
      <c r="AH325">
        <v>0</v>
      </c>
      <c r="AI325">
        <v>219</v>
      </c>
      <c r="AJ325">
        <v>31</v>
      </c>
      <c r="AK325">
        <v>15</v>
      </c>
      <c r="AL325">
        <v>1.07</v>
      </c>
    </row>
    <row r="326" spans="1:38" x14ac:dyDescent="0.3">
      <c r="A326" t="s">
        <v>536</v>
      </c>
      <c r="B326">
        <v>140482</v>
      </c>
      <c r="C326">
        <v>5</v>
      </c>
      <c r="D326" t="s">
        <v>562</v>
      </c>
      <c r="E326" t="s">
        <v>563</v>
      </c>
      <c r="F326">
        <v>14</v>
      </c>
      <c r="G326">
        <v>29.41</v>
      </c>
      <c r="H326">
        <v>97.23</v>
      </c>
      <c r="I326">
        <v>25.33</v>
      </c>
      <c r="J326">
        <v>83.74</v>
      </c>
      <c r="K326">
        <v>1</v>
      </c>
      <c r="T326">
        <v>3</v>
      </c>
      <c r="U326">
        <v>2</v>
      </c>
      <c r="V326" t="s">
        <v>93</v>
      </c>
      <c r="W326" t="s">
        <v>569</v>
      </c>
      <c r="X326">
        <v>8</v>
      </c>
      <c r="Y326">
        <v>8</v>
      </c>
      <c r="Z326" t="s">
        <v>564</v>
      </c>
      <c r="AA326" t="s">
        <v>565</v>
      </c>
      <c r="AB326" t="s">
        <v>96</v>
      </c>
      <c r="AC326" t="s">
        <v>97</v>
      </c>
      <c r="AD326" t="s">
        <v>541</v>
      </c>
      <c r="AG326" t="s">
        <v>566</v>
      </c>
      <c r="AH326">
        <v>0</v>
      </c>
      <c r="AI326">
        <v>219</v>
      </c>
      <c r="AJ326">
        <v>31</v>
      </c>
      <c r="AK326">
        <v>15</v>
      </c>
      <c r="AL326">
        <v>1.07</v>
      </c>
    </row>
    <row r="327" spans="1:38" x14ac:dyDescent="0.3">
      <c r="A327" t="s">
        <v>536</v>
      </c>
      <c r="B327">
        <v>8255</v>
      </c>
      <c r="C327">
        <v>1</v>
      </c>
      <c r="D327" t="s">
        <v>526</v>
      </c>
      <c r="E327" t="s">
        <v>348</v>
      </c>
      <c r="F327">
        <v>468</v>
      </c>
      <c r="G327">
        <v>15.82</v>
      </c>
      <c r="H327">
        <v>52.31</v>
      </c>
      <c r="I327">
        <v>12.56</v>
      </c>
      <c r="J327">
        <v>41.55</v>
      </c>
      <c r="K327">
        <v>204</v>
      </c>
      <c r="T327">
        <v>2</v>
      </c>
      <c r="U327">
        <v>1</v>
      </c>
      <c r="V327" t="s">
        <v>93</v>
      </c>
      <c r="W327">
        <v>52</v>
      </c>
      <c r="X327">
        <v>6</v>
      </c>
      <c r="Y327">
        <v>6</v>
      </c>
      <c r="Z327" t="s">
        <v>570</v>
      </c>
      <c r="AA327" t="s">
        <v>571</v>
      </c>
      <c r="AB327" t="s">
        <v>96</v>
      </c>
      <c r="AC327" t="s">
        <v>97</v>
      </c>
      <c r="AD327" t="s">
        <v>541</v>
      </c>
      <c r="AG327" t="s">
        <v>572</v>
      </c>
      <c r="AH327">
        <v>0</v>
      </c>
      <c r="AI327">
        <v>175</v>
      </c>
      <c r="AJ327">
        <v>32</v>
      </c>
      <c r="AK327">
        <v>117</v>
      </c>
      <c r="AL327">
        <v>0.25</v>
      </c>
    </row>
    <row r="328" spans="1:38" x14ac:dyDescent="0.3">
      <c r="A328" t="s">
        <v>536</v>
      </c>
      <c r="B328">
        <v>8255</v>
      </c>
      <c r="C328">
        <v>2</v>
      </c>
      <c r="D328" t="s">
        <v>526</v>
      </c>
      <c r="E328" t="s">
        <v>348</v>
      </c>
      <c r="F328">
        <v>468</v>
      </c>
      <c r="G328">
        <v>18.07</v>
      </c>
      <c r="H328">
        <v>59.76</v>
      </c>
      <c r="I328">
        <v>14.56</v>
      </c>
      <c r="J328">
        <v>48.15</v>
      </c>
      <c r="K328">
        <v>144</v>
      </c>
      <c r="T328">
        <v>3</v>
      </c>
      <c r="U328">
        <v>1</v>
      </c>
      <c r="V328" t="s">
        <v>93</v>
      </c>
      <c r="W328">
        <v>59</v>
      </c>
      <c r="X328">
        <v>6</v>
      </c>
      <c r="Y328">
        <v>6</v>
      </c>
      <c r="Z328" t="s">
        <v>570</v>
      </c>
      <c r="AA328" t="s">
        <v>571</v>
      </c>
      <c r="AB328" t="s">
        <v>96</v>
      </c>
      <c r="AC328" t="s">
        <v>97</v>
      </c>
      <c r="AD328" t="s">
        <v>541</v>
      </c>
      <c r="AG328" t="s">
        <v>572</v>
      </c>
      <c r="AH328">
        <v>0</v>
      </c>
      <c r="AI328">
        <v>175</v>
      </c>
      <c r="AJ328">
        <v>32</v>
      </c>
      <c r="AK328">
        <v>117</v>
      </c>
      <c r="AL328">
        <v>0.25</v>
      </c>
    </row>
    <row r="329" spans="1:38" x14ac:dyDescent="0.3">
      <c r="A329" t="s">
        <v>536</v>
      </c>
      <c r="B329">
        <v>8255</v>
      </c>
      <c r="C329">
        <v>3</v>
      </c>
      <c r="D329" t="s">
        <v>526</v>
      </c>
      <c r="E329" t="s">
        <v>348</v>
      </c>
      <c r="F329">
        <v>468</v>
      </c>
      <c r="G329">
        <v>19.239999999999998</v>
      </c>
      <c r="H329">
        <v>63.63</v>
      </c>
      <c r="I329">
        <v>15.59</v>
      </c>
      <c r="J329">
        <v>51.57</v>
      </c>
      <c r="K329">
        <v>36</v>
      </c>
      <c r="T329">
        <v>3</v>
      </c>
      <c r="U329">
        <v>1</v>
      </c>
      <c r="V329" t="s">
        <v>93</v>
      </c>
      <c r="W329">
        <v>63</v>
      </c>
      <c r="X329">
        <v>6</v>
      </c>
      <c r="Y329">
        <v>6</v>
      </c>
      <c r="Z329" t="s">
        <v>570</v>
      </c>
      <c r="AA329" t="s">
        <v>571</v>
      </c>
      <c r="AB329" t="s">
        <v>96</v>
      </c>
      <c r="AC329" t="s">
        <v>97</v>
      </c>
      <c r="AD329" t="s">
        <v>541</v>
      </c>
      <c r="AG329" t="s">
        <v>572</v>
      </c>
      <c r="AH329">
        <v>0</v>
      </c>
      <c r="AI329">
        <v>175</v>
      </c>
      <c r="AJ329">
        <v>32</v>
      </c>
      <c r="AK329">
        <v>117</v>
      </c>
      <c r="AL329">
        <v>0.25</v>
      </c>
    </row>
    <row r="330" spans="1:38" x14ac:dyDescent="0.3">
      <c r="A330" t="s">
        <v>536</v>
      </c>
      <c r="B330">
        <v>8255</v>
      </c>
      <c r="C330">
        <v>4</v>
      </c>
      <c r="D330" t="s">
        <v>526</v>
      </c>
      <c r="E330" t="s">
        <v>348</v>
      </c>
      <c r="F330">
        <v>468</v>
      </c>
      <c r="G330">
        <v>20.41</v>
      </c>
      <c r="H330">
        <v>67.489999999999995</v>
      </c>
      <c r="I330">
        <v>16.63</v>
      </c>
      <c r="J330">
        <v>54.99</v>
      </c>
      <c r="K330">
        <v>84</v>
      </c>
      <c r="T330">
        <v>3</v>
      </c>
      <c r="U330">
        <v>1</v>
      </c>
      <c r="V330" t="s">
        <v>93</v>
      </c>
      <c r="W330">
        <v>67</v>
      </c>
      <c r="X330">
        <v>6</v>
      </c>
      <c r="Y330">
        <v>6</v>
      </c>
      <c r="Z330" t="s">
        <v>570</v>
      </c>
      <c r="AA330" t="s">
        <v>571</v>
      </c>
      <c r="AB330" t="s">
        <v>96</v>
      </c>
      <c r="AC330" t="s">
        <v>97</v>
      </c>
      <c r="AD330" t="s">
        <v>541</v>
      </c>
      <c r="AG330" t="s">
        <v>572</v>
      </c>
      <c r="AH330">
        <v>0</v>
      </c>
      <c r="AI330">
        <v>175</v>
      </c>
      <c r="AJ330">
        <v>32</v>
      </c>
      <c r="AK330">
        <v>117</v>
      </c>
      <c r="AL330">
        <v>0.25</v>
      </c>
    </row>
    <row r="331" spans="1:38" x14ac:dyDescent="0.3">
      <c r="A331" t="s">
        <v>536</v>
      </c>
      <c r="B331">
        <v>26090</v>
      </c>
      <c r="C331">
        <v>1</v>
      </c>
      <c r="D331" t="s">
        <v>573</v>
      </c>
      <c r="E331" t="s">
        <v>466</v>
      </c>
      <c r="F331">
        <v>79</v>
      </c>
      <c r="G331">
        <v>24.59</v>
      </c>
      <c r="H331">
        <v>81.31</v>
      </c>
      <c r="I331">
        <v>18.14</v>
      </c>
      <c r="J331">
        <v>59.97</v>
      </c>
      <c r="K331">
        <v>79</v>
      </c>
      <c r="T331">
        <v>3</v>
      </c>
      <c r="U331">
        <v>2</v>
      </c>
      <c r="V331" t="s">
        <v>93</v>
      </c>
      <c r="W331">
        <v>81</v>
      </c>
      <c r="X331">
        <v>15</v>
      </c>
      <c r="Y331">
        <v>12</v>
      </c>
      <c r="Z331" t="s">
        <v>574</v>
      </c>
      <c r="AA331" t="s">
        <v>575</v>
      </c>
      <c r="AB331" t="s">
        <v>96</v>
      </c>
      <c r="AC331" t="s">
        <v>97</v>
      </c>
      <c r="AD331" t="s">
        <v>541</v>
      </c>
      <c r="AG331" t="s">
        <v>576</v>
      </c>
      <c r="AH331">
        <v>0</v>
      </c>
      <c r="AI331">
        <v>323</v>
      </c>
      <c r="AJ331">
        <v>24</v>
      </c>
      <c r="AK331">
        <v>56</v>
      </c>
      <c r="AL331">
        <v>0.71</v>
      </c>
    </row>
    <row r="332" spans="1:38" x14ac:dyDescent="0.3">
      <c r="A332" t="s">
        <v>536</v>
      </c>
      <c r="B332">
        <v>8258</v>
      </c>
      <c r="C332">
        <v>1</v>
      </c>
      <c r="D332" t="s">
        <v>577</v>
      </c>
      <c r="E332" t="s">
        <v>578</v>
      </c>
      <c r="F332">
        <v>1500</v>
      </c>
      <c r="G332">
        <v>16.47</v>
      </c>
      <c r="H332">
        <v>54.45</v>
      </c>
      <c r="I332">
        <v>12.05</v>
      </c>
      <c r="J332">
        <v>39.840000000000003</v>
      </c>
      <c r="K332">
        <v>200</v>
      </c>
      <c r="T332">
        <v>2</v>
      </c>
      <c r="U332">
        <v>1</v>
      </c>
      <c r="V332" t="s">
        <v>138</v>
      </c>
      <c r="W332">
        <v>54</v>
      </c>
      <c r="X332">
        <v>15</v>
      </c>
      <c r="Y332">
        <v>12</v>
      </c>
      <c r="Z332" t="s">
        <v>579</v>
      </c>
      <c r="AA332" t="s">
        <v>580</v>
      </c>
      <c r="AB332" t="s">
        <v>96</v>
      </c>
      <c r="AC332" t="s">
        <v>97</v>
      </c>
      <c r="AD332" t="s">
        <v>541</v>
      </c>
      <c r="AG332" t="s">
        <v>581</v>
      </c>
      <c r="AH332">
        <v>0</v>
      </c>
      <c r="AI332">
        <v>249</v>
      </c>
      <c r="AJ332">
        <v>21</v>
      </c>
      <c r="AK332">
        <v>1069</v>
      </c>
      <c r="AL332">
        <v>0.71</v>
      </c>
    </row>
    <row r="333" spans="1:38" x14ac:dyDescent="0.3">
      <c r="A333" t="s">
        <v>536</v>
      </c>
      <c r="B333">
        <v>8258</v>
      </c>
      <c r="C333">
        <v>2</v>
      </c>
      <c r="D333" t="s">
        <v>577</v>
      </c>
      <c r="E333" t="s">
        <v>578</v>
      </c>
      <c r="F333">
        <v>1500</v>
      </c>
      <c r="G333">
        <v>20.7</v>
      </c>
      <c r="H333">
        <v>68.45</v>
      </c>
      <c r="I333">
        <v>15.05</v>
      </c>
      <c r="J333">
        <v>49.77</v>
      </c>
      <c r="K333">
        <v>900</v>
      </c>
      <c r="T333">
        <v>3</v>
      </c>
      <c r="U333">
        <v>1</v>
      </c>
      <c r="V333" t="s">
        <v>138</v>
      </c>
      <c r="W333">
        <v>68</v>
      </c>
      <c r="X333">
        <v>15</v>
      </c>
      <c r="Y333">
        <v>12</v>
      </c>
      <c r="Z333" t="s">
        <v>579</v>
      </c>
      <c r="AA333" t="s">
        <v>580</v>
      </c>
      <c r="AB333" t="s">
        <v>96</v>
      </c>
      <c r="AC333" t="s">
        <v>97</v>
      </c>
      <c r="AD333" t="s">
        <v>541</v>
      </c>
      <c r="AG333" t="s">
        <v>581</v>
      </c>
      <c r="AH333">
        <v>0</v>
      </c>
      <c r="AI333">
        <v>249</v>
      </c>
      <c r="AJ333">
        <v>21</v>
      </c>
      <c r="AK333">
        <v>1069</v>
      </c>
      <c r="AL333">
        <v>0.71</v>
      </c>
    </row>
    <row r="334" spans="1:38" x14ac:dyDescent="0.3">
      <c r="A334" t="s">
        <v>536</v>
      </c>
      <c r="B334">
        <v>8258</v>
      </c>
      <c r="C334">
        <v>3</v>
      </c>
      <c r="D334" t="s">
        <v>577</v>
      </c>
      <c r="E334" t="s">
        <v>578</v>
      </c>
      <c r="F334">
        <v>1500</v>
      </c>
      <c r="G334">
        <v>24.03</v>
      </c>
      <c r="H334">
        <v>79.459999999999994</v>
      </c>
      <c r="I334">
        <v>18.059999999999999</v>
      </c>
      <c r="J334">
        <v>59.73</v>
      </c>
      <c r="K334">
        <v>400</v>
      </c>
      <c r="T334">
        <v>3</v>
      </c>
      <c r="U334">
        <v>1</v>
      </c>
      <c r="V334" t="s">
        <v>138</v>
      </c>
      <c r="W334">
        <v>79</v>
      </c>
      <c r="X334">
        <v>15</v>
      </c>
      <c r="Y334">
        <v>12</v>
      </c>
      <c r="Z334" t="s">
        <v>579</v>
      </c>
      <c r="AA334" t="s">
        <v>580</v>
      </c>
      <c r="AB334" t="s">
        <v>96</v>
      </c>
      <c r="AC334" t="s">
        <v>97</v>
      </c>
      <c r="AD334" t="s">
        <v>541</v>
      </c>
      <c r="AG334" t="s">
        <v>581</v>
      </c>
      <c r="AH334">
        <v>0</v>
      </c>
      <c r="AI334">
        <v>249</v>
      </c>
      <c r="AJ334">
        <v>21</v>
      </c>
      <c r="AK334">
        <v>1069</v>
      </c>
      <c r="AL334">
        <v>0.71</v>
      </c>
    </row>
    <row r="335" spans="1:38" x14ac:dyDescent="0.3">
      <c r="A335" t="s">
        <v>536</v>
      </c>
      <c r="B335">
        <v>103703</v>
      </c>
      <c r="C335">
        <v>1</v>
      </c>
      <c r="D335" t="s">
        <v>582</v>
      </c>
      <c r="E335" t="s">
        <v>583</v>
      </c>
      <c r="F335">
        <v>19</v>
      </c>
      <c r="G335">
        <v>28.77</v>
      </c>
      <c r="H335">
        <v>95.12</v>
      </c>
      <c r="I335">
        <v>25.57</v>
      </c>
      <c r="J335">
        <v>84.54</v>
      </c>
      <c r="K335">
        <v>1</v>
      </c>
      <c r="T335">
        <v>2</v>
      </c>
      <c r="U335">
        <v>1</v>
      </c>
      <c r="V335" t="s">
        <v>93</v>
      </c>
      <c r="W335">
        <v>95</v>
      </c>
      <c r="X335">
        <v>8</v>
      </c>
      <c r="Y335">
        <v>7</v>
      </c>
      <c r="Z335" t="s">
        <v>584</v>
      </c>
      <c r="AA335" t="s">
        <v>585</v>
      </c>
      <c r="AB335" t="s">
        <v>96</v>
      </c>
      <c r="AC335" t="s">
        <v>97</v>
      </c>
      <c r="AD335" t="s">
        <v>541</v>
      </c>
      <c r="AG335" t="s">
        <v>586</v>
      </c>
      <c r="AH335">
        <v>0</v>
      </c>
      <c r="AI335">
        <v>245</v>
      </c>
      <c r="AJ335">
        <v>43</v>
      </c>
      <c r="AK335">
        <v>23</v>
      </c>
      <c r="AL335">
        <v>1.21</v>
      </c>
    </row>
    <row r="336" spans="1:38" x14ac:dyDescent="0.3">
      <c r="A336" t="s">
        <v>536</v>
      </c>
      <c r="B336">
        <v>103703</v>
      </c>
      <c r="C336">
        <v>2</v>
      </c>
      <c r="D336" t="s">
        <v>582</v>
      </c>
      <c r="E336" t="s">
        <v>583</v>
      </c>
      <c r="F336">
        <v>19</v>
      </c>
      <c r="G336">
        <v>31.3</v>
      </c>
      <c r="H336">
        <v>103.49</v>
      </c>
      <c r="I336">
        <v>27.82</v>
      </c>
      <c r="J336">
        <v>91.98</v>
      </c>
      <c r="K336">
        <v>12</v>
      </c>
      <c r="T336">
        <v>3</v>
      </c>
      <c r="U336">
        <v>2</v>
      </c>
      <c r="V336" t="s">
        <v>93</v>
      </c>
      <c r="W336">
        <v>103</v>
      </c>
      <c r="X336">
        <v>8</v>
      </c>
      <c r="Y336">
        <v>7</v>
      </c>
      <c r="Z336" t="s">
        <v>584</v>
      </c>
      <c r="AA336" t="s">
        <v>585</v>
      </c>
      <c r="AB336" t="s">
        <v>96</v>
      </c>
      <c r="AC336" t="s">
        <v>97</v>
      </c>
      <c r="AD336" t="s">
        <v>541</v>
      </c>
      <c r="AG336" t="s">
        <v>586</v>
      </c>
      <c r="AH336">
        <v>0</v>
      </c>
      <c r="AI336">
        <v>245</v>
      </c>
      <c r="AJ336">
        <v>43</v>
      </c>
      <c r="AK336">
        <v>23</v>
      </c>
      <c r="AL336">
        <v>1.21</v>
      </c>
    </row>
    <row r="337" spans="1:38" x14ac:dyDescent="0.3">
      <c r="A337" t="s">
        <v>536</v>
      </c>
      <c r="B337">
        <v>103703</v>
      </c>
      <c r="C337">
        <v>3</v>
      </c>
      <c r="D337" t="s">
        <v>582</v>
      </c>
      <c r="E337" t="s">
        <v>583</v>
      </c>
      <c r="F337">
        <v>19</v>
      </c>
      <c r="G337">
        <v>31.95</v>
      </c>
      <c r="H337">
        <v>105.64</v>
      </c>
      <c r="I337">
        <v>28.4</v>
      </c>
      <c r="J337">
        <v>93.9</v>
      </c>
      <c r="K337">
        <v>5</v>
      </c>
      <c r="T337">
        <v>3</v>
      </c>
      <c r="U337">
        <v>2</v>
      </c>
      <c r="V337" t="s">
        <v>93</v>
      </c>
      <c r="W337">
        <v>105</v>
      </c>
      <c r="X337">
        <v>8</v>
      </c>
      <c r="Y337">
        <v>7</v>
      </c>
      <c r="Z337" t="s">
        <v>584</v>
      </c>
      <c r="AA337" t="s">
        <v>585</v>
      </c>
      <c r="AB337" t="s">
        <v>96</v>
      </c>
      <c r="AC337" t="s">
        <v>97</v>
      </c>
      <c r="AD337" t="s">
        <v>541</v>
      </c>
      <c r="AG337" t="s">
        <v>586</v>
      </c>
      <c r="AH337">
        <v>0</v>
      </c>
      <c r="AI337">
        <v>245</v>
      </c>
      <c r="AJ337">
        <v>43</v>
      </c>
      <c r="AK337">
        <v>23</v>
      </c>
      <c r="AL337">
        <v>1.21</v>
      </c>
    </row>
    <row r="338" spans="1:38" x14ac:dyDescent="0.3">
      <c r="A338" t="s">
        <v>536</v>
      </c>
      <c r="B338">
        <v>103703</v>
      </c>
      <c r="C338">
        <v>4</v>
      </c>
      <c r="D338" t="s">
        <v>582</v>
      </c>
      <c r="E338" t="s">
        <v>583</v>
      </c>
      <c r="F338">
        <v>19</v>
      </c>
      <c r="G338">
        <v>33.380000000000003</v>
      </c>
      <c r="H338">
        <v>110.38</v>
      </c>
      <c r="I338">
        <v>29.67</v>
      </c>
      <c r="J338">
        <v>98.1</v>
      </c>
      <c r="K338">
        <v>1</v>
      </c>
      <c r="T338">
        <v>3</v>
      </c>
      <c r="U338">
        <v>2</v>
      </c>
      <c r="V338" t="s">
        <v>93</v>
      </c>
      <c r="W338">
        <v>110</v>
      </c>
      <c r="X338">
        <v>8</v>
      </c>
      <c r="Y338">
        <v>7</v>
      </c>
      <c r="Z338" t="s">
        <v>584</v>
      </c>
      <c r="AA338" t="s">
        <v>585</v>
      </c>
      <c r="AB338" t="s">
        <v>96</v>
      </c>
      <c r="AC338" t="s">
        <v>97</v>
      </c>
      <c r="AD338" t="s">
        <v>541</v>
      </c>
      <c r="AG338" t="s">
        <v>586</v>
      </c>
      <c r="AH338">
        <v>0</v>
      </c>
      <c r="AI338">
        <v>245</v>
      </c>
      <c r="AJ338">
        <v>43</v>
      </c>
      <c r="AK338">
        <v>23</v>
      </c>
      <c r="AL338">
        <v>1.21</v>
      </c>
    </row>
    <row r="339" spans="1:38" x14ac:dyDescent="0.3">
      <c r="A339" t="s">
        <v>587</v>
      </c>
      <c r="B339">
        <v>27340</v>
      </c>
      <c r="C339">
        <v>1</v>
      </c>
      <c r="D339" t="s">
        <v>588</v>
      </c>
      <c r="E339" t="s">
        <v>589</v>
      </c>
      <c r="F339">
        <v>373</v>
      </c>
      <c r="G339">
        <v>34.06</v>
      </c>
      <c r="H339">
        <v>112.62</v>
      </c>
      <c r="I339">
        <v>25.68</v>
      </c>
      <c r="J339">
        <v>84.91</v>
      </c>
      <c r="K339">
        <v>93</v>
      </c>
      <c r="T339">
        <v>3</v>
      </c>
      <c r="U339">
        <v>2</v>
      </c>
      <c r="V339" t="s">
        <v>93</v>
      </c>
      <c r="W339" t="s">
        <v>414</v>
      </c>
      <c r="X339">
        <v>28</v>
      </c>
      <c r="Y339">
        <v>15</v>
      </c>
      <c r="Z339" t="s">
        <v>590</v>
      </c>
      <c r="AA339" t="s">
        <v>591</v>
      </c>
      <c r="AB339" t="s">
        <v>96</v>
      </c>
      <c r="AC339" t="s">
        <v>97</v>
      </c>
      <c r="AD339" t="s">
        <v>592</v>
      </c>
      <c r="AG339" t="s">
        <v>593</v>
      </c>
      <c r="AH339">
        <v>0</v>
      </c>
      <c r="AI339">
        <v>298</v>
      </c>
      <c r="AJ339">
        <v>21</v>
      </c>
      <c r="AK339">
        <v>505</v>
      </c>
      <c r="AL339">
        <v>1.35</v>
      </c>
    </row>
    <row r="340" spans="1:38" x14ac:dyDescent="0.3">
      <c r="A340" t="s">
        <v>587</v>
      </c>
      <c r="B340">
        <v>27340</v>
      </c>
      <c r="C340">
        <v>2</v>
      </c>
      <c r="D340" t="s">
        <v>588</v>
      </c>
      <c r="E340" t="s">
        <v>589</v>
      </c>
      <c r="F340">
        <v>373</v>
      </c>
      <c r="G340">
        <v>34.11</v>
      </c>
      <c r="H340">
        <v>112.79</v>
      </c>
      <c r="I340">
        <v>25.68</v>
      </c>
      <c r="J340">
        <v>84.91</v>
      </c>
      <c r="K340">
        <v>62</v>
      </c>
      <c r="T340">
        <v>3</v>
      </c>
      <c r="U340">
        <v>2</v>
      </c>
      <c r="V340" t="s">
        <v>93</v>
      </c>
      <c r="W340" t="s">
        <v>419</v>
      </c>
      <c r="X340">
        <v>28</v>
      </c>
      <c r="Y340">
        <v>15</v>
      </c>
      <c r="Z340" t="s">
        <v>590</v>
      </c>
      <c r="AA340" t="s">
        <v>591</v>
      </c>
      <c r="AB340" t="s">
        <v>96</v>
      </c>
      <c r="AC340" t="s">
        <v>97</v>
      </c>
      <c r="AD340" t="s">
        <v>592</v>
      </c>
      <c r="AG340" t="s">
        <v>593</v>
      </c>
      <c r="AH340">
        <v>0</v>
      </c>
      <c r="AI340">
        <v>298</v>
      </c>
      <c r="AJ340">
        <v>21</v>
      </c>
      <c r="AK340">
        <v>505</v>
      </c>
      <c r="AL340">
        <v>1.35</v>
      </c>
    </row>
    <row r="341" spans="1:38" x14ac:dyDescent="0.3">
      <c r="A341" t="s">
        <v>587</v>
      </c>
      <c r="B341">
        <v>27340</v>
      </c>
      <c r="C341">
        <v>3</v>
      </c>
      <c r="D341" t="s">
        <v>588</v>
      </c>
      <c r="E341" t="s">
        <v>589</v>
      </c>
      <c r="F341">
        <v>373</v>
      </c>
      <c r="G341">
        <v>34.11</v>
      </c>
      <c r="H341">
        <v>112.79</v>
      </c>
      <c r="I341">
        <v>25.68</v>
      </c>
      <c r="J341">
        <v>84.91</v>
      </c>
      <c r="K341">
        <v>26</v>
      </c>
      <c r="T341">
        <v>3</v>
      </c>
      <c r="U341">
        <v>2</v>
      </c>
      <c r="V341" t="s">
        <v>93</v>
      </c>
      <c r="W341" t="s">
        <v>420</v>
      </c>
      <c r="X341">
        <v>28</v>
      </c>
      <c r="Y341">
        <v>15</v>
      </c>
      <c r="Z341" t="s">
        <v>590</v>
      </c>
      <c r="AA341" t="s">
        <v>591</v>
      </c>
      <c r="AB341" t="s">
        <v>96</v>
      </c>
      <c r="AC341" t="s">
        <v>97</v>
      </c>
      <c r="AD341" t="s">
        <v>592</v>
      </c>
      <c r="AG341" t="s">
        <v>593</v>
      </c>
      <c r="AH341">
        <v>0</v>
      </c>
      <c r="AI341">
        <v>298</v>
      </c>
      <c r="AJ341">
        <v>21</v>
      </c>
      <c r="AK341">
        <v>505</v>
      </c>
      <c r="AL341">
        <v>1.35</v>
      </c>
    </row>
    <row r="342" spans="1:38" x14ac:dyDescent="0.3">
      <c r="A342" t="s">
        <v>587</v>
      </c>
      <c r="B342">
        <v>27340</v>
      </c>
      <c r="C342">
        <v>4</v>
      </c>
      <c r="D342" t="s">
        <v>588</v>
      </c>
      <c r="E342" t="s">
        <v>589</v>
      </c>
      <c r="F342">
        <v>373</v>
      </c>
      <c r="G342">
        <v>43.81</v>
      </c>
      <c r="H342">
        <v>144.84</v>
      </c>
      <c r="I342">
        <v>35.24</v>
      </c>
      <c r="J342">
        <v>116.5</v>
      </c>
      <c r="K342">
        <v>97</v>
      </c>
      <c r="T342">
        <v>4</v>
      </c>
      <c r="U342">
        <v>2</v>
      </c>
      <c r="V342" t="s">
        <v>93</v>
      </c>
      <c r="W342" t="s">
        <v>594</v>
      </c>
      <c r="X342">
        <v>28</v>
      </c>
      <c r="Y342">
        <v>15</v>
      </c>
      <c r="Z342" t="s">
        <v>590</v>
      </c>
      <c r="AA342" t="s">
        <v>591</v>
      </c>
      <c r="AB342" t="s">
        <v>96</v>
      </c>
      <c r="AC342" t="s">
        <v>97</v>
      </c>
      <c r="AD342" t="s">
        <v>592</v>
      </c>
      <c r="AG342" t="s">
        <v>593</v>
      </c>
      <c r="AH342">
        <v>0</v>
      </c>
      <c r="AI342">
        <v>298</v>
      </c>
      <c r="AJ342">
        <v>21</v>
      </c>
      <c r="AK342">
        <v>505</v>
      </c>
      <c r="AL342">
        <v>1.35</v>
      </c>
    </row>
    <row r="343" spans="1:38" x14ac:dyDescent="0.3">
      <c r="A343" t="s">
        <v>587</v>
      </c>
      <c r="B343">
        <v>27340</v>
      </c>
      <c r="C343">
        <v>5</v>
      </c>
      <c r="D343" t="s">
        <v>588</v>
      </c>
      <c r="E343" t="s">
        <v>589</v>
      </c>
      <c r="F343">
        <v>373</v>
      </c>
      <c r="G343">
        <v>43.82</v>
      </c>
      <c r="H343">
        <v>144.86000000000001</v>
      </c>
      <c r="I343">
        <v>35.24</v>
      </c>
      <c r="J343">
        <v>116.5</v>
      </c>
      <c r="K343">
        <v>95</v>
      </c>
      <c r="T343">
        <v>4</v>
      </c>
      <c r="U343">
        <v>2</v>
      </c>
      <c r="V343" t="s">
        <v>93</v>
      </c>
      <c r="W343" t="s">
        <v>595</v>
      </c>
      <c r="X343">
        <v>28</v>
      </c>
      <c r="Y343">
        <v>15</v>
      </c>
      <c r="Z343" t="s">
        <v>590</v>
      </c>
      <c r="AA343" t="s">
        <v>591</v>
      </c>
      <c r="AB343" t="s">
        <v>96</v>
      </c>
      <c r="AC343" t="s">
        <v>97</v>
      </c>
      <c r="AD343" t="s">
        <v>592</v>
      </c>
      <c r="AG343" t="s">
        <v>593</v>
      </c>
      <c r="AH343">
        <v>0</v>
      </c>
      <c r="AI343">
        <v>298</v>
      </c>
      <c r="AJ343">
        <v>21</v>
      </c>
      <c r="AK343">
        <v>505</v>
      </c>
      <c r="AL343">
        <v>1.35</v>
      </c>
    </row>
    <row r="344" spans="1:38" x14ac:dyDescent="0.3">
      <c r="A344" t="s">
        <v>587</v>
      </c>
      <c r="B344">
        <v>121375</v>
      </c>
      <c r="C344">
        <v>1</v>
      </c>
      <c r="D344" t="s">
        <v>596</v>
      </c>
      <c r="E344" t="s">
        <v>597</v>
      </c>
      <c r="F344">
        <v>1669</v>
      </c>
      <c r="G344">
        <v>16.71</v>
      </c>
      <c r="H344">
        <v>55.27</v>
      </c>
      <c r="I344">
        <v>12.06</v>
      </c>
      <c r="J344">
        <v>39.880000000000003</v>
      </c>
      <c r="K344">
        <v>19</v>
      </c>
      <c r="T344">
        <v>2</v>
      </c>
      <c r="U344">
        <v>1</v>
      </c>
      <c r="V344" t="s">
        <v>93</v>
      </c>
      <c r="W344">
        <v>55</v>
      </c>
      <c r="X344">
        <v>31</v>
      </c>
      <c r="Y344">
        <v>19</v>
      </c>
      <c r="Z344" t="s">
        <v>598</v>
      </c>
      <c r="AA344" t="s">
        <v>599</v>
      </c>
      <c r="AB344" t="s">
        <v>96</v>
      </c>
      <c r="AC344" t="s">
        <v>97</v>
      </c>
      <c r="AD344" t="s">
        <v>592</v>
      </c>
      <c r="AG344" t="s">
        <v>600</v>
      </c>
      <c r="AH344">
        <v>84</v>
      </c>
      <c r="AI344">
        <v>249</v>
      </c>
      <c r="AJ344">
        <v>14</v>
      </c>
      <c r="AK344">
        <v>1912</v>
      </c>
      <c r="AL344">
        <v>1.1499999999999999</v>
      </c>
    </row>
    <row r="345" spans="1:38" x14ac:dyDescent="0.3">
      <c r="A345" t="s">
        <v>587</v>
      </c>
      <c r="B345">
        <v>121375</v>
      </c>
      <c r="C345">
        <v>2</v>
      </c>
      <c r="D345" t="s">
        <v>596</v>
      </c>
      <c r="E345" t="s">
        <v>597</v>
      </c>
      <c r="F345">
        <v>1669</v>
      </c>
      <c r="G345">
        <v>24.88</v>
      </c>
      <c r="H345">
        <v>82.27</v>
      </c>
      <c r="I345">
        <v>18.14</v>
      </c>
      <c r="J345">
        <v>59.97</v>
      </c>
      <c r="K345">
        <v>405</v>
      </c>
      <c r="T345">
        <v>3</v>
      </c>
      <c r="U345">
        <v>2</v>
      </c>
      <c r="V345" t="s">
        <v>93</v>
      </c>
      <c r="W345" t="s">
        <v>199</v>
      </c>
      <c r="X345">
        <v>31</v>
      </c>
      <c r="Y345">
        <v>19</v>
      </c>
      <c r="Z345" t="s">
        <v>598</v>
      </c>
      <c r="AA345" t="s">
        <v>599</v>
      </c>
      <c r="AB345" t="s">
        <v>96</v>
      </c>
      <c r="AC345" t="s">
        <v>97</v>
      </c>
      <c r="AD345" t="s">
        <v>592</v>
      </c>
      <c r="AG345" t="s">
        <v>600</v>
      </c>
      <c r="AH345">
        <v>84</v>
      </c>
      <c r="AI345">
        <v>249</v>
      </c>
      <c r="AJ345">
        <v>14</v>
      </c>
      <c r="AK345">
        <v>1912</v>
      </c>
      <c r="AL345">
        <v>1.1499999999999999</v>
      </c>
    </row>
    <row r="346" spans="1:38" x14ac:dyDescent="0.3">
      <c r="A346" t="s">
        <v>587</v>
      </c>
      <c r="B346">
        <v>121375</v>
      </c>
      <c r="C346">
        <v>3</v>
      </c>
      <c r="D346" t="s">
        <v>596</v>
      </c>
      <c r="E346" t="s">
        <v>597</v>
      </c>
      <c r="F346">
        <v>1669</v>
      </c>
      <c r="G346">
        <v>25.05</v>
      </c>
      <c r="H346">
        <v>82.82</v>
      </c>
      <c r="I346">
        <v>18.14</v>
      </c>
      <c r="J346">
        <v>59.97</v>
      </c>
      <c r="K346">
        <v>96</v>
      </c>
      <c r="T346">
        <v>3</v>
      </c>
      <c r="U346">
        <v>2</v>
      </c>
      <c r="V346" t="s">
        <v>93</v>
      </c>
      <c r="W346" t="s">
        <v>203</v>
      </c>
      <c r="X346">
        <v>31</v>
      </c>
      <c r="Y346">
        <v>19</v>
      </c>
      <c r="Z346" t="s">
        <v>598</v>
      </c>
      <c r="AA346" t="s">
        <v>599</v>
      </c>
      <c r="AB346" t="s">
        <v>96</v>
      </c>
      <c r="AC346" t="s">
        <v>97</v>
      </c>
      <c r="AD346" t="s">
        <v>592</v>
      </c>
      <c r="AG346" t="s">
        <v>600</v>
      </c>
      <c r="AH346">
        <v>84</v>
      </c>
      <c r="AI346">
        <v>249</v>
      </c>
      <c r="AJ346">
        <v>14</v>
      </c>
      <c r="AK346">
        <v>1912</v>
      </c>
      <c r="AL346">
        <v>1.1499999999999999</v>
      </c>
    </row>
    <row r="347" spans="1:38" x14ac:dyDescent="0.3">
      <c r="A347" t="s">
        <v>587</v>
      </c>
      <c r="B347">
        <v>121375</v>
      </c>
      <c r="C347">
        <v>4</v>
      </c>
      <c r="D347" t="s">
        <v>596</v>
      </c>
      <c r="E347" t="s">
        <v>597</v>
      </c>
      <c r="F347">
        <v>1669</v>
      </c>
      <c r="G347">
        <v>30.22</v>
      </c>
      <c r="H347">
        <v>99.91</v>
      </c>
      <c r="I347">
        <v>22.07</v>
      </c>
      <c r="J347">
        <v>72.989999999999995</v>
      </c>
      <c r="K347">
        <v>230</v>
      </c>
      <c r="T347">
        <v>3</v>
      </c>
      <c r="U347">
        <v>2</v>
      </c>
      <c r="V347" t="s">
        <v>93</v>
      </c>
      <c r="W347" t="s">
        <v>306</v>
      </c>
      <c r="X347">
        <v>31</v>
      </c>
      <c r="Y347">
        <v>19</v>
      </c>
      <c r="Z347" t="s">
        <v>598</v>
      </c>
      <c r="AA347" t="s">
        <v>599</v>
      </c>
      <c r="AB347" t="s">
        <v>96</v>
      </c>
      <c r="AC347" t="s">
        <v>97</v>
      </c>
      <c r="AD347" t="s">
        <v>592</v>
      </c>
      <c r="AG347" t="s">
        <v>600</v>
      </c>
      <c r="AH347">
        <v>84</v>
      </c>
      <c r="AI347">
        <v>249</v>
      </c>
      <c r="AJ347">
        <v>14</v>
      </c>
      <c r="AK347">
        <v>1912</v>
      </c>
      <c r="AL347">
        <v>1.1499999999999999</v>
      </c>
    </row>
    <row r="348" spans="1:38" x14ac:dyDescent="0.3">
      <c r="A348" t="s">
        <v>587</v>
      </c>
      <c r="B348">
        <v>121375</v>
      </c>
      <c r="C348">
        <v>5</v>
      </c>
      <c r="D348" t="s">
        <v>596</v>
      </c>
      <c r="E348" t="s">
        <v>597</v>
      </c>
      <c r="F348">
        <v>1669</v>
      </c>
      <c r="G348">
        <v>30.22</v>
      </c>
      <c r="H348">
        <v>99.93</v>
      </c>
      <c r="I348">
        <v>22.07</v>
      </c>
      <c r="J348">
        <v>72.959999999999994</v>
      </c>
      <c r="K348">
        <v>194</v>
      </c>
      <c r="T348">
        <v>3</v>
      </c>
      <c r="U348">
        <v>2</v>
      </c>
      <c r="V348" t="s">
        <v>93</v>
      </c>
      <c r="W348" t="s">
        <v>310</v>
      </c>
      <c r="X348">
        <v>31</v>
      </c>
      <c r="Y348">
        <v>19</v>
      </c>
      <c r="Z348" t="s">
        <v>598</v>
      </c>
      <c r="AA348" t="s">
        <v>599</v>
      </c>
      <c r="AB348" t="s">
        <v>96</v>
      </c>
      <c r="AC348" t="s">
        <v>97</v>
      </c>
      <c r="AD348" t="s">
        <v>592</v>
      </c>
      <c r="AG348" t="s">
        <v>600</v>
      </c>
      <c r="AH348">
        <v>84</v>
      </c>
      <c r="AI348">
        <v>249</v>
      </c>
      <c r="AJ348">
        <v>14</v>
      </c>
      <c r="AK348">
        <v>1912</v>
      </c>
      <c r="AL348">
        <v>1.1499999999999999</v>
      </c>
    </row>
    <row r="349" spans="1:38" x14ac:dyDescent="0.3">
      <c r="A349" t="s">
        <v>587</v>
      </c>
      <c r="B349">
        <v>121375</v>
      </c>
      <c r="C349">
        <v>6</v>
      </c>
      <c r="D349" t="s">
        <v>596</v>
      </c>
      <c r="E349" t="s">
        <v>597</v>
      </c>
      <c r="F349">
        <v>1669</v>
      </c>
      <c r="G349">
        <v>35.04</v>
      </c>
      <c r="H349">
        <v>115.84</v>
      </c>
      <c r="I349">
        <v>25.7</v>
      </c>
      <c r="J349">
        <v>84.98</v>
      </c>
      <c r="K349">
        <v>497</v>
      </c>
      <c r="T349">
        <v>3</v>
      </c>
      <c r="U349">
        <v>2</v>
      </c>
      <c r="V349" t="s">
        <v>93</v>
      </c>
      <c r="W349" t="s">
        <v>601</v>
      </c>
      <c r="X349">
        <v>31</v>
      </c>
      <c r="Y349">
        <v>19</v>
      </c>
      <c r="Z349" t="s">
        <v>598</v>
      </c>
      <c r="AA349" t="s">
        <v>599</v>
      </c>
      <c r="AB349" t="s">
        <v>96</v>
      </c>
      <c r="AC349" t="s">
        <v>97</v>
      </c>
      <c r="AD349" t="s">
        <v>592</v>
      </c>
      <c r="AG349" t="s">
        <v>600</v>
      </c>
      <c r="AH349">
        <v>84</v>
      </c>
      <c r="AI349">
        <v>249</v>
      </c>
      <c r="AJ349">
        <v>14</v>
      </c>
      <c r="AK349">
        <v>1912</v>
      </c>
      <c r="AL349">
        <v>1.1499999999999999</v>
      </c>
    </row>
    <row r="350" spans="1:38" x14ac:dyDescent="0.3">
      <c r="A350" t="s">
        <v>587</v>
      </c>
      <c r="B350">
        <v>121375</v>
      </c>
      <c r="C350">
        <v>7</v>
      </c>
      <c r="D350" t="s">
        <v>596</v>
      </c>
      <c r="E350" t="s">
        <v>597</v>
      </c>
      <c r="F350">
        <v>1669</v>
      </c>
      <c r="G350">
        <v>35.159999999999997</v>
      </c>
      <c r="H350">
        <v>116.26</v>
      </c>
      <c r="I350">
        <v>25.7</v>
      </c>
      <c r="J350">
        <v>84.96</v>
      </c>
      <c r="K350">
        <v>85</v>
      </c>
      <c r="T350">
        <v>3</v>
      </c>
      <c r="U350">
        <v>2</v>
      </c>
      <c r="V350" t="s">
        <v>93</v>
      </c>
      <c r="W350" t="s">
        <v>602</v>
      </c>
      <c r="X350">
        <v>31</v>
      </c>
      <c r="Y350">
        <v>19</v>
      </c>
      <c r="Z350" t="s">
        <v>598</v>
      </c>
      <c r="AA350" t="s">
        <v>599</v>
      </c>
      <c r="AB350" t="s">
        <v>96</v>
      </c>
      <c r="AC350" t="s">
        <v>97</v>
      </c>
      <c r="AD350" t="s">
        <v>592</v>
      </c>
      <c r="AG350" t="s">
        <v>600</v>
      </c>
      <c r="AH350">
        <v>84</v>
      </c>
      <c r="AI350">
        <v>249</v>
      </c>
      <c r="AJ350">
        <v>14</v>
      </c>
      <c r="AK350">
        <v>1912</v>
      </c>
      <c r="AL350">
        <v>1.1499999999999999</v>
      </c>
    </row>
    <row r="351" spans="1:38" x14ac:dyDescent="0.3">
      <c r="A351" t="s">
        <v>587</v>
      </c>
      <c r="B351">
        <v>121375</v>
      </c>
      <c r="C351">
        <v>8</v>
      </c>
      <c r="D351" t="s">
        <v>596</v>
      </c>
      <c r="E351" t="s">
        <v>597</v>
      </c>
      <c r="F351">
        <v>1669</v>
      </c>
      <c r="G351">
        <v>40.97</v>
      </c>
      <c r="H351">
        <v>135.47</v>
      </c>
      <c r="I351">
        <v>30.22</v>
      </c>
      <c r="J351">
        <v>99.93</v>
      </c>
      <c r="K351">
        <v>59</v>
      </c>
      <c r="T351">
        <v>4</v>
      </c>
      <c r="U351">
        <v>2</v>
      </c>
      <c r="V351" t="s">
        <v>93</v>
      </c>
      <c r="W351">
        <v>135</v>
      </c>
      <c r="X351">
        <v>31</v>
      </c>
      <c r="Y351">
        <v>19</v>
      </c>
      <c r="Z351" t="s">
        <v>598</v>
      </c>
      <c r="AA351" t="s">
        <v>599</v>
      </c>
      <c r="AB351" t="s">
        <v>96</v>
      </c>
      <c r="AC351" t="s">
        <v>97</v>
      </c>
      <c r="AD351" t="s">
        <v>592</v>
      </c>
      <c r="AG351" t="s">
        <v>600</v>
      </c>
      <c r="AH351">
        <v>84</v>
      </c>
      <c r="AI351">
        <v>249</v>
      </c>
      <c r="AJ351">
        <v>14</v>
      </c>
      <c r="AK351">
        <v>1912</v>
      </c>
      <c r="AL351">
        <v>1.1499999999999999</v>
      </c>
    </row>
    <row r="352" spans="1:38" x14ac:dyDescent="0.3">
      <c r="A352" t="s">
        <v>587</v>
      </c>
      <c r="B352">
        <v>26053</v>
      </c>
      <c r="C352">
        <v>1</v>
      </c>
      <c r="D352" t="s">
        <v>603</v>
      </c>
      <c r="E352" t="s">
        <v>604</v>
      </c>
      <c r="F352">
        <v>255</v>
      </c>
      <c r="G352">
        <v>39.6</v>
      </c>
      <c r="H352">
        <v>130.93</v>
      </c>
      <c r="I352">
        <v>30.8</v>
      </c>
      <c r="J352">
        <v>101.84</v>
      </c>
      <c r="K352">
        <v>180</v>
      </c>
      <c r="T352">
        <v>4</v>
      </c>
      <c r="U352">
        <v>2</v>
      </c>
      <c r="V352" t="s">
        <v>93</v>
      </c>
      <c r="W352">
        <v>130</v>
      </c>
      <c r="X352">
        <v>15</v>
      </c>
      <c r="Y352">
        <v>15</v>
      </c>
      <c r="Z352" t="s">
        <v>605</v>
      </c>
      <c r="AA352" t="s">
        <v>606</v>
      </c>
      <c r="AB352" t="s">
        <v>96</v>
      </c>
      <c r="AC352" t="s">
        <v>97</v>
      </c>
      <c r="AD352" t="s">
        <v>592</v>
      </c>
      <c r="AG352" t="s">
        <v>607</v>
      </c>
      <c r="AH352">
        <v>0</v>
      </c>
      <c r="AI352">
        <v>228</v>
      </c>
      <c r="AJ352">
        <v>18</v>
      </c>
      <c r="AK352">
        <v>416</v>
      </c>
      <c r="AL352">
        <v>1.63</v>
      </c>
    </row>
    <row r="353" spans="1:38" x14ac:dyDescent="0.3">
      <c r="A353" t="s">
        <v>587</v>
      </c>
      <c r="B353">
        <v>26053</v>
      </c>
      <c r="C353">
        <v>2</v>
      </c>
      <c r="D353" t="s">
        <v>603</v>
      </c>
      <c r="E353" t="s">
        <v>604</v>
      </c>
      <c r="F353">
        <v>255</v>
      </c>
      <c r="G353">
        <v>49.28</v>
      </c>
      <c r="H353">
        <v>162.91</v>
      </c>
      <c r="I353">
        <v>40.299999999999997</v>
      </c>
      <c r="J353">
        <v>133.25</v>
      </c>
      <c r="K353">
        <v>75</v>
      </c>
      <c r="T353">
        <v>4</v>
      </c>
      <c r="U353">
        <v>2</v>
      </c>
      <c r="V353" t="s">
        <v>93</v>
      </c>
      <c r="W353">
        <v>162</v>
      </c>
      <c r="X353">
        <v>15</v>
      </c>
      <c r="Y353">
        <v>15</v>
      </c>
      <c r="Z353" t="s">
        <v>605</v>
      </c>
      <c r="AA353" t="s">
        <v>606</v>
      </c>
      <c r="AB353" t="s">
        <v>96</v>
      </c>
      <c r="AC353" t="s">
        <v>97</v>
      </c>
      <c r="AD353" t="s">
        <v>592</v>
      </c>
      <c r="AG353" t="s">
        <v>607</v>
      </c>
      <c r="AH353">
        <v>0</v>
      </c>
      <c r="AI353">
        <v>228</v>
      </c>
      <c r="AJ353">
        <v>18</v>
      </c>
      <c r="AK353">
        <v>416</v>
      </c>
      <c r="AL353">
        <v>1.63</v>
      </c>
    </row>
    <row r="354" spans="1:38" x14ac:dyDescent="0.3">
      <c r="A354" t="s">
        <v>608</v>
      </c>
      <c r="B354">
        <v>8434</v>
      </c>
      <c r="C354">
        <v>1</v>
      </c>
      <c r="D354" t="s">
        <v>609</v>
      </c>
      <c r="E354" t="s">
        <v>610</v>
      </c>
      <c r="F354">
        <v>1192</v>
      </c>
      <c r="G354">
        <v>23.6</v>
      </c>
      <c r="H354">
        <v>78.03</v>
      </c>
      <c r="I354">
        <v>18.13</v>
      </c>
      <c r="J354">
        <v>59.95</v>
      </c>
      <c r="K354">
        <v>536</v>
      </c>
      <c r="T354">
        <v>3</v>
      </c>
      <c r="U354">
        <v>1</v>
      </c>
      <c r="V354" t="s">
        <v>93</v>
      </c>
      <c r="W354">
        <v>78</v>
      </c>
      <c r="X354">
        <v>13</v>
      </c>
      <c r="Y354">
        <v>10</v>
      </c>
      <c r="Z354" t="s">
        <v>611</v>
      </c>
      <c r="AA354" t="s">
        <v>612</v>
      </c>
      <c r="AB354" t="s">
        <v>96</v>
      </c>
      <c r="AC354" t="s">
        <v>97</v>
      </c>
      <c r="AD354" t="s">
        <v>613</v>
      </c>
      <c r="AG354" t="s">
        <v>614</v>
      </c>
      <c r="AH354">
        <v>0</v>
      </c>
      <c r="AI354">
        <v>189</v>
      </c>
      <c r="AJ354">
        <v>17</v>
      </c>
      <c r="AK354">
        <v>1277</v>
      </c>
      <c r="AL354">
        <v>1.07</v>
      </c>
    </row>
    <row r="355" spans="1:38" x14ac:dyDescent="0.3">
      <c r="A355" t="s">
        <v>608</v>
      </c>
      <c r="B355">
        <v>8434</v>
      </c>
      <c r="C355">
        <v>2</v>
      </c>
      <c r="D355" t="s">
        <v>609</v>
      </c>
      <c r="E355" t="s">
        <v>610</v>
      </c>
      <c r="F355">
        <v>1192</v>
      </c>
      <c r="G355">
        <v>31.84</v>
      </c>
      <c r="H355">
        <v>105.27</v>
      </c>
      <c r="I355">
        <v>25.7</v>
      </c>
      <c r="J355">
        <v>84.96</v>
      </c>
      <c r="K355">
        <v>560</v>
      </c>
      <c r="T355">
        <v>3</v>
      </c>
      <c r="U355">
        <v>2</v>
      </c>
      <c r="V355" t="s">
        <v>93</v>
      </c>
      <c r="W355">
        <v>105</v>
      </c>
      <c r="X355">
        <v>13</v>
      </c>
      <c r="Y355">
        <v>10</v>
      </c>
      <c r="Z355" t="s">
        <v>611</v>
      </c>
      <c r="AA355" t="s">
        <v>612</v>
      </c>
      <c r="AB355" t="s">
        <v>96</v>
      </c>
      <c r="AC355" t="s">
        <v>97</v>
      </c>
      <c r="AD355" t="s">
        <v>613</v>
      </c>
      <c r="AG355" t="s">
        <v>614</v>
      </c>
      <c r="AH355">
        <v>0</v>
      </c>
      <c r="AI355">
        <v>189</v>
      </c>
      <c r="AJ355">
        <v>17</v>
      </c>
      <c r="AK355">
        <v>1277</v>
      </c>
      <c r="AL355">
        <v>1.07</v>
      </c>
    </row>
    <row r="356" spans="1:38" x14ac:dyDescent="0.3">
      <c r="A356" t="s">
        <v>608</v>
      </c>
      <c r="B356">
        <v>8434</v>
      </c>
      <c r="C356">
        <v>3</v>
      </c>
      <c r="D356" t="s">
        <v>609</v>
      </c>
      <c r="E356" t="s">
        <v>610</v>
      </c>
      <c r="F356">
        <v>1192</v>
      </c>
      <c r="G356">
        <v>41.72</v>
      </c>
      <c r="H356">
        <v>137.94999999999999</v>
      </c>
      <c r="I356">
        <v>34.770000000000003</v>
      </c>
      <c r="J356">
        <v>114.95</v>
      </c>
      <c r="K356">
        <v>96</v>
      </c>
      <c r="T356">
        <v>4</v>
      </c>
      <c r="U356">
        <v>2</v>
      </c>
      <c r="V356" t="s">
        <v>93</v>
      </c>
      <c r="W356">
        <v>137</v>
      </c>
      <c r="X356">
        <v>13</v>
      </c>
      <c r="Y356">
        <v>10</v>
      </c>
      <c r="Z356" t="s">
        <v>611</v>
      </c>
      <c r="AA356" t="s">
        <v>612</v>
      </c>
      <c r="AB356" t="s">
        <v>96</v>
      </c>
      <c r="AC356" t="s">
        <v>97</v>
      </c>
      <c r="AD356" t="s">
        <v>613</v>
      </c>
      <c r="AG356" t="s">
        <v>614</v>
      </c>
      <c r="AH356">
        <v>0</v>
      </c>
      <c r="AI356">
        <v>189</v>
      </c>
      <c r="AJ356">
        <v>17</v>
      </c>
      <c r="AK356">
        <v>1277</v>
      </c>
      <c r="AL356">
        <v>1.07</v>
      </c>
    </row>
    <row r="357" spans="1:38" x14ac:dyDescent="0.3">
      <c r="A357" t="s">
        <v>615</v>
      </c>
      <c r="B357">
        <v>2413</v>
      </c>
      <c r="C357">
        <v>1</v>
      </c>
      <c r="D357" t="s">
        <v>616</v>
      </c>
      <c r="E357" t="s">
        <v>312</v>
      </c>
      <c r="F357">
        <v>972</v>
      </c>
      <c r="G357">
        <v>10.84</v>
      </c>
      <c r="H357">
        <v>35.85</v>
      </c>
      <c r="I357">
        <v>7.98</v>
      </c>
      <c r="J357">
        <v>26.39</v>
      </c>
      <c r="K357">
        <v>168</v>
      </c>
      <c r="T357">
        <v>1</v>
      </c>
      <c r="U357">
        <v>1</v>
      </c>
      <c r="V357" t="s">
        <v>138</v>
      </c>
      <c r="W357">
        <v>35</v>
      </c>
      <c r="X357">
        <v>19</v>
      </c>
      <c r="Y357">
        <v>14</v>
      </c>
      <c r="Z357" t="s">
        <v>617</v>
      </c>
      <c r="AA357" t="s">
        <v>618</v>
      </c>
      <c r="AB357" t="s">
        <v>96</v>
      </c>
      <c r="AC357" t="s">
        <v>97</v>
      </c>
      <c r="AD357" t="s">
        <v>619</v>
      </c>
      <c r="AG357" t="s">
        <v>620</v>
      </c>
      <c r="AH357">
        <v>0</v>
      </c>
      <c r="AI357">
        <v>249</v>
      </c>
      <c r="AJ357">
        <v>21</v>
      </c>
      <c r="AK357">
        <v>1015</v>
      </c>
      <c r="AL357">
        <v>1.04</v>
      </c>
    </row>
    <row r="358" spans="1:38" x14ac:dyDescent="0.3">
      <c r="A358" t="s">
        <v>615</v>
      </c>
      <c r="B358">
        <v>2413</v>
      </c>
      <c r="C358">
        <v>2</v>
      </c>
      <c r="D358" t="s">
        <v>616</v>
      </c>
      <c r="E358" t="s">
        <v>312</v>
      </c>
      <c r="F358">
        <v>972</v>
      </c>
      <c r="G358">
        <v>32.51</v>
      </c>
      <c r="H358">
        <v>107.5</v>
      </c>
      <c r="I358">
        <v>25.7</v>
      </c>
      <c r="J358">
        <v>84.99</v>
      </c>
      <c r="K358">
        <v>804</v>
      </c>
      <c r="T358">
        <v>3</v>
      </c>
      <c r="U358">
        <v>2</v>
      </c>
      <c r="V358" t="s">
        <v>93</v>
      </c>
      <c r="W358">
        <v>107</v>
      </c>
      <c r="X358">
        <v>19</v>
      </c>
      <c r="Y358">
        <v>14</v>
      </c>
      <c r="Z358" t="s">
        <v>617</v>
      </c>
      <c r="AA358" t="s">
        <v>618</v>
      </c>
      <c r="AB358" t="s">
        <v>96</v>
      </c>
      <c r="AC358" t="s">
        <v>97</v>
      </c>
      <c r="AD358" t="s">
        <v>619</v>
      </c>
      <c r="AG358" t="s">
        <v>620</v>
      </c>
      <c r="AH358">
        <v>0</v>
      </c>
      <c r="AI358">
        <v>249</v>
      </c>
      <c r="AJ358">
        <v>21</v>
      </c>
      <c r="AK358">
        <v>1015</v>
      </c>
      <c r="AL358">
        <v>1.04</v>
      </c>
    </row>
    <row r="359" spans="1:38" x14ac:dyDescent="0.3">
      <c r="A359" t="s">
        <v>615</v>
      </c>
      <c r="B359">
        <v>2411</v>
      </c>
      <c r="C359">
        <v>1</v>
      </c>
      <c r="D359" t="s">
        <v>621</v>
      </c>
      <c r="E359" t="s">
        <v>538</v>
      </c>
      <c r="F359">
        <v>798</v>
      </c>
      <c r="G359">
        <v>36.46</v>
      </c>
      <c r="H359">
        <v>120.53</v>
      </c>
      <c r="I359">
        <v>29.08</v>
      </c>
      <c r="J359">
        <v>96.15</v>
      </c>
      <c r="K359">
        <v>288</v>
      </c>
      <c r="T359">
        <v>3</v>
      </c>
      <c r="U359">
        <v>2</v>
      </c>
      <c r="V359" t="s">
        <v>93</v>
      </c>
      <c r="W359" t="s">
        <v>622</v>
      </c>
      <c r="X359">
        <v>21</v>
      </c>
      <c r="Y359">
        <v>19</v>
      </c>
      <c r="Z359" t="s">
        <v>623</v>
      </c>
      <c r="AA359" t="s">
        <v>624</v>
      </c>
      <c r="AB359" t="s">
        <v>96</v>
      </c>
      <c r="AC359" t="s">
        <v>97</v>
      </c>
      <c r="AD359" t="s">
        <v>619</v>
      </c>
      <c r="AG359" t="s">
        <v>625</v>
      </c>
      <c r="AH359">
        <v>0</v>
      </c>
      <c r="AI359">
        <v>249</v>
      </c>
      <c r="AJ359">
        <v>18</v>
      </c>
      <c r="AK359">
        <v>1252</v>
      </c>
      <c r="AL359">
        <v>1.57</v>
      </c>
    </row>
    <row r="360" spans="1:38" x14ac:dyDescent="0.3">
      <c r="A360" t="s">
        <v>615</v>
      </c>
      <c r="B360">
        <v>2411</v>
      </c>
      <c r="C360">
        <v>2</v>
      </c>
      <c r="D360" t="s">
        <v>621</v>
      </c>
      <c r="E360" t="s">
        <v>538</v>
      </c>
      <c r="F360">
        <v>798</v>
      </c>
      <c r="G360">
        <v>36.46</v>
      </c>
      <c r="H360">
        <v>120.53</v>
      </c>
      <c r="I360">
        <v>29.08</v>
      </c>
      <c r="J360">
        <v>96.15</v>
      </c>
      <c r="K360">
        <v>228</v>
      </c>
      <c r="T360">
        <v>3</v>
      </c>
      <c r="U360">
        <v>2</v>
      </c>
      <c r="V360" t="s">
        <v>93</v>
      </c>
      <c r="W360" t="s">
        <v>626</v>
      </c>
      <c r="X360">
        <v>21</v>
      </c>
      <c r="Y360">
        <v>19</v>
      </c>
      <c r="Z360" t="s">
        <v>623</v>
      </c>
      <c r="AA360" t="s">
        <v>624</v>
      </c>
      <c r="AB360" t="s">
        <v>96</v>
      </c>
      <c r="AC360" t="s">
        <v>97</v>
      </c>
      <c r="AD360" t="s">
        <v>619</v>
      </c>
      <c r="AG360" t="s">
        <v>625</v>
      </c>
      <c r="AH360">
        <v>0</v>
      </c>
      <c r="AI360">
        <v>249</v>
      </c>
      <c r="AJ360">
        <v>18</v>
      </c>
      <c r="AK360">
        <v>1252</v>
      </c>
      <c r="AL360">
        <v>1.57</v>
      </c>
    </row>
    <row r="361" spans="1:38" x14ac:dyDescent="0.3">
      <c r="A361" t="s">
        <v>615</v>
      </c>
      <c r="B361">
        <v>2411</v>
      </c>
      <c r="C361">
        <v>3</v>
      </c>
      <c r="D361" t="s">
        <v>621</v>
      </c>
      <c r="E361" t="s">
        <v>538</v>
      </c>
      <c r="F361">
        <v>798</v>
      </c>
      <c r="G361">
        <v>45.29</v>
      </c>
      <c r="H361">
        <v>149.75</v>
      </c>
      <c r="I361">
        <v>36.909999999999997</v>
      </c>
      <c r="J361">
        <v>122.04</v>
      </c>
      <c r="K361">
        <v>156</v>
      </c>
      <c r="T361">
        <v>4</v>
      </c>
      <c r="U361">
        <v>2</v>
      </c>
      <c r="V361" t="s">
        <v>93</v>
      </c>
      <c r="W361" t="s">
        <v>627</v>
      </c>
      <c r="X361">
        <v>21</v>
      </c>
      <c r="Y361">
        <v>19</v>
      </c>
      <c r="Z361" t="s">
        <v>623</v>
      </c>
      <c r="AA361" t="s">
        <v>624</v>
      </c>
      <c r="AB361" t="s">
        <v>96</v>
      </c>
      <c r="AC361" t="s">
        <v>97</v>
      </c>
      <c r="AD361" t="s">
        <v>619</v>
      </c>
      <c r="AG361" t="s">
        <v>625</v>
      </c>
      <c r="AH361">
        <v>0</v>
      </c>
      <c r="AI361">
        <v>249</v>
      </c>
      <c r="AJ361">
        <v>18</v>
      </c>
      <c r="AK361">
        <v>1252</v>
      </c>
      <c r="AL361">
        <v>1.57</v>
      </c>
    </row>
    <row r="362" spans="1:38" x14ac:dyDescent="0.3">
      <c r="A362" t="s">
        <v>615</v>
      </c>
      <c r="B362">
        <v>2411</v>
      </c>
      <c r="C362">
        <v>4</v>
      </c>
      <c r="D362" t="s">
        <v>621</v>
      </c>
      <c r="E362" t="s">
        <v>538</v>
      </c>
      <c r="F362">
        <v>798</v>
      </c>
      <c r="G362">
        <v>45.29</v>
      </c>
      <c r="H362">
        <v>149.75</v>
      </c>
      <c r="I362">
        <v>36.909999999999997</v>
      </c>
      <c r="J362">
        <v>122.04</v>
      </c>
      <c r="K362">
        <v>126</v>
      </c>
      <c r="T362">
        <v>4</v>
      </c>
      <c r="U362">
        <v>2</v>
      </c>
      <c r="V362" t="s">
        <v>93</v>
      </c>
      <c r="W362" t="s">
        <v>628</v>
      </c>
      <c r="X362">
        <v>21</v>
      </c>
      <c r="Y362">
        <v>19</v>
      </c>
      <c r="Z362" t="s">
        <v>623</v>
      </c>
      <c r="AA362" t="s">
        <v>624</v>
      </c>
      <c r="AB362" t="s">
        <v>96</v>
      </c>
      <c r="AC362" t="s">
        <v>97</v>
      </c>
      <c r="AD362" t="s">
        <v>619</v>
      </c>
      <c r="AG362" t="s">
        <v>625</v>
      </c>
      <c r="AH362">
        <v>0</v>
      </c>
      <c r="AI362">
        <v>249</v>
      </c>
      <c r="AJ362">
        <v>18</v>
      </c>
      <c r="AK362">
        <v>1252</v>
      </c>
      <c r="AL362">
        <v>1.57</v>
      </c>
    </row>
    <row r="363" spans="1:38" x14ac:dyDescent="0.3">
      <c r="A363" t="s">
        <v>615</v>
      </c>
      <c r="B363">
        <v>2412</v>
      </c>
      <c r="C363">
        <v>1</v>
      </c>
      <c r="D363" t="s">
        <v>629</v>
      </c>
      <c r="E363" t="s">
        <v>312</v>
      </c>
      <c r="F363">
        <v>562</v>
      </c>
      <c r="G363">
        <v>15.55</v>
      </c>
      <c r="H363">
        <v>51.41</v>
      </c>
      <c r="I363">
        <v>11.24</v>
      </c>
      <c r="J363">
        <v>37.17</v>
      </c>
      <c r="K363">
        <v>160</v>
      </c>
      <c r="T363">
        <v>2</v>
      </c>
      <c r="U363">
        <v>1</v>
      </c>
      <c r="V363" t="s">
        <v>138</v>
      </c>
      <c r="W363">
        <v>51</v>
      </c>
      <c r="X363">
        <v>17</v>
      </c>
      <c r="Y363">
        <v>16</v>
      </c>
      <c r="Z363" t="s">
        <v>630</v>
      </c>
      <c r="AA363" t="s">
        <v>631</v>
      </c>
      <c r="AB363" t="s">
        <v>96</v>
      </c>
      <c r="AC363" t="s">
        <v>97</v>
      </c>
      <c r="AD363" t="s">
        <v>619</v>
      </c>
      <c r="AG363" t="s">
        <v>632</v>
      </c>
      <c r="AH363">
        <v>0</v>
      </c>
      <c r="AI363">
        <v>249</v>
      </c>
      <c r="AJ363">
        <v>22</v>
      </c>
      <c r="AK363">
        <v>562</v>
      </c>
      <c r="AL363">
        <v>1</v>
      </c>
    </row>
    <row r="364" spans="1:38" x14ac:dyDescent="0.3">
      <c r="A364" t="s">
        <v>615</v>
      </c>
      <c r="B364">
        <v>2412</v>
      </c>
      <c r="C364">
        <v>2</v>
      </c>
      <c r="D364" t="s">
        <v>629</v>
      </c>
      <c r="E364" t="s">
        <v>312</v>
      </c>
      <c r="F364">
        <v>562</v>
      </c>
      <c r="G364">
        <v>31.92</v>
      </c>
      <c r="H364">
        <v>105.53</v>
      </c>
      <c r="I364">
        <v>25.7</v>
      </c>
      <c r="J364">
        <v>84.96</v>
      </c>
      <c r="K364">
        <v>402</v>
      </c>
      <c r="T364">
        <v>3</v>
      </c>
      <c r="U364">
        <v>2</v>
      </c>
      <c r="V364" t="s">
        <v>93</v>
      </c>
      <c r="W364">
        <v>105</v>
      </c>
      <c r="X364">
        <v>17</v>
      </c>
      <c r="Y364">
        <v>16</v>
      </c>
      <c r="Z364" t="s">
        <v>630</v>
      </c>
      <c r="AA364" t="s">
        <v>631</v>
      </c>
      <c r="AB364" t="s">
        <v>96</v>
      </c>
      <c r="AC364" t="s">
        <v>97</v>
      </c>
      <c r="AD364" t="s">
        <v>619</v>
      </c>
      <c r="AG364" t="s">
        <v>632</v>
      </c>
      <c r="AH364">
        <v>0</v>
      </c>
      <c r="AI364">
        <v>249</v>
      </c>
      <c r="AJ364">
        <v>22</v>
      </c>
      <c r="AK364">
        <v>562</v>
      </c>
      <c r="AL364">
        <v>1</v>
      </c>
    </row>
    <row r="365" spans="1:38" x14ac:dyDescent="0.3">
      <c r="A365" t="s">
        <v>615</v>
      </c>
      <c r="B365">
        <v>2410</v>
      </c>
      <c r="C365">
        <v>1</v>
      </c>
      <c r="D365" t="s">
        <v>633</v>
      </c>
      <c r="E365" t="s">
        <v>634</v>
      </c>
      <c r="F365">
        <v>616</v>
      </c>
      <c r="G365">
        <v>36.4</v>
      </c>
      <c r="H365">
        <v>120.36</v>
      </c>
      <c r="I365">
        <v>28.87</v>
      </c>
      <c r="J365">
        <v>95.46</v>
      </c>
      <c r="K365">
        <v>440</v>
      </c>
      <c r="T365">
        <v>3</v>
      </c>
      <c r="U365">
        <v>2</v>
      </c>
      <c r="V365" t="s">
        <v>93</v>
      </c>
      <c r="W365">
        <v>120</v>
      </c>
      <c r="X365">
        <v>22</v>
      </c>
      <c r="Y365">
        <v>22</v>
      </c>
      <c r="Z365" t="s">
        <v>635</v>
      </c>
      <c r="AA365" t="s">
        <v>636</v>
      </c>
      <c r="AB365" t="s">
        <v>96</v>
      </c>
      <c r="AC365" t="s">
        <v>97</v>
      </c>
      <c r="AD365" t="s">
        <v>619</v>
      </c>
      <c r="AG365" t="s">
        <v>637</v>
      </c>
      <c r="AH365">
        <v>0</v>
      </c>
      <c r="AI365">
        <v>0</v>
      </c>
      <c r="AJ365">
        <v>0</v>
      </c>
      <c r="AK365">
        <v>942</v>
      </c>
      <c r="AL365">
        <v>1.53</v>
      </c>
    </row>
    <row r="366" spans="1:38" x14ac:dyDescent="0.3">
      <c r="A366" t="s">
        <v>615</v>
      </c>
      <c r="B366">
        <v>2410</v>
      </c>
      <c r="C366">
        <v>2</v>
      </c>
      <c r="D366" t="s">
        <v>633</v>
      </c>
      <c r="E366" t="s">
        <v>634</v>
      </c>
      <c r="F366">
        <v>616</v>
      </c>
      <c r="G366">
        <v>46.9</v>
      </c>
      <c r="H366">
        <v>155.05000000000001</v>
      </c>
      <c r="I366">
        <v>38.43</v>
      </c>
      <c r="J366">
        <v>127.05</v>
      </c>
      <c r="K366">
        <v>176</v>
      </c>
      <c r="T366">
        <v>4</v>
      </c>
      <c r="U366">
        <v>2</v>
      </c>
      <c r="V366" t="s">
        <v>93</v>
      </c>
      <c r="W366">
        <v>155</v>
      </c>
      <c r="X366">
        <v>22</v>
      </c>
      <c r="Y366">
        <v>22</v>
      </c>
      <c r="Z366" t="s">
        <v>635</v>
      </c>
      <c r="AA366" t="s">
        <v>636</v>
      </c>
      <c r="AB366" t="s">
        <v>96</v>
      </c>
      <c r="AC366" t="s">
        <v>97</v>
      </c>
      <c r="AD366" t="s">
        <v>619</v>
      </c>
      <c r="AG366" t="s">
        <v>637</v>
      </c>
      <c r="AH366">
        <v>0</v>
      </c>
      <c r="AI366">
        <v>0</v>
      </c>
      <c r="AJ366">
        <v>0</v>
      </c>
      <c r="AK366">
        <v>942</v>
      </c>
      <c r="AL366">
        <v>1.53</v>
      </c>
    </row>
    <row r="367" spans="1:38" x14ac:dyDescent="0.3">
      <c r="A367" t="s">
        <v>615</v>
      </c>
      <c r="B367">
        <v>108762</v>
      </c>
      <c r="C367">
        <v>1</v>
      </c>
      <c r="D367" t="s">
        <v>638</v>
      </c>
      <c r="E367" t="s">
        <v>639</v>
      </c>
      <c r="F367">
        <v>724</v>
      </c>
      <c r="G367">
        <v>25.25</v>
      </c>
      <c r="H367">
        <v>83.48</v>
      </c>
      <c r="I367">
        <v>18.14</v>
      </c>
      <c r="J367">
        <v>59.99</v>
      </c>
      <c r="K367">
        <v>56</v>
      </c>
      <c r="T367">
        <v>3</v>
      </c>
      <c r="U367">
        <v>2</v>
      </c>
      <c r="V367" t="s">
        <v>93</v>
      </c>
      <c r="W367" t="s">
        <v>116</v>
      </c>
      <c r="X367">
        <v>21</v>
      </c>
      <c r="Y367">
        <v>19</v>
      </c>
      <c r="Z367" t="s">
        <v>640</v>
      </c>
      <c r="AA367" t="s">
        <v>641</v>
      </c>
      <c r="AB367" t="s">
        <v>96</v>
      </c>
      <c r="AC367" t="s">
        <v>97</v>
      </c>
      <c r="AD367" t="s">
        <v>619</v>
      </c>
      <c r="AG367" t="s">
        <v>642</v>
      </c>
      <c r="AH367">
        <v>0</v>
      </c>
      <c r="AI367">
        <v>440</v>
      </c>
      <c r="AJ367">
        <v>43</v>
      </c>
      <c r="AK367">
        <v>994</v>
      </c>
      <c r="AL367">
        <v>1.37</v>
      </c>
    </row>
    <row r="368" spans="1:38" x14ac:dyDescent="0.3">
      <c r="A368" t="s">
        <v>615</v>
      </c>
      <c r="B368">
        <v>108762</v>
      </c>
      <c r="C368">
        <v>2</v>
      </c>
      <c r="D368" t="s">
        <v>638</v>
      </c>
      <c r="E368" t="s">
        <v>639</v>
      </c>
      <c r="F368">
        <v>724</v>
      </c>
      <c r="G368">
        <v>25.46</v>
      </c>
      <c r="H368">
        <v>84.19</v>
      </c>
      <c r="I368">
        <v>18.14</v>
      </c>
      <c r="J368">
        <v>59.97</v>
      </c>
      <c r="K368">
        <v>57</v>
      </c>
      <c r="T368">
        <v>3</v>
      </c>
      <c r="U368">
        <v>2</v>
      </c>
      <c r="V368" t="s">
        <v>93</v>
      </c>
      <c r="W368" t="s">
        <v>643</v>
      </c>
      <c r="X368">
        <v>21</v>
      </c>
      <c r="Y368">
        <v>19</v>
      </c>
      <c r="Z368" t="s">
        <v>640</v>
      </c>
      <c r="AA368" t="s">
        <v>641</v>
      </c>
      <c r="AB368" t="s">
        <v>96</v>
      </c>
      <c r="AC368" t="s">
        <v>97</v>
      </c>
      <c r="AD368" t="s">
        <v>619</v>
      </c>
      <c r="AG368" t="s">
        <v>642</v>
      </c>
      <c r="AH368">
        <v>0</v>
      </c>
      <c r="AI368">
        <v>440</v>
      </c>
      <c r="AJ368">
        <v>43</v>
      </c>
      <c r="AK368">
        <v>994</v>
      </c>
      <c r="AL368">
        <v>1.37</v>
      </c>
    </row>
    <row r="369" spans="1:38" x14ac:dyDescent="0.3">
      <c r="A369" t="s">
        <v>615</v>
      </c>
      <c r="B369">
        <v>108762</v>
      </c>
      <c r="C369">
        <v>3</v>
      </c>
      <c r="D369" t="s">
        <v>638</v>
      </c>
      <c r="E369" t="s">
        <v>639</v>
      </c>
      <c r="F369">
        <v>724</v>
      </c>
      <c r="G369">
        <v>25.44</v>
      </c>
      <c r="H369">
        <v>84.12</v>
      </c>
      <c r="I369">
        <v>18.12</v>
      </c>
      <c r="J369">
        <v>59.93</v>
      </c>
      <c r="K369">
        <v>37</v>
      </c>
      <c r="T369">
        <v>3</v>
      </c>
      <c r="U369">
        <v>2</v>
      </c>
      <c r="V369" t="s">
        <v>93</v>
      </c>
      <c r="W369" t="s">
        <v>366</v>
      </c>
      <c r="X369">
        <v>21</v>
      </c>
      <c r="Y369">
        <v>19</v>
      </c>
      <c r="Z369" t="s">
        <v>640</v>
      </c>
      <c r="AA369" t="s">
        <v>641</v>
      </c>
      <c r="AB369" t="s">
        <v>96</v>
      </c>
      <c r="AC369" t="s">
        <v>97</v>
      </c>
      <c r="AD369" t="s">
        <v>619</v>
      </c>
      <c r="AG369" t="s">
        <v>642</v>
      </c>
      <c r="AH369">
        <v>0</v>
      </c>
      <c r="AI369">
        <v>440</v>
      </c>
      <c r="AJ369">
        <v>43</v>
      </c>
      <c r="AK369">
        <v>994</v>
      </c>
      <c r="AL369">
        <v>1.37</v>
      </c>
    </row>
    <row r="370" spans="1:38" x14ac:dyDescent="0.3">
      <c r="A370" t="s">
        <v>615</v>
      </c>
      <c r="B370">
        <v>108762</v>
      </c>
      <c r="C370">
        <v>4</v>
      </c>
      <c r="D370" t="s">
        <v>638</v>
      </c>
      <c r="E370" t="s">
        <v>639</v>
      </c>
      <c r="F370">
        <v>724</v>
      </c>
      <c r="G370">
        <v>31.3</v>
      </c>
      <c r="H370">
        <v>103.49</v>
      </c>
      <c r="I370">
        <v>22.56</v>
      </c>
      <c r="J370">
        <v>74.61</v>
      </c>
      <c r="K370">
        <v>82</v>
      </c>
      <c r="T370">
        <v>3</v>
      </c>
      <c r="U370">
        <v>2</v>
      </c>
      <c r="V370" t="s">
        <v>93</v>
      </c>
      <c r="W370">
        <v>103</v>
      </c>
      <c r="X370">
        <v>21</v>
      </c>
      <c r="Y370">
        <v>19</v>
      </c>
      <c r="Z370" t="s">
        <v>640</v>
      </c>
      <c r="AA370" t="s">
        <v>641</v>
      </c>
      <c r="AB370" t="s">
        <v>96</v>
      </c>
      <c r="AC370" t="s">
        <v>97</v>
      </c>
      <c r="AD370" t="s">
        <v>619</v>
      </c>
      <c r="AG370" t="s">
        <v>642</v>
      </c>
      <c r="AH370">
        <v>0</v>
      </c>
      <c r="AI370">
        <v>440</v>
      </c>
      <c r="AJ370">
        <v>43</v>
      </c>
      <c r="AK370">
        <v>994</v>
      </c>
      <c r="AL370">
        <v>1.37</v>
      </c>
    </row>
    <row r="371" spans="1:38" x14ac:dyDescent="0.3">
      <c r="A371" t="s">
        <v>615</v>
      </c>
      <c r="B371">
        <v>108762</v>
      </c>
      <c r="C371">
        <v>5</v>
      </c>
      <c r="D371" t="s">
        <v>638</v>
      </c>
      <c r="E371" t="s">
        <v>639</v>
      </c>
      <c r="F371">
        <v>724</v>
      </c>
      <c r="G371">
        <v>35.31</v>
      </c>
      <c r="H371">
        <v>116.73</v>
      </c>
      <c r="I371">
        <v>25.54</v>
      </c>
      <c r="J371">
        <v>84.45</v>
      </c>
      <c r="K371">
        <v>99</v>
      </c>
      <c r="T371">
        <v>3</v>
      </c>
      <c r="U371">
        <v>2</v>
      </c>
      <c r="V371" t="s">
        <v>93</v>
      </c>
      <c r="W371" t="s">
        <v>644</v>
      </c>
      <c r="X371">
        <v>21</v>
      </c>
      <c r="Y371">
        <v>19</v>
      </c>
      <c r="Z371" t="s">
        <v>640</v>
      </c>
      <c r="AA371" t="s">
        <v>641</v>
      </c>
      <c r="AB371" t="s">
        <v>96</v>
      </c>
      <c r="AC371" t="s">
        <v>97</v>
      </c>
      <c r="AD371" t="s">
        <v>619</v>
      </c>
      <c r="AG371" t="s">
        <v>642</v>
      </c>
      <c r="AH371">
        <v>0</v>
      </c>
      <c r="AI371">
        <v>440</v>
      </c>
      <c r="AJ371">
        <v>43</v>
      </c>
      <c r="AK371">
        <v>994</v>
      </c>
      <c r="AL371">
        <v>1.37</v>
      </c>
    </row>
    <row r="372" spans="1:38" x14ac:dyDescent="0.3">
      <c r="A372" t="s">
        <v>615</v>
      </c>
      <c r="B372">
        <v>108762</v>
      </c>
      <c r="C372">
        <v>6</v>
      </c>
      <c r="D372" t="s">
        <v>638</v>
      </c>
      <c r="E372" t="s">
        <v>639</v>
      </c>
      <c r="F372">
        <v>724</v>
      </c>
      <c r="G372">
        <v>35.549999999999997</v>
      </c>
      <c r="H372">
        <v>117.53</v>
      </c>
      <c r="I372">
        <v>25.63</v>
      </c>
      <c r="J372">
        <v>84.75</v>
      </c>
      <c r="K372">
        <v>198</v>
      </c>
      <c r="T372">
        <v>3</v>
      </c>
      <c r="U372">
        <v>2</v>
      </c>
      <c r="V372" t="s">
        <v>93</v>
      </c>
      <c r="W372" t="s">
        <v>645</v>
      </c>
      <c r="X372">
        <v>21</v>
      </c>
      <c r="Y372">
        <v>19</v>
      </c>
      <c r="Z372" t="s">
        <v>640</v>
      </c>
      <c r="AA372" t="s">
        <v>641</v>
      </c>
      <c r="AB372" t="s">
        <v>96</v>
      </c>
      <c r="AC372" t="s">
        <v>97</v>
      </c>
      <c r="AD372" t="s">
        <v>619</v>
      </c>
      <c r="AG372" t="s">
        <v>642</v>
      </c>
      <c r="AH372">
        <v>0</v>
      </c>
      <c r="AI372">
        <v>440</v>
      </c>
      <c r="AJ372">
        <v>43</v>
      </c>
      <c r="AK372">
        <v>994</v>
      </c>
      <c r="AL372">
        <v>1.37</v>
      </c>
    </row>
    <row r="373" spans="1:38" x14ac:dyDescent="0.3">
      <c r="A373" t="s">
        <v>615</v>
      </c>
      <c r="B373">
        <v>108762</v>
      </c>
      <c r="C373">
        <v>7</v>
      </c>
      <c r="D373" t="s">
        <v>638</v>
      </c>
      <c r="E373" t="s">
        <v>639</v>
      </c>
      <c r="F373">
        <v>724</v>
      </c>
      <c r="G373">
        <v>35.53</v>
      </c>
      <c r="H373">
        <v>117.47</v>
      </c>
      <c r="I373">
        <v>25.7</v>
      </c>
      <c r="J373">
        <v>84.99</v>
      </c>
      <c r="K373">
        <v>99</v>
      </c>
      <c r="T373">
        <v>3</v>
      </c>
      <c r="U373">
        <v>2</v>
      </c>
      <c r="V373" t="s">
        <v>93</v>
      </c>
      <c r="W373" t="s">
        <v>646</v>
      </c>
      <c r="X373">
        <v>21</v>
      </c>
      <c r="Y373">
        <v>19</v>
      </c>
      <c r="Z373" t="s">
        <v>640</v>
      </c>
      <c r="AA373" t="s">
        <v>641</v>
      </c>
      <c r="AB373" t="s">
        <v>96</v>
      </c>
      <c r="AC373" t="s">
        <v>97</v>
      </c>
      <c r="AD373" t="s">
        <v>619</v>
      </c>
      <c r="AG373" t="s">
        <v>642</v>
      </c>
      <c r="AH373">
        <v>0</v>
      </c>
      <c r="AI373">
        <v>440</v>
      </c>
      <c r="AJ373">
        <v>43</v>
      </c>
      <c r="AK373">
        <v>994</v>
      </c>
      <c r="AL373">
        <v>1.37</v>
      </c>
    </row>
    <row r="374" spans="1:38" x14ac:dyDescent="0.3">
      <c r="A374" t="s">
        <v>615</v>
      </c>
      <c r="B374">
        <v>108762</v>
      </c>
      <c r="C374">
        <v>8</v>
      </c>
      <c r="D374" t="s">
        <v>638</v>
      </c>
      <c r="E374" t="s">
        <v>639</v>
      </c>
      <c r="F374">
        <v>724</v>
      </c>
      <c r="G374">
        <v>35.729999999999997</v>
      </c>
      <c r="H374">
        <v>118.13</v>
      </c>
      <c r="I374">
        <v>25.69</v>
      </c>
      <c r="J374">
        <v>84.95</v>
      </c>
      <c r="K374">
        <v>96</v>
      </c>
      <c r="T374">
        <v>3</v>
      </c>
      <c r="U374">
        <v>2</v>
      </c>
      <c r="V374" t="s">
        <v>93</v>
      </c>
      <c r="W374" t="s">
        <v>647</v>
      </c>
      <c r="X374">
        <v>21</v>
      </c>
      <c r="Y374">
        <v>19</v>
      </c>
      <c r="Z374" t="s">
        <v>640</v>
      </c>
      <c r="AA374" t="s">
        <v>641</v>
      </c>
      <c r="AB374" t="s">
        <v>96</v>
      </c>
      <c r="AC374" t="s">
        <v>97</v>
      </c>
      <c r="AD374" t="s">
        <v>619</v>
      </c>
      <c r="AG374" t="s">
        <v>642</v>
      </c>
      <c r="AH374">
        <v>0</v>
      </c>
      <c r="AI374">
        <v>440</v>
      </c>
      <c r="AJ374">
        <v>43</v>
      </c>
      <c r="AK374">
        <v>994</v>
      </c>
      <c r="AL374">
        <v>1.37</v>
      </c>
    </row>
    <row r="375" spans="1:38" x14ac:dyDescent="0.3">
      <c r="A375" t="s">
        <v>615</v>
      </c>
      <c r="B375">
        <v>8536</v>
      </c>
      <c r="C375">
        <v>1</v>
      </c>
      <c r="D375" t="s">
        <v>648</v>
      </c>
      <c r="E375" t="s">
        <v>538</v>
      </c>
      <c r="F375">
        <v>428</v>
      </c>
      <c r="G375">
        <v>16.98</v>
      </c>
      <c r="H375">
        <v>56.15</v>
      </c>
      <c r="I375">
        <v>12.04</v>
      </c>
      <c r="J375">
        <v>39.82</v>
      </c>
      <c r="K375">
        <v>128</v>
      </c>
      <c r="T375">
        <v>2</v>
      </c>
      <c r="U375">
        <v>1</v>
      </c>
      <c r="V375" t="s">
        <v>138</v>
      </c>
      <c r="W375">
        <v>56</v>
      </c>
      <c r="X375">
        <v>18</v>
      </c>
      <c r="Y375">
        <v>16</v>
      </c>
      <c r="Z375" t="s">
        <v>649</v>
      </c>
      <c r="AA375" t="s">
        <v>650</v>
      </c>
      <c r="AB375" t="s">
        <v>96</v>
      </c>
      <c r="AC375" t="s">
        <v>97</v>
      </c>
      <c r="AD375" t="s">
        <v>619</v>
      </c>
      <c r="AG375" t="s">
        <v>651</v>
      </c>
      <c r="AH375">
        <v>0</v>
      </c>
      <c r="AI375">
        <v>246</v>
      </c>
      <c r="AJ375">
        <v>21</v>
      </c>
      <c r="AK375">
        <v>448</v>
      </c>
      <c r="AL375">
        <v>1.05</v>
      </c>
    </row>
    <row r="376" spans="1:38" x14ac:dyDescent="0.3">
      <c r="A376" t="s">
        <v>615</v>
      </c>
      <c r="B376">
        <v>8536</v>
      </c>
      <c r="C376">
        <v>2</v>
      </c>
      <c r="D376" t="s">
        <v>648</v>
      </c>
      <c r="E376" t="s">
        <v>538</v>
      </c>
      <c r="F376">
        <v>428</v>
      </c>
      <c r="G376">
        <v>31.98</v>
      </c>
      <c r="H376">
        <v>105.72</v>
      </c>
      <c r="I376">
        <v>25.64</v>
      </c>
      <c r="J376">
        <v>84.79</v>
      </c>
      <c r="K376">
        <v>300</v>
      </c>
      <c r="T376">
        <v>3</v>
      </c>
      <c r="U376">
        <v>2</v>
      </c>
      <c r="V376" t="s">
        <v>93</v>
      </c>
      <c r="W376">
        <v>105</v>
      </c>
      <c r="X376">
        <v>18</v>
      </c>
      <c r="Y376">
        <v>16</v>
      </c>
      <c r="Z376" t="s">
        <v>649</v>
      </c>
      <c r="AA376" t="s">
        <v>650</v>
      </c>
      <c r="AB376" t="s">
        <v>96</v>
      </c>
      <c r="AC376" t="s">
        <v>97</v>
      </c>
      <c r="AD376" t="s">
        <v>619</v>
      </c>
      <c r="AG376" t="s">
        <v>651</v>
      </c>
      <c r="AH376">
        <v>0</v>
      </c>
      <c r="AI376">
        <v>246</v>
      </c>
      <c r="AJ376">
        <v>21</v>
      </c>
      <c r="AK376">
        <v>448</v>
      </c>
      <c r="AL376">
        <v>1.05</v>
      </c>
    </row>
    <row r="377" spans="1:38" x14ac:dyDescent="0.3">
      <c r="A377" t="s">
        <v>652</v>
      </c>
      <c r="B377">
        <v>25336</v>
      </c>
      <c r="C377">
        <v>1</v>
      </c>
      <c r="D377" t="s">
        <v>653</v>
      </c>
      <c r="E377" t="s">
        <v>654</v>
      </c>
      <c r="F377">
        <v>399</v>
      </c>
      <c r="G377">
        <v>34.04</v>
      </c>
      <c r="H377">
        <v>112.54</v>
      </c>
      <c r="I377">
        <v>25.67</v>
      </c>
      <c r="J377">
        <v>84.88</v>
      </c>
      <c r="K377">
        <v>146</v>
      </c>
      <c r="T377">
        <v>3</v>
      </c>
      <c r="U377">
        <v>2</v>
      </c>
      <c r="V377" t="s">
        <v>93</v>
      </c>
      <c r="W377" t="s">
        <v>419</v>
      </c>
      <c r="X377">
        <v>13</v>
      </c>
      <c r="Y377">
        <v>10</v>
      </c>
      <c r="Z377" t="s">
        <v>655</v>
      </c>
      <c r="AA377" t="s">
        <v>656</v>
      </c>
      <c r="AB377" t="s">
        <v>96</v>
      </c>
      <c r="AC377" t="s">
        <v>97</v>
      </c>
      <c r="AD377" t="s">
        <v>657</v>
      </c>
      <c r="AG377" t="s">
        <v>658</v>
      </c>
      <c r="AH377">
        <v>0</v>
      </c>
      <c r="AI377">
        <v>199</v>
      </c>
      <c r="AJ377">
        <v>20</v>
      </c>
      <c r="AK377">
        <v>450</v>
      </c>
      <c r="AL377">
        <v>1.1299999999999999</v>
      </c>
    </row>
    <row r="378" spans="1:38" x14ac:dyDescent="0.3">
      <c r="A378" t="s">
        <v>652</v>
      </c>
      <c r="B378">
        <v>25336</v>
      </c>
      <c r="C378">
        <v>2</v>
      </c>
      <c r="D378" t="s">
        <v>653</v>
      </c>
      <c r="E378" t="s">
        <v>654</v>
      </c>
      <c r="F378">
        <v>399</v>
      </c>
      <c r="G378">
        <v>34.159999999999997</v>
      </c>
      <c r="H378">
        <v>112.93</v>
      </c>
      <c r="I378">
        <v>25.69</v>
      </c>
      <c r="J378">
        <v>84.94</v>
      </c>
      <c r="K378">
        <v>127</v>
      </c>
      <c r="T378">
        <v>3</v>
      </c>
      <c r="U378">
        <v>2</v>
      </c>
      <c r="V378" t="s">
        <v>93</v>
      </c>
      <c r="W378" t="s">
        <v>420</v>
      </c>
      <c r="X378">
        <v>13</v>
      </c>
      <c r="Y378">
        <v>10</v>
      </c>
      <c r="Z378" t="s">
        <v>655</v>
      </c>
      <c r="AA378" t="s">
        <v>656</v>
      </c>
      <c r="AB378" t="s">
        <v>96</v>
      </c>
      <c r="AC378" t="s">
        <v>97</v>
      </c>
      <c r="AD378" t="s">
        <v>657</v>
      </c>
      <c r="AG378" t="s">
        <v>658</v>
      </c>
      <c r="AH378">
        <v>0</v>
      </c>
      <c r="AI378">
        <v>199</v>
      </c>
      <c r="AJ378">
        <v>20</v>
      </c>
      <c r="AK378">
        <v>450</v>
      </c>
      <c r="AL378">
        <v>1.1299999999999999</v>
      </c>
    </row>
    <row r="379" spans="1:38" x14ac:dyDescent="0.3">
      <c r="A379" t="s">
        <v>652</v>
      </c>
      <c r="B379">
        <v>25336</v>
      </c>
      <c r="C379">
        <v>3</v>
      </c>
      <c r="D379" t="s">
        <v>653</v>
      </c>
      <c r="E379" t="s">
        <v>654</v>
      </c>
      <c r="F379">
        <v>399</v>
      </c>
      <c r="G379">
        <v>34.03</v>
      </c>
      <c r="H379">
        <v>112.51</v>
      </c>
      <c r="I379">
        <v>25.69</v>
      </c>
      <c r="J379">
        <v>84.94</v>
      </c>
      <c r="K379">
        <v>61</v>
      </c>
      <c r="T379">
        <v>3</v>
      </c>
      <c r="U379">
        <v>2</v>
      </c>
      <c r="V379" t="s">
        <v>93</v>
      </c>
      <c r="W379" t="s">
        <v>414</v>
      </c>
      <c r="X379">
        <v>13</v>
      </c>
      <c r="Y379">
        <v>10</v>
      </c>
      <c r="Z379" t="s">
        <v>655</v>
      </c>
      <c r="AA379" t="s">
        <v>656</v>
      </c>
      <c r="AB379" t="s">
        <v>96</v>
      </c>
      <c r="AC379" t="s">
        <v>97</v>
      </c>
      <c r="AD379" t="s">
        <v>657</v>
      </c>
      <c r="AG379" t="s">
        <v>658</v>
      </c>
      <c r="AH379">
        <v>0</v>
      </c>
      <c r="AI379">
        <v>199</v>
      </c>
      <c r="AJ379">
        <v>20</v>
      </c>
      <c r="AK379">
        <v>450</v>
      </c>
      <c r="AL379">
        <v>1.1299999999999999</v>
      </c>
    </row>
    <row r="380" spans="1:38" x14ac:dyDescent="0.3">
      <c r="A380" t="s">
        <v>652</v>
      </c>
      <c r="B380">
        <v>25336</v>
      </c>
      <c r="C380">
        <v>4</v>
      </c>
      <c r="D380" t="s">
        <v>653</v>
      </c>
      <c r="E380" t="s">
        <v>654</v>
      </c>
      <c r="F380">
        <v>399</v>
      </c>
      <c r="G380">
        <v>41.12</v>
      </c>
      <c r="H380">
        <v>135.94</v>
      </c>
      <c r="I380">
        <v>32.71</v>
      </c>
      <c r="J380">
        <v>108.15</v>
      </c>
      <c r="K380">
        <v>13</v>
      </c>
      <c r="T380">
        <v>4</v>
      </c>
      <c r="U380">
        <v>2</v>
      </c>
      <c r="V380" t="s">
        <v>93</v>
      </c>
      <c r="W380" t="s">
        <v>659</v>
      </c>
      <c r="X380">
        <v>13</v>
      </c>
      <c r="Y380">
        <v>10</v>
      </c>
      <c r="Z380" t="s">
        <v>655</v>
      </c>
      <c r="AA380" t="s">
        <v>656</v>
      </c>
      <c r="AB380" t="s">
        <v>96</v>
      </c>
      <c r="AC380" t="s">
        <v>97</v>
      </c>
      <c r="AD380" t="s">
        <v>657</v>
      </c>
      <c r="AG380" t="s">
        <v>658</v>
      </c>
      <c r="AH380">
        <v>0</v>
      </c>
      <c r="AI380">
        <v>199</v>
      </c>
      <c r="AJ380">
        <v>20</v>
      </c>
      <c r="AK380">
        <v>450</v>
      </c>
      <c r="AL380">
        <v>1.1299999999999999</v>
      </c>
    </row>
    <row r="381" spans="1:38" x14ac:dyDescent="0.3">
      <c r="A381" t="s">
        <v>652</v>
      </c>
      <c r="B381">
        <v>25336</v>
      </c>
      <c r="C381">
        <v>5</v>
      </c>
      <c r="D381" t="s">
        <v>653</v>
      </c>
      <c r="E381" t="s">
        <v>654</v>
      </c>
      <c r="F381">
        <v>399</v>
      </c>
      <c r="G381">
        <v>41.15</v>
      </c>
      <c r="H381">
        <v>136.06</v>
      </c>
      <c r="I381">
        <v>32.78</v>
      </c>
      <c r="J381">
        <v>108.39</v>
      </c>
      <c r="K381">
        <v>52</v>
      </c>
      <c r="T381">
        <v>4</v>
      </c>
      <c r="U381">
        <v>2</v>
      </c>
      <c r="V381" t="s">
        <v>93</v>
      </c>
      <c r="W381" t="s">
        <v>660</v>
      </c>
      <c r="X381">
        <v>13</v>
      </c>
      <c r="Y381">
        <v>10</v>
      </c>
      <c r="Z381" t="s">
        <v>655</v>
      </c>
      <c r="AA381" t="s">
        <v>656</v>
      </c>
      <c r="AB381" t="s">
        <v>96</v>
      </c>
      <c r="AC381" t="s">
        <v>97</v>
      </c>
      <c r="AD381" t="s">
        <v>657</v>
      </c>
      <c r="AG381" t="s">
        <v>658</v>
      </c>
      <c r="AH381">
        <v>0</v>
      </c>
      <c r="AI381">
        <v>199</v>
      </c>
      <c r="AJ381">
        <v>20</v>
      </c>
      <c r="AK381">
        <v>450</v>
      </c>
      <c r="AL381">
        <v>1.1299999999999999</v>
      </c>
    </row>
    <row r="382" spans="1:38" x14ac:dyDescent="0.3">
      <c r="A382" t="s">
        <v>661</v>
      </c>
      <c r="B382">
        <v>8266</v>
      </c>
      <c r="C382">
        <v>1</v>
      </c>
      <c r="D382" t="s">
        <v>662</v>
      </c>
      <c r="E382" t="s">
        <v>130</v>
      </c>
      <c r="F382">
        <v>84</v>
      </c>
      <c r="G382">
        <v>19.02</v>
      </c>
      <c r="H382">
        <v>62.88</v>
      </c>
      <c r="I382">
        <v>14.78</v>
      </c>
      <c r="J382">
        <v>48.87</v>
      </c>
      <c r="K382">
        <v>60</v>
      </c>
      <c r="T382">
        <v>2</v>
      </c>
      <c r="U382">
        <v>1</v>
      </c>
      <c r="V382" t="s">
        <v>93</v>
      </c>
      <c r="W382">
        <v>62</v>
      </c>
      <c r="X382">
        <v>6</v>
      </c>
      <c r="Y382">
        <v>6</v>
      </c>
      <c r="Z382" t="s">
        <v>663</v>
      </c>
      <c r="AA382" t="s">
        <v>664</v>
      </c>
      <c r="AB382" t="s">
        <v>96</v>
      </c>
      <c r="AC382" t="s">
        <v>97</v>
      </c>
      <c r="AD382" t="s">
        <v>665</v>
      </c>
      <c r="AG382" t="s">
        <v>666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661</v>
      </c>
      <c r="B383">
        <v>8266</v>
      </c>
      <c r="C383">
        <v>2</v>
      </c>
      <c r="D383" t="s">
        <v>662</v>
      </c>
      <c r="E383" t="s">
        <v>130</v>
      </c>
      <c r="F383">
        <v>84</v>
      </c>
      <c r="G383">
        <v>20.76</v>
      </c>
      <c r="H383">
        <v>68.64</v>
      </c>
      <c r="I383">
        <v>16.3</v>
      </c>
      <c r="J383">
        <v>53.91</v>
      </c>
      <c r="K383">
        <v>24</v>
      </c>
      <c r="T383">
        <v>3</v>
      </c>
      <c r="U383">
        <v>1</v>
      </c>
      <c r="V383" t="s">
        <v>93</v>
      </c>
      <c r="W383">
        <v>68</v>
      </c>
      <c r="X383">
        <v>6</v>
      </c>
      <c r="Y383">
        <v>6</v>
      </c>
      <c r="Z383" t="s">
        <v>663</v>
      </c>
      <c r="AA383" t="s">
        <v>664</v>
      </c>
      <c r="AB383" t="s">
        <v>96</v>
      </c>
      <c r="AC383" t="s">
        <v>97</v>
      </c>
      <c r="AD383" t="s">
        <v>665</v>
      </c>
      <c r="AG383" t="s">
        <v>666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661</v>
      </c>
      <c r="B384">
        <v>8274</v>
      </c>
      <c r="C384">
        <v>1</v>
      </c>
      <c r="D384" t="s">
        <v>667</v>
      </c>
      <c r="E384" t="s">
        <v>280</v>
      </c>
      <c r="F384">
        <v>80</v>
      </c>
      <c r="G384">
        <v>19.100000000000001</v>
      </c>
      <c r="H384">
        <v>63.15</v>
      </c>
      <c r="I384">
        <v>16.61</v>
      </c>
      <c r="J384">
        <v>54.93</v>
      </c>
      <c r="K384">
        <v>40</v>
      </c>
      <c r="T384">
        <v>2</v>
      </c>
      <c r="U384">
        <v>1</v>
      </c>
      <c r="V384" t="s">
        <v>93</v>
      </c>
      <c r="W384">
        <v>63</v>
      </c>
      <c r="X384">
        <v>5</v>
      </c>
      <c r="Y384">
        <v>5</v>
      </c>
      <c r="Z384" t="s">
        <v>668</v>
      </c>
      <c r="AA384" t="s">
        <v>669</v>
      </c>
      <c r="AB384" t="s">
        <v>96</v>
      </c>
      <c r="AC384" t="s">
        <v>97</v>
      </c>
      <c r="AD384" t="s">
        <v>665</v>
      </c>
      <c r="AG384" t="s">
        <v>670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 x14ac:dyDescent="0.3">
      <c r="A385" t="s">
        <v>661</v>
      </c>
      <c r="B385">
        <v>8274</v>
      </c>
      <c r="C385">
        <v>2</v>
      </c>
      <c r="D385" t="s">
        <v>667</v>
      </c>
      <c r="E385" t="s">
        <v>280</v>
      </c>
      <c r="F385">
        <v>80</v>
      </c>
      <c r="G385">
        <v>21.86</v>
      </c>
      <c r="H385">
        <v>72.27</v>
      </c>
      <c r="I385">
        <v>19.010000000000002</v>
      </c>
      <c r="J385">
        <v>62.85</v>
      </c>
      <c r="K385">
        <v>40</v>
      </c>
      <c r="T385">
        <v>3</v>
      </c>
      <c r="U385">
        <v>1</v>
      </c>
      <c r="V385" t="s">
        <v>93</v>
      </c>
      <c r="W385">
        <v>72</v>
      </c>
      <c r="X385">
        <v>5</v>
      </c>
      <c r="Y385">
        <v>5</v>
      </c>
      <c r="Z385" t="s">
        <v>668</v>
      </c>
      <c r="AA385" t="s">
        <v>669</v>
      </c>
      <c r="AB385" t="s">
        <v>96</v>
      </c>
      <c r="AC385" t="s">
        <v>97</v>
      </c>
      <c r="AD385" t="s">
        <v>665</v>
      </c>
      <c r="AG385" t="s">
        <v>670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661</v>
      </c>
      <c r="B386">
        <v>109732</v>
      </c>
      <c r="C386">
        <v>1</v>
      </c>
      <c r="D386" t="s">
        <v>671</v>
      </c>
      <c r="E386" t="s">
        <v>672</v>
      </c>
      <c r="F386">
        <v>18</v>
      </c>
      <c r="G386">
        <v>24.57</v>
      </c>
      <c r="H386">
        <v>81.25</v>
      </c>
      <c r="I386">
        <v>21.22</v>
      </c>
      <c r="J386">
        <v>70.180000000000007</v>
      </c>
      <c r="K386">
        <v>2</v>
      </c>
      <c r="T386">
        <v>3</v>
      </c>
      <c r="U386">
        <v>2</v>
      </c>
      <c r="V386" t="s">
        <v>93</v>
      </c>
      <c r="W386">
        <v>81</v>
      </c>
      <c r="X386">
        <v>10</v>
      </c>
      <c r="Y386">
        <v>10</v>
      </c>
      <c r="Z386" t="s">
        <v>673</v>
      </c>
      <c r="AA386" t="s">
        <v>674</v>
      </c>
      <c r="AB386" t="s">
        <v>96</v>
      </c>
      <c r="AC386" t="s">
        <v>97</v>
      </c>
      <c r="AD386" t="s">
        <v>665</v>
      </c>
      <c r="AG386" t="s">
        <v>675</v>
      </c>
      <c r="AH386">
        <v>0</v>
      </c>
      <c r="AI386">
        <v>293</v>
      </c>
      <c r="AJ386">
        <v>41</v>
      </c>
      <c r="AK386">
        <v>22</v>
      </c>
      <c r="AL386">
        <v>1.22</v>
      </c>
    </row>
    <row r="387" spans="1:38" x14ac:dyDescent="0.3">
      <c r="A387" t="s">
        <v>661</v>
      </c>
      <c r="B387">
        <v>109732</v>
      </c>
      <c r="C387">
        <v>2</v>
      </c>
      <c r="D387" t="s">
        <v>671</v>
      </c>
      <c r="E387" t="s">
        <v>672</v>
      </c>
      <c r="F387">
        <v>18</v>
      </c>
      <c r="G387">
        <v>28.08</v>
      </c>
      <c r="H387">
        <v>92.83</v>
      </c>
      <c r="I387">
        <v>24.25</v>
      </c>
      <c r="J387">
        <v>80.180000000000007</v>
      </c>
      <c r="K387">
        <v>2</v>
      </c>
      <c r="T387">
        <v>3</v>
      </c>
      <c r="U387">
        <v>2</v>
      </c>
      <c r="V387" t="s">
        <v>93</v>
      </c>
      <c r="W387">
        <v>92</v>
      </c>
      <c r="X387">
        <v>10</v>
      </c>
      <c r="Y387">
        <v>10</v>
      </c>
      <c r="Z387" t="s">
        <v>673</v>
      </c>
      <c r="AA387" t="s">
        <v>674</v>
      </c>
      <c r="AB387" t="s">
        <v>96</v>
      </c>
      <c r="AC387" t="s">
        <v>97</v>
      </c>
      <c r="AD387" t="s">
        <v>665</v>
      </c>
      <c r="AG387" t="s">
        <v>675</v>
      </c>
      <c r="AH387">
        <v>0</v>
      </c>
      <c r="AI387">
        <v>293</v>
      </c>
      <c r="AJ387">
        <v>41</v>
      </c>
      <c r="AK387">
        <v>22</v>
      </c>
      <c r="AL387">
        <v>1.22</v>
      </c>
    </row>
    <row r="388" spans="1:38" x14ac:dyDescent="0.3">
      <c r="A388" t="s">
        <v>661</v>
      </c>
      <c r="B388">
        <v>109732</v>
      </c>
      <c r="C388">
        <v>3</v>
      </c>
      <c r="D388" t="s">
        <v>671</v>
      </c>
      <c r="E388" t="s">
        <v>672</v>
      </c>
      <c r="F388">
        <v>18</v>
      </c>
      <c r="G388">
        <v>28.74</v>
      </c>
      <c r="H388">
        <v>95.04</v>
      </c>
      <c r="I388">
        <v>24.83</v>
      </c>
      <c r="J388">
        <v>82.09</v>
      </c>
      <c r="K388">
        <v>2</v>
      </c>
      <c r="T388">
        <v>3</v>
      </c>
      <c r="U388">
        <v>2</v>
      </c>
      <c r="V388" t="s">
        <v>93</v>
      </c>
      <c r="W388" t="s">
        <v>567</v>
      </c>
      <c r="X388">
        <v>10</v>
      </c>
      <c r="Y388">
        <v>10</v>
      </c>
      <c r="Z388" t="s">
        <v>673</v>
      </c>
      <c r="AA388" t="s">
        <v>674</v>
      </c>
      <c r="AB388" t="s">
        <v>96</v>
      </c>
      <c r="AC388" t="s">
        <v>97</v>
      </c>
      <c r="AD388" t="s">
        <v>665</v>
      </c>
      <c r="AG388" t="s">
        <v>675</v>
      </c>
      <c r="AH388">
        <v>0</v>
      </c>
      <c r="AI388">
        <v>293</v>
      </c>
      <c r="AJ388">
        <v>41</v>
      </c>
      <c r="AK388">
        <v>22</v>
      </c>
      <c r="AL388">
        <v>1.22</v>
      </c>
    </row>
    <row r="389" spans="1:38" x14ac:dyDescent="0.3">
      <c r="A389" t="s">
        <v>661</v>
      </c>
      <c r="B389">
        <v>109732</v>
      </c>
      <c r="C389">
        <v>4</v>
      </c>
      <c r="D389" t="s">
        <v>671</v>
      </c>
      <c r="E389" t="s">
        <v>672</v>
      </c>
      <c r="F389">
        <v>18</v>
      </c>
      <c r="G389">
        <v>29.2</v>
      </c>
      <c r="H389">
        <v>96.54</v>
      </c>
      <c r="I389">
        <v>25.22</v>
      </c>
      <c r="J389">
        <v>83.38</v>
      </c>
      <c r="K389">
        <v>2</v>
      </c>
      <c r="T389">
        <v>3</v>
      </c>
      <c r="U389">
        <v>2</v>
      </c>
      <c r="V389" t="s">
        <v>93</v>
      </c>
      <c r="W389" t="s">
        <v>568</v>
      </c>
      <c r="X389">
        <v>10</v>
      </c>
      <c r="Y389">
        <v>10</v>
      </c>
      <c r="Z389" t="s">
        <v>673</v>
      </c>
      <c r="AA389" t="s">
        <v>674</v>
      </c>
      <c r="AB389" t="s">
        <v>96</v>
      </c>
      <c r="AC389" t="s">
        <v>97</v>
      </c>
      <c r="AD389" t="s">
        <v>665</v>
      </c>
      <c r="AG389" t="s">
        <v>675</v>
      </c>
      <c r="AH389">
        <v>0</v>
      </c>
      <c r="AI389">
        <v>293</v>
      </c>
      <c r="AJ389">
        <v>41</v>
      </c>
      <c r="AK389">
        <v>22</v>
      </c>
      <c r="AL389">
        <v>1.22</v>
      </c>
    </row>
    <row r="390" spans="1:38" x14ac:dyDescent="0.3">
      <c r="A390" t="s">
        <v>661</v>
      </c>
      <c r="B390">
        <v>109732</v>
      </c>
      <c r="C390">
        <v>5</v>
      </c>
      <c r="D390" t="s">
        <v>671</v>
      </c>
      <c r="E390" t="s">
        <v>672</v>
      </c>
      <c r="F390">
        <v>18</v>
      </c>
      <c r="G390">
        <v>29.7</v>
      </c>
      <c r="H390">
        <v>98.19</v>
      </c>
      <c r="I390">
        <v>25.65</v>
      </c>
      <c r="J390">
        <v>84.81</v>
      </c>
      <c r="K390">
        <v>10</v>
      </c>
      <c r="T390">
        <v>3</v>
      </c>
      <c r="U390">
        <v>2</v>
      </c>
      <c r="V390" t="s">
        <v>93</v>
      </c>
      <c r="W390">
        <v>98</v>
      </c>
      <c r="X390">
        <v>10</v>
      </c>
      <c r="Y390">
        <v>10</v>
      </c>
      <c r="Z390" t="s">
        <v>673</v>
      </c>
      <c r="AA390" t="s">
        <v>674</v>
      </c>
      <c r="AB390" t="s">
        <v>96</v>
      </c>
      <c r="AC390" t="s">
        <v>97</v>
      </c>
      <c r="AD390" t="s">
        <v>665</v>
      </c>
      <c r="AG390" t="s">
        <v>675</v>
      </c>
      <c r="AH390">
        <v>0</v>
      </c>
      <c r="AI390">
        <v>293</v>
      </c>
      <c r="AJ390">
        <v>41</v>
      </c>
      <c r="AK390">
        <v>22</v>
      </c>
      <c r="AL390">
        <v>1.22</v>
      </c>
    </row>
    <row r="391" spans="1:38" x14ac:dyDescent="0.3">
      <c r="A391" t="s">
        <v>661</v>
      </c>
      <c r="B391">
        <v>8278</v>
      </c>
      <c r="C391">
        <v>1</v>
      </c>
      <c r="D391" t="s">
        <v>676</v>
      </c>
      <c r="E391" t="s">
        <v>677</v>
      </c>
      <c r="F391">
        <v>96</v>
      </c>
      <c r="G391">
        <v>14.53</v>
      </c>
      <c r="H391">
        <v>48.05</v>
      </c>
      <c r="I391">
        <v>11.87</v>
      </c>
      <c r="J391">
        <v>39.24</v>
      </c>
      <c r="K391">
        <v>36</v>
      </c>
      <c r="T391">
        <v>2</v>
      </c>
      <c r="U391">
        <v>1</v>
      </c>
      <c r="V391" t="s">
        <v>93</v>
      </c>
      <c r="W391">
        <v>48</v>
      </c>
      <c r="X391">
        <v>6</v>
      </c>
      <c r="Y391">
        <v>6</v>
      </c>
      <c r="Z391" t="s">
        <v>678</v>
      </c>
      <c r="AA391" t="s">
        <v>679</v>
      </c>
      <c r="AB391" t="s">
        <v>96</v>
      </c>
      <c r="AC391" t="s">
        <v>97</v>
      </c>
      <c r="AD391" t="s">
        <v>665</v>
      </c>
      <c r="AG391" t="s">
        <v>680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661</v>
      </c>
      <c r="B392">
        <v>8278</v>
      </c>
      <c r="C392">
        <v>2</v>
      </c>
      <c r="D392" t="s">
        <v>676</v>
      </c>
      <c r="E392" t="s">
        <v>677</v>
      </c>
      <c r="F392">
        <v>96</v>
      </c>
      <c r="G392">
        <v>19.21</v>
      </c>
      <c r="H392">
        <v>63.51</v>
      </c>
      <c r="I392">
        <v>16.170000000000002</v>
      </c>
      <c r="J392">
        <v>53.46</v>
      </c>
      <c r="K392">
        <v>36</v>
      </c>
      <c r="T392">
        <v>3</v>
      </c>
      <c r="U392">
        <v>1</v>
      </c>
      <c r="V392" t="s">
        <v>93</v>
      </c>
      <c r="W392">
        <v>63</v>
      </c>
      <c r="X392">
        <v>6</v>
      </c>
      <c r="Y392">
        <v>6</v>
      </c>
      <c r="Z392" t="s">
        <v>678</v>
      </c>
      <c r="AA392" t="s">
        <v>679</v>
      </c>
      <c r="AB392" t="s">
        <v>96</v>
      </c>
      <c r="AC392" t="s">
        <v>97</v>
      </c>
      <c r="AD392" t="s">
        <v>665</v>
      </c>
      <c r="AG392" t="s">
        <v>680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661</v>
      </c>
      <c r="B393">
        <v>8278</v>
      </c>
      <c r="C393">
        <v>3</v>
      </c>
      <c r="D393" t="s">
        <v>676</v>
      </c>
      <c r="E393" t="s">
        <v>677</v>
      </c>
      <c r="F393">
        <v>96</v>
      </c>
      <c r="G393">
        <v>22.23</v>
      </c>
      <c r="H393">
        <v>73.489999999999995</v>
      </c>
      <c r="I393">
        <v>18.940000000000001</v>
      </c>
      <c r="J393">
        <v>62.64</v>
      </c>
      <c r="K393">
        <v>24</v>
      </c>
      <c r="T393">
        <v>3</v>
      </c>
      <c r="U393">
        <v>1</v>
      </c>
      <c r="V393" t="s">
        <v>93</v>
      </c>
      <c r="W393">
        <v>73</v>
      </c>
      <c r="X393">
        <v>6</v>
      </c>
      <c r="Y393">
        <v>6</v>
      </c>
      <c r="Z393" t="s">
        <v>678</v>
      </c>
      <c r="AA393" t="s">
        <v>679</v>
      </c>
      <c r="AB393" t="s">
        <v>96</v>
      </c>
      <c r="AC393" t="s">
        <v>97</v>
      </c>
      <c r="AD393" t="s">
        <v>665</v>
      </c>
      <c r="AG393" t="s">
        <v>680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661</v>
      </c>
      <c r="B394">
        <v>8275</v>
      </c>
      <c r="C394">
        <v>1</v>
      </c>
      <c r="D394" t="s">
        <v>681</v>
      </c>
      <c r="E394" t="s">
        <v>229</v>
      </c>
      <c r="F394">
        <v>72</v>
      </c>
      <c r="G394">
        <v>19.920000000000002</v>
      </c>
      <c r="H394">
        <v>65.87</v>
      </c>
      <c r="I394">
        <v>14.42</v>
      </c>
      <c r="J394">
        <v>47.7</v>
      </c>
      <c r="K394">
        <v>16</v>
      </c>
      <c r="T394">
        <v>2</v>
      </c>
      <c r="U394">
        <v>1</v>
      </c>
      <c r="V394" t="s">
        <v>93</v>
      </c>
      <c r="W394">
        <v>65</v>
      </c>
      <c r="X394">
        <v>4</v>
      </c>
      <c r="Y394">
        <v>4</v>
      </c>
      <c r="Z394" t="s">
        <v>682</v>
      </c>
      <c r="AA394" t="s">
        <v>683</v>
      </c>
      <c r="AB394" t="s">
        <v>96</v>
      </c>
      <c r="AC394" t="s">
        <v>97</v>
      </c>
      <c r="AD394" t="s">
        <v>665</v>
      </c>
      <c r="AG394" t="s">
        <v>684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661</v>
      </c>
      <c r="B395">
        <v>8275</v>
      </c>
      <c r="C395">
        <v>2</v>
      </c>
      <c r="D395" t="s">
        <v>681</v>
      </c>
      <c r="E395" t="s">
        <v>229</v>
      </c>
      <c r="F395">
        <v>72</v>
      </c>
      <c r="G395">
        <v>20.87</v>
      </c>
      <c r="H395">
        <v>69.010000000000005</v>
      </c>
      <c r="I395">
        <v>15.84</v>
      </c>
      <c r="J395">
        <v>52.38</v>
      </c>
      <c r="K395">
        <v>40</v>
      </c>
      <c r="T395">
        <v>3</v>
      </c>
      <c r="U395">
        <v>1</v>
      </c>
      <c r="V395" t="s">
        <v>93</v>
      </c>
      <c r="W395">
        <v>69</v>
      </c>
      <c r="X395">
        <v>4</v>
      </c>
      <c r="Y395">
        <v>4</v>
      </c>
      <c r="Z395" t="s">
        <v>682</v>
      </c>
      <c r="AA395" t="s">
        <v>683</v>
      </c>
      <c r="AB395" t="s">
        <v>96</v>
      </c>
      <c r="AC395" t="s">
        <v>97</v>
      </c>
      <c r="AD395" t="s">
        <v>665</v>
      </c>
      <c r="AG395" t="s">
        <v>684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661</v>
      </c>
      <c r="B396">
        <v>8275</v>
      </c>
      <c r="C396">
        <v>3</v>
      </c>
      <c r="D396" t="s">
        <v>681</v>
      </c>
      <c r="E396" t="s">
        <v>229</v>
      </c>
      <c r="F396">
        <v>72</v>
      </c>
      <c r="G396">
        <v>24.4</v>
      </c>
      <c r="H396">
        <v>80.69</v>
      </c>
      <c r="I396">
        <v>17.96</v>
      </c>
      <c r="J396">
        <v>59.4</v>
      </c>
      <c r="K396">
        <v>16</v>
      </c>
      <c r="T396">
        <v>3</v>
      </c>
      <c r="U396">
        <v>1</v>
      </c>
      <c r="V396" t="s">
        <v>93</v>
      </c>
      <c r="W396">
        <v>80</v>
      </c>
      <c r="X396">
        <v>4</v>
      </c>
      <c r="Y396">
        <v>4</v>
      </c>
      <c r="Z396" t="s">
        <v>682</v>
      </c>
      <c r="AA396" t="s">
        <v>683</v>
      </c>
      <c r="AB396" t="s">
        <v>96</v>
      </c>
      <c r="AC396" t="s">
        <v>97</v>
      </c>
      <c r="AD396" t="s">
        <v>665</v>
      </c>
      <c r="AG396" t="s">
        <v>684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661</v>
      </c>
      <c r="B397">
        <v>26992</v>
      </c>
      <c r="C397">
        <v>1</v>
      </c>
      <c r="D397" t="s">
        <v>685</v>
      </c>
      <c r="E397" t="s">
        <v>686</v>
      </c>
      <c r="F397">
        <v>40</v>
      </c>
      <c r="G397">
        <v>29.4</v>
      </c>
      <c r="H397">
        <v>97.22</v>
      </c>
      <c r="I397">
        <v>25.37</v>
      </c>
      <c r="J397">
        <v>83.9</v>
      </c>
      <c r="K397">
        <v>40</v>
      </c>
      <c r="T397">
        <v>3</v>
      </c>
      <c r="U397">
        <v>2</v>
      </c>
      <c r="V397" t="s">
        <v>93</v>
      </c>
      <c r="W397">
        <v>97</v>
      </c>
      <c r="X397">
        <v>11</v>
      </c>
      <c r="Y397">
        <v>11</v>
      </c>
      <c r="Z397" t="s">
        <v>687</v>
      </c>
      <c r="AA397" t="s">
        <v>688</v>
      </c>
      <c r="AB397" t="s">
        <v>96</v>
      </c>
      <c r="AC397" t="s">
        <v>97</v>
      </c>
      <c r="AD397" t="s">
        <v>665</v>
      </c>
      <c r="AG397" t="s">
        <v>689</v>
      </c>
      <c r="AH397">
        <v>0</v>
      </c>
      <c r="AI397">
        <v>268</v>
      </c>
      <c r="AJ397">
        <v>58</v>
      </c>
      <c r="AK397">
        <v>43</v>
      </c>
      <c r="AL397">
        <v>1.07</v>
      </c>
    </row>
    <row r="398" spans="1:38" x14ac:dyDescent="0.3">
      <c r="A398" t="s">
        <v>661</v>
      </c>
      <c r="B398">
        <v>8263</v>
      </c>
      <c r="C398">
        <v>1</v>
      </c>
      <c r="D398" t="s">
        <v>198</v>
      </c>
      <c r="E398" t="s">
        <v>690</v>
      </c>
      <c r="F398">
        <v>95</v>
      </c>
      <c r="G398">
        <v>19.22</v>
      </c>
      <c r="H398">
        <v>63.57</v>
      </c>
      <c r="I398">
        <v>14.45</v>
      </c>
      <c r="J398">
        <v>47.79</v>
      </c>
      <c r="K398">
        <v>90</v>
      </c>
      <c r="T398">
        <v>2</v>
      </c>
      <c r="U398">
        <v>1</v>
      </c>
      <c r="V398" t="s">
        <v>93</v>
      </c>
      <c r="W398">
        <v>63</v>
      </c>
      <c r="X398">
        <v>5</v>
      </c>
      <c r="Y398">
        <v>5</v>
      </c>
      <c r="Z398" t="s">
        <v>691</v>
      </c>
      <c r="AA398" t="s">
        <v>692</v>
      </c>
      <c r="AB398" t="s">
        <v>96</v>
      </c>
      <c r="AC398" t="s">
        <v>97</v>
      </c>
      <c r="AD398" t="s">
        <v>665</v>
      </c>
      <c r="AG398" t="s">
        <v>693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661</v>
      </c>
      <c r="B399">
        <v>8263</v>
      </c>
      <c r="C399">
        <v>2</v>
      </c>
      <c r="D399" t="s">
        <v>198</v>
      </c>
      <c r="E399" t="s">
        <v>690</v>
      </c>
      <c r="F399">
        <v>95</v>
      </c>
      <c r="G399">
        <v>22.05</v>
      </c>
      <c r="H399">
        <v>72.92</v>
      </c>
      <c r="I399">
        <v>15.43</v>
      </c>
      <c r="J399">
        <v>51.03</v>
      </c>
      <c r="K399">
        <v>5</v>
      </c>
      <c r="T399">
        <v>2</v>
      </c>
      <c r="U399">
        <v>1</v>
      </c>
      <c r="V399" t="s">
        <v>93</v>
      </c>
      <c r="W399">
        <v>72</v>
      </c>
      <c r="X399">
        <v>5</v>
      </c>
      <c r="Y399">
        <v>5</v>
      </c>
      <c r="Z399" t="s">
        <v>691</v>
      </c>
      <c r="AA399" t="s">
        <v>692</v>
      </c>
      <c r="AB399" t="s">
        <v>96</v>
      </c>
      <c r="AC399" t="s">
        <v>97</v>
      </c>
      <c r="AD399" t="s">
        <v>665</v>
      </c>
      <c r="AG399" t="s">
        <v>693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661</v>
      </c>
      <c r="B400">
        <v>8270</v>
      </c>
      <c r="C400">
        <v>1</v>
      </c>
      <c r="D400" t="s">
        <v>694</v>
      </c>
      <c r="E400" t="s">
        <v>111</v>
      </c>
      <c r="F400">
        <v>156</v>
      </c>
      <c r="G400">
        <v>22.11</v>
      </c>
      <c r="H400">
        <v>73.12</v>
      </c>
      <c r="I400">
        <v>17.38</v>
      </c>
      <c r="J400">
        <v>57.48</v>
      </c>
      <c r="K400">
        <v>72</v>
      </c>
      <c r="T400">
        <v>3</v>
      </c>
      <c r="U400">
        <v>1</v>
      </c>
      <c r="V400" t="s">
        <v>138</v>
      </c>
      <c r="W400">
        <v>73</v>
      </c>
      <c r="X400">
        <v>6</v>
      </c>
      <c r="Y400">
        <v>6</v>
      </c>
      <c r="Z400" t="s">
        <v>695</v>
      </c>
      <c r="AA400" t="s">
        <v>696</v>
      </c>
      <c r="AB400" t="s">
        <v>96</v>
      </c>
      <c r="AC400" t="s">
        <v>97</v>
      </c>
      <c r="AD400" t="s">
        <v>665</v>
      </c>
      <c r="AG400" t="s">
        <v>697</v>
      </c>
      <c r="AH400">
        <v>0</v>
      </c>
      <c r="AI400">
        <v>237</v>
      </c>
      <c r="AJ400">
        <v>39</v>
      </c>
      <c r="AK400">
        <v>32</v>
      </c>
      <c r="AL400">
        <v>0.21</v>
      </c>
    </row>
    <row r="401" spans="1:38" x14ac:dyDescent="0.3">
      <c r="A401" t="s">
        <v>661</v>
      </c>
      <c r="B401">
        <v>8270</v>
      </c>
      <c r="C401">
        <v>2</v>
      </c>
      <c r="D401" t="s">
        <v>694</v>
      </c>
      <c r="E401" t="s">
        <v>111</v>
      </c>
      <c r="F401">
        <v>156</v>
      </c>
      <c r="G401">
        <v>22.99</v>
      </c>
      <c r="H401">
        <v>76.02</v>
      </c>
      <c r="I401">
        <v>18.13</v>
      </c>
      <c r="J401">
        <v>59.94</v>
      </c>
      <c r="K401">
        <v>84</v>
      </c>
      <c r="T401">
        <v>3</v>
      </c>
      <c r="U401">
        <v>1</v>
      </c>
      <c r="V401" t="s">
        <v>138</v>
      </c>
      <c r="W401">
        <v>76</v>
      </c>
      <c r="X401">
        <v>6</v>
      </c>
      <c r="Y401">
        <v>6</v>
      </c>
      <c r="Z401" t="s">
        <v>695</v>
      </c>
      <c r="AA401" t="s">
        <v>696</v>
      </c>
      <c r="AB401" t="s">
        <v>96</v>
      </c>
      <c r="AC401" t="s">
        <v>97</v>
      </c>
      <c r="AD401" t="s">
        <v>665</v>
      </c>
      <c r="AG401" t="s">
        <v>697</v>
      </c>
      <c r="AH401">
        <v>0</v>
      </c>
      <c r="AI401">
        <v>237</v>
      </c>
      <c r="AJ401">
        <v>39</v>
      </c>
      <c r="AK401">
        <v>32</v>
      </c>
      <c r="AL401">
        <v>0.21</v>
      </c>
    </row>
    <row r="402" spans="1:38" x14ac:dyDescent="0.3">
      <c r="A402" t="s">
        <v>661</v>
      </c>
      <c r="B402">
        <v>8272</v>
      </c>
      <c r="C402">
        <v>1</v>
      </c>
      <c r="D402" t="s">
        <v>698</v>
      </c>
      <c r="E402" t="s">
        <v>699</v>
      </c>
      <c r="F402">
        <v>60</v>
      </c>
      <c r="G402">
        <v>16.37</v>
      </c>
      <c r="H402">
        <v>54.14</v>
      </c>
      <c r="I402">
        <v>12.35</v>
      </c>
      <c r="J402">
        <v>40.83</v>
      </c>
      <c r="K402">
        <v>60</v>
      </c>
      <c r="T402">
        <v>2</v>
      </c>
      <c r="U402">
        <v>1</v>
      </c>
      <c r="V402" t="s">
        <v>93</v>
      </c>
      <c r="W402">
        <v>54</v>
      </c>
      <c r="X402">
        <v>5</v>
      </c>
      <c r="Y402">
        <v>5</v>
      </c>
      <c r="Z402" t="s">
        <v>700</v>
      </c>
      <c r="AA402" t="s">
        <v>701</v>
      </c>
      <c r="AB402" t="s">
        <v>96</v>
      </c>
      <c r="AC402" t="s">
        <v>97</v>
      </c>
      <c r="AD402" t="s">
        <v>665</v>
      </c>
      <c r="AG402" t="s">
        <v>702</v>
      </c>
      <c r="AH402">
        <v>0</v>
      </c>
      <c r="AI402">
        <v>132</v>
      </c>
      <c r="AJ402">
        <v>26</v>
      </c>
      <c r="AK402">
        <v>0</v>
      </c>
      <c r="AL402">
        <v>0</v>
      </c>
    </row>
    <row r="403" spans="1:38" x14ac:dyDescent="0.3">
      <c r="A403" t="s">
        <v>661</v>
      </c>
      <c r="B403">
        <v>8276</v>
      </c>
      <c r="C403">
        <v>1</v>
      </c>
      <c r="D403" t="s">
        <v>304</v>
      </c>
      <c r="E403" t="s">
        <v>379</v>
      </c>
      <c r="F403">
        <v>180</v>
      </c>
      <c r="G403">
        <v>16.239999999999998</v>
      </c>
      <c r="H403">
        <v>53.7</v>
      </c>
      <c r="I403">
        <v>12.33</v>
      </c>
      <c r="J403">
        <v>40.770000000000003</v>
      </c>
      <c r="K403">
        <v>96</v>
      </c>
      <c r="T403">
        <v>2</v>
      </c>
      <c r="U403">
        <v>1</v>
      </c>
      <c r="V403" t="s">
        <v>93</v>
      </c>
      <c r="W403">
        <v>53</v>
      </c>
      <c r="X403">
        <v>6</v>
      </c>
      <c r="Y403">
        <v>6</v>
      </c>
      <c r="Z403" t="s">
        <v>703</v>
      </c>
      <c r="AA403" t="s">
        <v>704</v>
      </c>
      <c r="AB403" t="s">
        <v>96</v>
      </c>
      <c r="AC403" t="s">
        <v>97</v>
      </c>
      <c r="AD403" t="s">
        <v>665</v>
      </c>
      <c r="AG403" t="s">
        <v>705</v>
      </c>
      <c r="AH403">
        <v>0</v>
      </c>
      <c r="AI403">
        <v>227</v>
      </c>
      <c r="AJ403">
        <v>52</v>
      </c>
      <c r="AK403">
        <v>180</v>
      </c>
      <c r="AL403">
        <v>1</v>
      </c>
    </row>
    <row r="404" spans="1:38" x14ac:dyDescent="0.3">
      <c r="A404" t="s">
        <v>661</v>
      </c>
      <c r="B404">
        <v>8276</v>
      </c>
      <c r="C404">
        <v>2</v>
      </c>
      <c r="D404" t="s">
        <v>304</v>
      </c>
      <c r="E404" t="s">
        <v>379</v>
      </c>
      <c r="F404">
        <v>180</v>
      </c>
      <c r="G404">
        <v>19.23</v>
      </c>
      <c r="H404">
        <v>63.58</v>
      </c>
      <c r="I404">
        <v>14.85</v>
      </c>
      <c r="J404">
        <v>49.1</v>
      </c>
      <c r="K404">
        <v>72</v>
      </c>
      <c r="T404">
        <v>3</v>
      </c>
      <c r="U404">
        <v>1</v>
      </c>
      <c r="V404" t="s">
        <v>93</v>
      </c>
      <c r="W404">
        <v>63</v>
      </c>
      <c r="X404">
        <v>6</v>
      </c>
      <c r="Y404">
        <v>6</v>
      </c>
      <c r="Z404" t="s">
        <v>703</v>
      </c>
      <c r="AA404" t="s">
        <v>704</v>
      </c>
      <c r="AB404" t="s">
        <v>96</v>
      </c>
      <c r="AC404" t="s">
        <v>97</v>
      </c>
      <c r="AD404" t="s">
        <v>665</v>
      </c>
      <c r="AG404" t="s">
        <v>705</v>
      </c>
      <c r="AH404">
        <v>0</v>
      </c>
      <c r="AI404">
        <v>227</v>
      </c>
      <c r="AJ404">
        <v>52</v>
      </c>
      <c r="AK404">
        <v>180</v>
      </c>
      <c r="AL404">
        <v>1</v>
      </c>
    </row>
    <row r="405" spans="1:38" x14ac:dyDescent="0.3">
      <c r="A405" t="s">
        <v>661</v>
      </c>
      <c r="B405">
        <v>8276</v>
      </c>
      <c r="C405">
        <v>3</v>
      </c>
      <c r="D405" t="s">
        <v>304</v>
      </c>
      <c r="E405" t="s">
        <v>379</v>
      </c>
      <c r="F405">
        <v>180</v>
      </c>
      <c r="G405">
        <v>20.079999999999998</v>
      </c>
      <c r="H405">
        <v>66.400000000000006</v>
      </c>
      <c r="I405">
        <v>15.57</v>
      </c>
      <c r="J405">
        <v>51.5</v>
      </c>
      <c r="K405">
        <v>12</v>
      </c>
      <c r="T405">
        <v>3</v>
      </c>
      <c r="U405">
        <v>1</v>
      </c>
      <c r="V405" t="s">
        <v>93</v>
      </c>
      <c r="W405">
        <v>66</v>
      </c>
      <c r="X405">
        <v>6</v>
      </c>
      <c r="Y405">
        <v>6</v>
      </c>
      <c r="Z405" t="s">
        <v>703</v>
      </c>
      <c r="AA405" t="s">
        <v>704</v>
      </c>
      <c r="AB405" t="s">
        <v>96</v>
      </c>
      <c r="AC405" t="s">
        <v>97</v>
      </c>
      <c r="AD405" t="s">
        <v>665</v>
      </c>
      <c r="AG405" t="s">
        <v>705</v>
      </c>
      <c r="AH405">
        <v>0</v>
      </c>
      <c r="AI405">
        <v>227</v>
      </c>
      <c r="AJ405">
        <v>52</v>
      </c>
      <c r="AK405">
        <v>180</v>
      </c>
      <c r="AL405">
        <v>1</v>
      </c>
    </row>
    <row r="406" spans="1:38" x14ac:dyDescent="0.3">
      <c r="A406" t="s">
        <v>661</v>
      </c>
      <c r="B406">
        <v>111055</v>
      </c>
      <c r="C406">
        <v>1</v>
      </c>
      <c r="D406" t="s">
        <v>706</v>
      </c>
      <c r="E406" t="s">
        <v>707</v>
      </c>
      <c r="F406">
        <v>19</v>
      </c>
      <c r="G406">
        <v>30.07</v>
      </c>
      <c r="H406">
        <v>99.41</v>
      </c>
      <c r="I406">
        <v>25.5</v>
      </c>
      <c r="J406">
        <v>84.32</v>
      </c>
      <c r="K406">
        <v>18</v>
      </c>
      <c r="T406">
        <v>3</v>
      </c>
      <c r="U406">
        <v>2</v>
      </c>
      <c r="V406" t="s">
        <v>338</v>
      </c>
      <c r="W406">
        <v>99</v>
      </c>
      <c r="X406">
        <v>11</v>
      </c>
      <c r="Y406">
        <v>10</v>
      </c>
      <c r="Z406" t="s">
        <v>708</v>
      </c>
      <c r="AA406" t="s">
        <v>709</v>
      </c>
      <c r="AB406" t="s">
        <v>96</v>
      </c>
      <c r="AC406" t="s">
        <v>97</v>
      </c>
      <c r="AD406" t="s">
        <v>665</v>
      </c>
      <c r="AG406" t="s">
        <v>710</v>
      </c>
      <c r="AH406">
        <v>0</v>
      </c>
      <c r="AI406">
        <v>302</v>
      </c>
      <c r="AJ406">
        <v>30</v>
      </c>
      <c r="AK406">
        <v>23</v>
      </c>
      <c r="AL406">
        <v>1.21</v>
      </c>
    </row>
    <row r="407" spans="1:38" x14ac:dyDescent="0.3">
      <c r="A407" t="s">
        <v>661</v>
      </c>
      <c r="B407">
        <v>111055</v>
      </c>
      <c r="C407">
        <v>2</v>
      </c>
      <c r="D407" t="s">
        <v>706</v>
      </c>
      <c r="E407" t="s">
        <v>707</v>
      </c>
      <c r="F407">
        <v>19</v>
      </c>
      <c r="G407">
        <v>60.14</v>
      </c>
      <c r="H407">
        <v>198.82</v>
      </c>
      <c r="I407">
        <v>51.01</v>
      </c>
      <c r="J407">
        <v>168.64</v>
      </c>
      <c r="K407">
        <v>1</v>
      </c>
      <c r="T407">
        <v>4</v>
      </c>
      <c r="U407">
        <v>2</v>
      </c>
      <c r="V407" t="s">
        <v>338</v>
      </c>
      <c r="W407">
        <v>198</v>
      </c>
      <c r="X407">
        <v>11</v>
      </c>
      <c r="Y407">
        <v>10</v>
      </c>
      <c r="Z407" t="s">
        <v>708</v>
      </c>
      <c r="AA407" t="s">
        <v>709</v>
      </c>
      <c r="AB407" t="s">
        <v>96</v>
      </c>
      <c r="AC407" t="s">
        <v>97</v>
      </c>
      <c r="AD407" t="s">
        <v>665</v>
      </c>
      <c r="AG407" t="s">
        <v>710</v>
      </c>
      <c r="AH407">
        <v>0</v>
      </c>
      <c r="AI407">
        <v>302</v>
      </c>
      <c r="AJ407">
        <v>30</v>
      </c>
      <c r="AK407">
        <v>23</v>
      </c>
      <c r="AL407">
        <v>1.21</v>
      </c>
    </row>
    <row r="408" spans="1:38" x14ac:dyDescent="0.3">
      <c r="A408" t="s">
        <v>661</v>
      </c>
      <c r="B408">
        <v>121385</v>
      </c>
      <c r="C408">
        <v>1</v>
      </c>
      <c r="D408" t="s">
        <v>711</v>
      </c>
      <c r="E408" t="s">
        <v>712</v>
      </c>
      <c r="F408">
        <v>19</v>
      </c>
      <c r="G408">
        <v>14.49</v>
      </c>
      <c r="H408">
        <v>47.92</v>
      </c>
      <c r="I408">
        <v>13.05</v>
      </c>
      <c r="J408">
        <v>43.16</v>
      </c>
      <c r="K408">
        <v>3</v>
      </c>
      <c r="T408">
        <v>2</v>
      </c>
      <c r="U408">
        <v>1</v>
      </c>
      <c r="V408" t="s">
        <v>93</v>
      </c>
      <c r="W408">
        <v>47</v>
      </c>
      <c r="X408">
        <v>5</v>
      </c>
      <c r="Y408">
        <v>4</v>
      </c>
      <c r="Z408" t="s">
        <v>713</v>
      </c>
      <c r="AA408" t="s">
        <v>714</v>
      </c>
      <c r="AB408" t="s">
        <v>96</v>
      </c>
      <c r="AC408" t="s">
        <v>97</v>
      </c>
      <c r="AD408" t="s">
        <v>665</v>
      </c>
      <c r="AG408" t="s">
        <v>715</v>
      </c>
      <c r="AH408">
        <v>0</v>
      </c>
      <c r="AI408">
        <v>201</v>
      </c>
      <c r="AJ408">
        <v>50</v>
      </c>
      <c r="AK408">
        <v>10</v>
      </c>
      <c r="AL408">
        <v>0.53</v>
      </c>
    </row>
    <row r="409" spans="1:38" x14ac:dyDescent="0.3">
      <c r="A409" t="s">
        <v>661</v>
      </c>
      <c r="B409">
        <v>121385</v>
      </c>
      <c r="C409">
        <v>2</v>
      </c>
      <c r="D409" t="s">
        <v>711</v>
      </c>
      <c r="E409" t="s">
        <v>712</v>
      </c>
      <c r="F409">
        <v>19</v>
      </c>
      <c r="G409">
        <v>19.89</v>
      </c>
      <c r="H409">
        <v>65.760000000000005</v>
      </c>
      <c r="I409">
        <v>17.91</v>
      </c>
      <c r="J409">
        <v>59.23</v>
      </c>
      <c r="K409">
        <v>15</v>
      </c>
      <c r="T409">
        <v>3</v>
      </c>
      <c r="U409">
        <v>2</v>
      </c>
      <c r="V409" t="s">
        <v>93</v>
      </c>
      <c r="W409">
        <v>65</v>
      </c>
      <c r="X409">
        <v>5</v>
      </c>
      <c r="Y409">
        <v>4</v>
      </c>
      <c r="Z409" t="s">
        <v>713</v>
      </c>
      <c r="AA409" t="s">
        <v>714</v>
      </c>
      <c r="AB409" t="s">
        <v>96</v>
      </c>
      <c r="AC409" t="s">
        <v>97</v>
      </c>
      <c r="AD409" t="s">
        <v>665</v>
      </c>
      <c r="AG409" t="s">
        <v>715</v>
      </c>
      <c r="AH409">
        <v>0</v>
      </c>
      <c r="AI409">
        <v>201</v>
      </c>
      <c r="AJ409">
        <v>50</v>
      </c>
      <c r="AK409">
        <v>10</v>
      </c>
      <c r="AL409">
        <v>0.53</v>
      </c>
    </row>
    <row r="410" spans="1:38" x14ac:dyDescent="0.3">
      <c r="A410" t="s">
        <v>661</v>
      </c>
      <c r="B410">
        <v>121385</v>
      </c>
      <c r="C410">
        <v>3</v>
      </c>
      <c r="D410" t="s">
        <v>711</v>
      </c>
      <c r="E410" t="s">
        <v>712</v>
      </c>
      <c r="F410">
        <v>19</v>
      </c>
      <c r="G410">
        <v>30.25</v>
      </c>
      <c r="H410">
        <v>100.01</v>
      </c>
      <c r="I410">
        <v>27.24</v>
      </c>
      <c r="J410">
        <v>90.07</v>
      </c>
      <c r="K410">
        <v>1</v>
      </c>
      <c r="T410">
        <v>4</v>
      </c>
      <c r="U410">
        <v>3</v>
      </c>
      <c r="V410" t="s">
        <v>93</v>
      </c>
      <c r="W410">
        <v>100</v>
      </c>
      <c r="X410">
        <v>5</v>
      </c>
      <c r="Y410">
        <v>4</v>
      </c>
      <c r="Z410" t="s">
        <v>713</v>
      </c>
      <c r="AA410" t="s">
        <v>714</v>
      </c>
      <c r="AB410" t="s">
        <v>96</v>
      </c>
      <c r="AC410" t="s">
        <v>97</v>
      </c>
      <c r="AD410" t="s">
        <v>665</v>
      </c>
      <c r="AG410" t="s">
        <v>715</v>
      </c>
      <c r="AH410">
        <v>0</v>
      </c>
      <c r="AI410">
        <v>201</v>
      </c>
      <c r="AJ410">
        <v>50</v>
      </c>
      <c r="AK410">
        <v>10</v>
      </c>
      <c r="AL410">
        <v>0.53</v>
      </c>
    </row>
    <row r="411" spans="1:38" x14ac:dyDescent="0.3">
      <c r="A411" t="s">
        <v>661</v>
      </c>
      <c r="B411">
        <v>8273</v>
      </c>
      <c r="C411">
        <v>1</v>
      </c>
      <c r="D411" t="s">
        <v>716</v>
      </c>
      <c r="E411" t="s">
        <v>558</v>
      </c>
      <c r="F411">
        <v>99</v>
      </c>
      <c r="G411">
        <v>16.760000000000002</v>
      </c>
      <c r="H411">
        <v>55.43</v>
      </c>
      <c r="I411">
        <v>12.33</v>
      </c>
      <c r="J411">
        <v>40.770000000000003</v>
      </c>
      <c r="K411">
        <v>25</v>
      </c>
      <c r="T411">
        <v>2</v>
      </c>
      <c r="U411">
        <v>1</v>
      </c>
      <c r="V411" t="s">
        <v>93</v>
      </c>
      <c r="W411">
        <v>55</v>
      </c>
      <c r="X411">
        <v>5</v>
      </c>
      <c r="Y411">
        <v>4</v>
      </c>
      <c r="Z411" t="s">
        <v>717</v>
      </c>
      <c r="AA411" t="s">
        <v>718</v>
      </c>
      <c r="AB411" t="s">
        <v>96</v>
      </c>
      <c r="AC411" t="s">
        <v>97</v>
      </c>
      <c r="AD411" t="s">
        <v>665</v>
      </c>
      <c r="AG411" t="s">
        <v>719</v>
      </c>
      <c r="AH411">
        <v>0</v>
      </c>
      <c r="AI411">
        <v>147</v>
      </c>
      <c r="AJ411">
        <v>32</v>
      </c>
      <c r="AK411">
        <v>18</v>
      </c>
      <c r="AL411">
        <v>0.18</v>
      </c>
    </row>
    <row r="412" spans="1:38" x14ac:dyDescent="0.3">
      <c r="A412" t="s">
        <v>661</v>
      </c>
      <c r="B412">
        <v>8273</v>
      </c>
      <c r="C412">
        <v>2</v>
      </c>
      <c r="D412" t="s">
        <v>716</v>
      </c>
      <c r="E412" t="s">
        <v>558</v>
      </c>
      <c r="F412">
        <v>99</v>
      </c>
      <c r="G412">
        <v>17.66</v>
      </c>
      <c r="H412">
        <v>58.39</v>
      </c>
      <c r="I412">
        <v>13.06</v>
      </c>
      <c r="J412">
        <v>43.2</v>
      </c>
      <c r="K412">
        <v>24</v>
      </c>
      <c r="T412">
        <v>2</v>
      </c>
      <c r="U412">
        <v>1</v>
      </c>
      <c r="V412" t="s">
        <v>93</v>
      </c>
      <c r="W412" t="s">
        <v>720</v>
      </c>
      <c r="X412">
        <v>5</v>
      </c>
      <c r="Y412">
        <v>4</v>
      </c>
      <c r="Z412" t="s">
        <v>717</v>
      </c>
      <c r="AA412" t="s">
        <v>718</v>
      </c>
      <c r="AB412" t="s">
        <v>96</v>
      </c>
      <c r="AC412" t="s">
        <v>97</v>
      </c>
      <c r="AD412" t="s">
        <v>665</v>
      </c>
      <c r="AG412" t="s">
        <v>719</v>
      </c>
      <c r="AH412">
        <v>0</v>
      </c>
      <c r="AI412">
        <v>147</v>
      </c>
      <c r="AJ412">
        <v>32</v>
      </c>
      <c r="AK412">
        <v>18</v>
      </c>
      <c r="AL412">
        <v>0.18</v>
      </c>
    </row>
    <row r="413" spans="1:38" x14ac:dyDescent="0.3">
      <c r="A413" t="s">
        <v>661</v>
      </c>
      <c r="B413">
        <v>8273</v>
      </c>
      <c r="C413">
        <v>3</v>
      </c>
      <c r="D413" t="s">
        <v>716</v>
      </c>
      <c r="E413" t="s">
        <v>558</v>
      </c>
      <c r="F413">
        <v>99</v>
      </c>
      <c r="G413">
        <v>17.93</v>
      </c>
      <c r="H413">
        <v>59.28</v>
      </c>
      <c r="I413">
        <v>13.3</v>
      </c>
      <c r="J413">
        <v>43.99</v>
      </c>
      <c r="K413">
        <v>10</v>
      </c>
      <c r="T413">
        <v>3</v>
      </c>
      <c r="U413">
        <v>1</v>
      </c>
      <c r="V413" t="s">
        <v>93</v>
      </c>
      <c r="W413">
        <v>59</v>
      </c>
      <c r="X413">
        <v>5</v>
      </c>
      <c r="Y413">
        <v>4</v>
      </c>
      <c r="Z413" t="s">
        <v>717</v>
      </c>
      <c r="AA413" t="s">
        <v>718</v>
      </c>
      <c r="AB413" t="s">
        <v>96</v>
      </c>
      <c r="AC413" t="s">
        <v>97</v>
      </c>
      <c r="AD413" t="s">
        <v>665</v>
      </c>
      <c r="AG413" t="s">
        <v>719</v>
      </c>
      <c r="AH413">
        <v>0</v>
      </c>
      <c r="AI413">
        <v>147</v>
      </c>
      <c r="AJ413">
        <v>32</v>
      </c>
      <c r="AK413">
        <v>18</v>
      </c>
      <c r="AL413">
        <v>0.18</v>
      </c>
    </row>
    <row r="414" spans="1:38" x14ac:dyDescent="0.3">
      <c r="A414" t="s">
        <v>661</v>
      </c>
      <c r="B414">
        <v>8273</v>
      </c>
      <c r="C414">
        <v>4</v>
      </c>
      <c r="D414" t="s">
        <v>716</v>
      </c>
      <c r="E414" t="s">
        <v>558</v>
      </c>
      <c r="F414">
        <v>99</v>
      </c>
      <c r="G414">
        <v>18.940000000000001</v>
      </c>
      <c r="H414">
        <v>62.63</v>
      </c>
      <c r="I414">
        <v>14.15</v>
      </c>
      <c r="J414">
        <v>46.78</v>
      </c>
      <c r="K414">
        <v>40</v>
      </c>
      <c r="T414">
        <v>3</v>
      </c>
      <c r="U414">
        <v>1</v>
      </c>
      <c r="V414" t="s">
        <v>93</v>
      </c>
      <c r="W414" t="s">
        <v>522</v>
      </c>
      <c r="X414">
        <v>5</v>
      </c>
      <c r="Y414">
        <v>4</v>
      </c>
      <c r="Z414" t="s">
        <v>717</v>
      </c>
      <c r="AA414" t="s">
        <v>718</v>
      </c>
      <c r="AB414" t="s">
        <v>96</v>
      </c>
      <c r="AC414" t="s">
        <v>97</v>
      </c>
      <c r="AD414" t="s">
        <v>665</v>
      </c>
      <c r="AG414" t="s">
        <v>719</v>
      </c>
      <c r="AH414">
        <v>0</v>
      </c>
      <c r="AI414">
        <v>147</v>
      </c>
      <c r="AJ414">
        <v>32</v>
      </c>
      <c r="AK414">
        <v>18</v>
      </c>
      <c r="AL414">
        <v>0.18</v>
      </c>
    </row>
    <row r="415" spans="1:38" x14ac:dyDescent="0.3">
      <c r="A415" t="s">
        <v>721</v>
      </c>
      <c r="B415">
        <v>8230</v>
      </c>
      <c r="C415">
        <v>1</v>
      </c>
      <c r="D415" t="s">
        <v>722</v>
      </c>
      <c r="E415" t="s">
        <v>538</v>
      </c>
      <c r="F415">
        <v>1282</v>
      </c>
      <c r="G415">
        <v>16.88</v>
      </c>
      <c r="H415">
        <v>55.83</v>
      </c>
      <c r="I415">
        <v>12.19</v>
      </c>
      <c r="J415">
        <v>40.32</v>
      </c>
      <c r="K415">
        <v>658</v>
      </c>
      <c r="T415">
        <v>2</v>
      </c>
      <c r="U415">
        <v>1</v>
      </c>
      <c r="V415" t="s">
        <v>138</v>
      </c>
      <c r="W415">
        <v>55</v>
      </c>
      <c r="X415">
        <v>21</v>
      </c>
      <c r="Y415">
        <v>15</v>
      </c>
      <c r="Z415" t="s">
        <v>723</v>
      </c>
      <c r="AA415" t="s">
        <v>724</v>
      </c>
      <c r="AB415" t="s">
        <v>96</v>
      </c>
      <c r="AC415" t="s">
        <v>97</v>
      </c>
      <c r="AD415" t="s">
        <v>725</v>
      </c>
      <c r="AG415" t="s">
        <v>726</v>
      </c>
      <c r="AH415">
        <v>0</v>
      </c>
      <c r="AI415">
        <v>245</v>
      </c>
      <c r="AJ415">
        <v>19</v>
      </c>
      <c r="AK415">
        <v>1309</v>
      </c>
      <c r="AL415">
        <v>1.02</v>
      </c>
    </row>
    <row r="416" spans="1:38" x14ac:dyDescent="0.3">
      <c r="A416" t="s">
        <v>721</v>
      </c>
      <c r="B416">
        <v>8230</v>
      </c>
      <c r="C416">
        <v>2</v>
      </c>
      <c r="D416" t="s">
        <v>722</v>
      </c>
      <c r="E416" t="s">
        <v>538</v>
      </c>
      <c r="F416">
        <v>1282</v>
      </c>
      <c r="G416">
        <v>23.67</v>
      </c>
      <c r="H416">
        <v>78.260000000000005</v>
      </c>
      <c r="I416">
        <v>18</v>
      </c>
      <c r="J416">
        <v>59.52</v>
      </c>
      <c r="K416">
        <v>624</v>
      </c>
      <c r="T416">
        <v>3</v>
      </c>
      <c r="U416">
        <v>1</v>
      </c>
      <c r="V416" t="s">
        <v>93</v>
      </c>
      <c r="W416">
        <v>78</v>
      </c>
      <c r="X416">
        <v>21</v>
      </c>
      <c r="Y416">
        <v>15</v>
      </c>
      <c r="Z416" t="s">
        <v>723</v>
      </c>
      <c r="AA416" t="s">
        <v>724</v>
      </c>
      <c r="AB416" t="s">
        <v>96</v>
      </c>
      <c r="AC416" t="s">
        <v>97</v>
      </c>
      <c r="AD416" t="s">
        <v>725</v>
      </c>
      <c r="AG416" t="s">
        <v>726</v>
      </c>
      <c r="AH416">
        <v>0</v>
      </c>
      <c r="AI416">
        <v>245</v>
      </c>
      <c r="AJ416">
        <v>19</v>
      </c>
      <c r="AK416">
        <v>1309</v>
      </c>
      <c r="AL416">
        <v>1.02</v>
      </c>
    </row>
    <row r="417" spans="1:38" x14ac:dyDescent="0.3">
      <c r="A417" t="s">
        <v>721</v>
      </c>
      <c r="B417">
        <v>27072</v>
      </c>
      <c r="C417">
        <v>1</v>
      </c>
      <c r="D417" t="s">
        <v>727</v>
      </c>
      <c r="E417" t="s">
        <v>728</v>
      </c>
      <c r="F417">
        <v>48</v>
      </c>
      <c r="G417">
        <v>22.8</v>
      </c>
      <c r="H417">
        <v>75.38</v>
      </c>
      <c r="I417">
        <v>18.09</v>
      </c>
      <c r="J417">
        <v>59.83</v>
      </c>
      <c r="K417">
        <v>4</v>
      </c>
      <c r="T417">
        <v>3</v>
      </c>
      <c r="U417">
        <v>1</v>
      </c>
      <c r="V417" t="s">
        <v>93</v>
      </c>
      <c r="W417">
        <v>75</v>
      </c>
      <c r="X417">
        <v>9</v>
      </c>
      <c r="Y417">
        <v>9</v>
      </c>
      <c r="Z417" t="s">
        <v>729</v>
      </c>
      <c r="AA417" t="s">
        <v>730</v>
      </c>
      <c r="AB417" t="s">
        <v>96</v>
      </c>
      <c r="AC417" t="s">
        <v>97</v>
      </c>
      <c r="AD417" t="s">
        <v>725</v>
      </c>
      <c r="AG417" t="s">
        <v>731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721</v>
      </c>
      <c r="B418">
        <v>27072</v>
      </c>
      <c r="C418">
        <v>2</v>
      </c>
      <c r="D418" t="s">
        <v>727</v>
      </c>
      <c r="E418" t="s">
        <v>728</v>
      </c>
      <c r="F418">
        <v>48</v>
      </c>
      <c r="G418">
        <v>24.71</v>
      </c>
      <c r="H418">
        <v>81.709999999999994</v>
      </c>
      <c r="I418">
        <v>19.489999999999998</v>
      </c>
      <c r="J418">
        <v>64.45</v>
      </c>
      <c r="K418">
        <v>28</v>
      </c>
      <c r="T418">
        <v>3</v>
      </c>
      <c r="U418">
        <v>1</v>
      </c>
      <c r="V418" t="s">
        <v>93</v>
      </c>
      <c r="W418">
        <v>81</v>
      </c>
      <c r="X418">
        <v>9</v>
      </c>
      <c r="Y418">
        <v>9</v>
      </c>
      <c r="Z418" t="s">
        <v>729</v>
      </c>
      <c r="AA418" t="s">
        <v>730</v>
      </c>
      <c r="AB418" t="s">
        <v>96</v>
      </c>
      <c r="AC418" t="s">
        <v>97</v>
      </c>
      <c r="AD418" t="s">
        <v>725</v>
      </c>
      <c r="AG418" t="s">
        <v>731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721</v>
      </c>
      <c r="B419">
        <v>27072</v>
      </c>
      <c r="C419">
        <v>3</v>
      </c>
      <c r="D419" t="s">
        <v>727</v>
      </c>
      <c r="E419" t="s">
        <v>728</v>
      </c>
      <c r="F419">
        <v>48</v>
      </c>
      <c r="G419">
        <v>29.46</v>
      </c>
      <c r="H419">
        <v>97.4</v>
      </c>
      <c r="I419">
        <v>23.61</v>
      </c>
      <c r="J419">
        <v>78.069999999999993</v>
      </c>
      <c r="K419">
        <v>2</v>
      </c>
      <c r="T419">
        <v>3</v>
      </c>
      <c r="U419">
        <v>2</v>
      </c>
      <c r="V419" t="s">
        <v>93</v>
      </c>
      <c r="W419">
        <v>97</v>
      </c>
      <c r="X419">
        <v>9</v>
      </c>
      <c r="Y419">
        <v>9</v>
      </c>
      <c r="Z419" t="s">
        <v>729</v>
      </c>
      <c r="AA419" t="s">
        <v>730</v>
      </c>
      <c r="AB419" t="s">
        <v>96</v>
      </c>
      <c r="AC419" t="s">
        <v>97</v>
      </c>
      <c r="AD419" t="s">
        <v>725</v>
      </c>
      <c r="AG419" t="s">
        <v>731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721</v>
      </c>
      <c r="B420">
        <v>27072</v>
      </c>
      <c r="C420">
        <v>4</v>
      </c>
      <c r="D420" t="s">
        <v>727</v>
      </c>
      <c r="E420" t="s">
        <v>728</v>
      </c>
      <c r="F420">
        <v>48</v>
      </c>
      <c r="G420">
        <v>31.88</v>
      </c>
      <c r="H420">
        <v>105.42</v>
      </c>
      <c r="I420">
        <v>25.61</v>
      </c>
      <c r="J420">
        <v>84.69</v>
      </c>
      <c r="K420">
        <v>14</v>
      </c>
      <c r="T420">
        <v>3</v>
      </c>
      <c r="U420">
        <v>2</v>
      </c>
      <c r="V420" t="s">
        <v>93</v>
      </c>
      <c r="W420">
        <v>105</v>
      </c>
      <c r="X420">
        <v>9</v>
      </c>
      <c r="Y420">
        <v>9</v>
      </c>
      <c r="Z420" t="s">
        <v>729</v>
      </c>
      <c r="AA420" t="s">
        <v>730</v>
      </c>
      <c r="AB420" t="s">
        <v>96</v>
      </c>
      <c r="AC420" t="s">
        <v>97</v>
      </c>
      <c r="AD420" t="s">
        <v>725</v>
      </c>
      <c r="AG420" t="s">
        <v>731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721</v>
      </c>
      <c r="B421">
        <v>2430</v>
      </c>
      <c r="C421">
        <v>1</v>
      </c>
      <c r="D421" t="s">
        <v>732</v>
      </c>
      <c r="E421" t="s">
        <v>558</v>
      </c>
      <c r="F421">
        <v>540</v>
      </c>
      <c r="G421">
        <v>14.61</v>
      </c>
      <c r="H421">
        <v>48.33</v>
      </c>
      <c r="I421">
        <v>10.8</v>
      </c>
      <c r="J421">
        <v>35.71</v>
      </c>
      <c r="K421">
        <v>72</v>
      </c>
      <c r="T421">
        <v>2</v>
      </c>
      <c r="U421">
        <v>1</v>
      </c>
      <c r="V421" t="s">
        <v>93</v>
      </c>
      <c r="W421">
        <v>48</v>
      </c>
      <c r="X421">
        <v>6</v>
      </c>
      <c r="Y421">
        <v>6</v>
      </c>
      <c r="Z421" t="s">
        <v>733</v>
      </c>
      <c r="AA421" t="s">
        <v>734</v>
      </c>
      <c r="AB421" t="s">
        <v>96</v>
      </c>
      <c r="AC421" t="s">
        <v>97</v>
      </c>
      <c r="AD421" t="s">
        <v>725</v>
      </c>
      <c r="AG421" t="s">
        <v>735</v>
      </c>
      <c r="AH421">
        <v>0</v>
      </c>
      <c r="AI421">
        <v>134</v>
      </c>
      <c r="AJ421">
        <v>23</v>
      </c>
      <c r="AK421">
        <v>127</v>
      </c>
      <c r="AL421">
        <v>0.24</v>
      </c>
    </row>
    <row r="422" spans="1:38" x14ac:dyDescent="0.3">
      <c r="A422" t="s">
        <v>721</v>
      </c>
      <c r="B422">
        <v>2430</v>
      </c>
      <c r="C422">
        <v>2</v>
      </c>
      <c r="D422" t="s">
        <v>732</v>
      </c>
      <c r="E422" t="s">
        <v>558</v>
      </c>
      <c r="F422">
        <v>540</v>
      </c>
      <c r="G422">
        <v>16.57</v>
      </c>
      <c r="H422">
        <v>54.8</v>
      </c>
      <c r="I422">
        <v>12.66</v>
      </c>
      <c r="J422">
        <v>41.88</v>
      </c>
      <c r="K422">
        <v>324</v>
      </c>
      <c r="T422">
        <v>2</v>
      </c>
      <c r="U422">
        <v>1</v>
      </c>
      <c r="V422" t="s">
        <v>93</v>
      </c>
      <c r="W422">
        <v>54</v>
      </c>
      <c r="X422">
        <v>6</v>
      </c>
      <c r="Y422">
        <v>6</v>
      </c>
      <c r="Z422" t="s">
        <v>733</v>
      </c>
      <c r="AA422" t="s">
        <v>734</v>
      </c>
      <c r="AB422" t="s">
        <v>96</v>
      </c>
      <c r="AC422" t="s">
        <v>97</v>
      </c>
      <c r="AD422" t="s">
        <v>725</v>
      </c>
      <c r="AG422" t="s">
        <v>735</v>
      </c>
      <c r="AH422">
        <v>0</v>
      </c>
      <c r="AI422">
        <v>134</v>
      </c>
      <c r="AJ422">
        <v>23</v>
      </c>
      <c r="AK422">
        <v>127</v>
      </c>
      <c r="AL422">
        <v>0.24</v>
      </c>
    </row>
    <row r="423" spans="1:38" x14ac:dyDescent="0.3">
      <c r="A423" t="s">
        <v>721</v>
      </c>
      <c r="B423">
        <v>2430</v>
      </c>
      <c r="C423">
        <v>3</v>
      </c>
      <c r="D423" t="s">
        <v>732</v>
      </c>
      <c r="E423" t="s">
        <v>558</v>
      </c>
      <c r="F423">
        <v>540</v>
      </c>
      <c r="G423">
        <v>17.71</v>
      </c>
      <c r="H423">
        <v>58.56</v>
      </c>
      <c r="I423">
        <v>13.51</v>
      </c>
      <c r="J423">
        <v>44.67</v>
      </c>
      <c r="K423">
        <v>108</v>
      </c>
      <c r="T423">
        <v>3</v>
      </c>
      <c r="U423">
        <v>1</v>
      </c>
      <c r="V423" t="s">
        <v>93</v>
      </c>
      <c r="W423">
        <v>58</v>
      </c>
      <c r="X423">
        <v>6</v>
      </c>
      <c r="Y423">
        <v>6</v>
      </c>
      <c r="Z423" t="s">
        <v>733</v>
      </c>
      <c r="AA423" t="s">
        <v>734</v>
      </c>
      <c r="AB423" t="s">
        <v>96</v>
      </c>
      <c r="AC423" t="s">
        <v>97</v>
      </c>
      <c r="AD423" t="s">
        <v>725</v>
      </c>
      <c r="AG423" t="s">
        <v>735</v>
      </c>
      <c r="AH423">
        <v>0</v>
      </c>
      <c r="AI423">
        <v>134</v>
      </c>
      <c r="AJ423">
        <v>23</v>
      </c>
      <c r="AK423">
        <v>127</v>
      </c>
      <c r="AL423">
        <v>0.24</v>
      </c>
    </row>
    <row r="424" spans="1:38" x14ac:dyDescent="0.3">
      <c r="A424" t="s">
        <v>721</v>
      </c>
      <c r="B424">
        <v>2430</v>
      </c>
      <c r="C424">
        <v>4</v>
      </c>
      <c r="D424" t="s">
        <v>732</v>
      </c>
      <c r="E424" t="s">
        <v>558</v>
      </c>
      <c r="F424">
        <v>540</v>
      </c>
      <c r="G424">
        <v>19.64</v>
      </c>
      <c r="H424">
        <v>64.95</v>
      </c>
      <c r="I424">
        <v>15.29</v>
      </c>
      <c r="J424">
        <v>50.55</v>
      </c>
      <c r="K424">
        <v>36</v>
      </c>
      <c r="T424">
        <v>3</v>
      </c>
      <c r="U424">
        <v>1</v>
      </c>
      <c r="V424" t="s">
        <v>93</v>
      </c>
      <c r="W424">
        <v>64</v>
      </c>
      <c r="X424">
        <v>6</v>
      </c>
      <c r="Y424">
        <v>6</v>
      </c>
      <c r="Z424" t="s">
        <v>733</v>
      </c>
      <c r="AA424" t="s">
        <v>734</v>
      </c>
      <c r="AB424" t="s">
        <v>96</v>
      </c>
      <c r="AC424" t="s">
        <v>97</v>
      </c>
      <c r="AD424" t="s">
        <v>725</v>
      </c>
      <c r="AG424" t="s">
        <v>735</v>
      </c>
      <c r="AH424">
        <v>0</v>
      </c>
      <c r="AI424">
        <v>134</v>
      </c>
      <c r="AJ424">
        <v>23</v>
      </c>
      <c r="AK424">
        <v>127</v>
      </c>
      <c r="AL424">
        <v>0.24</v>
      </c>
    </row>
    <row r="425" spans="1:38" x14ac:dyDescent="0.3">
      <c r="A425" t="s">
        <v>721</v>
      </c>
      <c r="B425">
        <v>107502</v>
      </c>
      <c r="C425">
        <v>1</v>
      </c>
      <c r="D425" t="s">
        <v>736</v>
      </c>
      <c r="E425" t="s">
        <v>737</v>
      </c>
      <c r="F425">
        <v>59</v>
      </c>
      <c r="G425">
        <v>25.65</v>
      </c>
      <c r="H425">
        <v>84.82</v>
      </c>
      <c r="I425">
        <v>19.04</v>
      </c>
      <c r="J425">
        <v>62.97</v>
      </c>
      <c r="K425">
        <v>34</v>
      </c>
      <c r="T425">
        <v>3</v>
      </c>
      <c r="U425">
        <v>2</v>
      </c>
      <c r="V425" t="s">
        <v>338</v>
      </c>
      <c r="W425">
        <v>84</v>
      </c>
      <c r="X425">
        <v>18</v>
      </c>
      <c r="Y425">
        <v>13</v>
      </c>
      <c r="Z425" t="s">
        <v>738</v>
      </c>
      <c r="AA425" t="s">
        <v>739</v>
      </c>
      <c r="AB425" t="s">
        <v>96</v>
      </c>
      <c r="AC425" t="s">
        <v>97</v>
      </c>
      <c r="AD425" t="s">
        <v>725</v>
      </c>
      <c r="AG425" t="s">
        <v>740</v>
      </c>
      <c r="AH425">
        <v>0</v>
      </c>
      <c r="AI425">
        <v>249</v>
      </c>
      <c r="AJ425">
        <v>22</v>
      </c>
      <c r="AK425">
        <v>62</v>
      </c>
      <c r="AL425">
        <v>1.05</v>
      </c>
    </row>
    <row r="426" spans="1:38" x14ac:dyDescent="0.3">
      <c r="A426" t="s">
        <v>721</v>
      </c>
      <c r="B426">
        <v>107502</v>
      </c>
      <c r="C426">
        <v>2</v>
      </c>
      <c r="D426" t="s">
        <v>736</v>
      </c>
      <c r="E426" t="s">
        <v>737</v>
      </c>
      <c r="F426">
        <v>59</v>
      </c>
      <c r="G426">
        <v>32.64</v>
      </c>
      <c r="H426">
        <v>107.92</v>
      </c>
      <c r="I426">
        <v>25.63</v>
      </c>
      <c r="J426">
        <v>84.76</v>
      </c>
      <c r="K426">
        <v>25</v>
      </c>
      <c r="T426">
        <v>3</v>
      </c>
      <c r="U426">
        <v>2</v>
      </c>
      <c r="V426" t="s">
        <v>338</v>
      </c>
      <c r="W426">
        <v>107</v>
      </c>
      <c r="X426">
        <v>18</v>
      </c>
      <c r="Y426">
        <v>13</v>
      </c>
      <c r="Z426" t="s">
        <v>738</v>
      </c>
      <c r="AA426" t="s">
        <v>739</v>
      </c>
      <c r="AB426" t="s">
        <v>96</v>
      </c>
      <c r="AC426" t="s">
        <v>97</v>
      </c>
      <c r="AD426" t="s">
        <v>725</v>
      </c>
      <c r="AG426" t="s">
        <v>740</v>
      </c>
      <c r="AH426">
        <v>0</v>
      </c>
      <c r="AI426">
        <v>249</v>
      </c>
      <c r="AJ426">
        <v>22</v>
      </c>
      <c r="AK426">
        <v>62</v>
      </c>
      <c r="AL426">
        <v>1.05</v>
      </c>
    </row>
    <row r="427" spans="1:38" x14ac:dyDescent="0.3">
      <c r="A427" t="s">
        <v>721</v>
      </c>
      <c r="B427">
        <v>8233</v>
      </c>
      <c r="C427">
        <v>1</v>
      </c>
      <c r="D427" t="s">
        <v>741</v>
      </c>
      <c r="E427" t="s">
        <v>130</v>
      </c>
      <c r="F427">
        <v>288</v>
      </c>
      <c r="G427">
        <v>18.48</v>
      </c>
      <c r="H427">
        <v>61.12</v>
      </c>
      <c r="I427">
        <v>14.29</v>
      </c>
      <c r="J427">
        <v>47.26</v>
      </c>
      <c r="K427">
        <v>108</v>
      </c>
      <c r="T427">
        <v>2</v>
      </c>
      <c r="U427">
        <v>1</v>
      </c>
      <c r="V427" t="s">
        <v>93</v>
      </c>
      <c r="W427">
        <v>61</v>
      </c>
      <c r="X427">
        <v>6</v>
      </c>
      <c r="Y427">
        <v>6</v>
      </c>
      <c r="Z427" t="s">
        <v>742</v>
      </c>
      <c r="AA427" t="s">
        <v>743</v>
      </c>
      <c r="AB427" t="s">
        <v>96</v>
      </c>
      <c r="AC427" t="s">
        <v>97</v>
      </c>
      <c r="AD427" t="s">
        <v>725</v>
      </c>
      <c r="AG427" t="s">
        <v>744</v>
      </c>
      <c r="AH427">
        <v>0</v>
      </c>
      <c r="AI427">
        <v>153</v>
      </c>
      <c r="AJ427">
        <v>25</v>
      </c>
      <c r="AK427">
        <v>0</v>
      </c>
      <c r="AL427">
        <v>0</v>
      </c>
    </row>
    <row r="428" spans="1:38" x14ac:dyDescent="0.3">
      <c r="A428" t="s">
        <v>721</v>
      </c>
      <c r="B428">
        <v>8233</v>
      </c>
      <c r="C428">
        <v>2</v>
      </c>
      <c r="D428" t="s">
        <v>741</v>
      </c>
      <c r="E428" t="s">
        <v>130</v>
      </c>
      <c r="F428">
        <v>288</v>
      </c>
      <c r="G428">
        <v>22.48</v>
      </c>
      <c r="H428">
        <v>74.33</v>
      </c>
      <c r="I428">
        <v>17.72</v>
      </c>
      <c r="J428">
        <v>58.59</v>
      </c>
      <c r="K428">
        <v>84</v>
      </c>
      <c r="T428">
        <v>3</v>
      </c>
      <c r="U428">
        <v>1</v>
      </c>
      <c r="V428" t="s">
        <v>93</v>
      </c>
      <c r="W428">
        <v>74</v>
      </c>
      <c r="X428">
        <v>6</v>
      </c>
      <c r="Y428">
        <v>6</v>
      </c>
      <c r="Z428" t="s">
        <v>742</v>
      </c>
      <c r="AA428" t="s">
        <v>743</v>
      </c>
      <c r="AB428" t="s">
        <v>96</v>
      </c>
      <c r="AC428" t="s">
        <v>97</v>
      </c>
      <c r="AD428" t="s">
        <v>725</v>
      </c>
      <c r="AG428" t="s">
        <v>744</v>
      </c>
      <c r="AH428">
        <v>0</v>
      </c>
      <c r="AI428">
        <v>153</v>
      </c>
      <c r="AJ428">
        <v>25</v>
      </c>
      <c r="AK428">
        <v>0</v>
      </c>
      <c r="AL428">
        <v>0</v>
      </c>
    </row>
    <row r="429" spans="1:38" x14ac:dyDescent="0.3">
      <c r="A429" t="s">
        <v>721</v>
      </c>
      <c r="B429">
        <v>8233</v>
      </c>
      <c r="C429">
        <v>3</v>
      </c>
      <c r="D429" t="s">
        <v>741</v>
      </c>
      <c r="E429" t="s">
        <v>130</v>
      </c>
      <c r="F429">
        <v>288</v>
      </c>
      <c r="G429">
        <v>23.44</v>
      </c>
      <c r="H429">
        <v>77.5</v>
      </c>
      <c r="I429">
        <v>18.54</v>
      </c>
      <c r="J429">
        <v>61.29</v>
      </c>
      <c r="K429">
        <v>72</v>
      </c>
      <c r="T429">
        <v>3</v>
      </c>
      <c r="U429">
        <v>1</v>
      </c>
      <c r="V429" t="s">
        <v>93</v>
      </c>
      <c r="W429">
        <v>77</v>
      </c>
      <c r="X429">
        <v>6</v>
      </c>
      <c r="Y429">
        <v>6</v>
      </c>
      <c r="Z429" t="s">
        <v>742</v>
      </c>
      <c r="AA429" t="s">
        <v>743</v>
      </c>
      <c r="AB429" t="s">
        <v>96</v>
      </c>
      <c r="AC429" t="s">
        <v>97</v>
      </c>
      <c r="AD429" t="s">
        <v>725</v>
      </c>
      <c r="AG429" t="s">
        <v>744</v>
      </c>
      <c r="AH429">
        <v>0</v>
      </c>
      <c r="AI429">
        <v>153</v>
      </c>
      <c r="AJ429">
        <v>25</v>
      </c>
      <c r="AK429">
        <v>0</v>
      </c>
      <c r="AL429">
        <v>0</v>
      </c>
    </row>
    <row r="430" spans="1:38" x14ac:dyDescent="0.3">
      <c r="A430" t="s">
        <v>721</v>
      </c>
      <c r="B430">
        <v>8233</v>
      </c>
      <c r="C430">
        <v>4</v>
      </c>
      <c r="D430" t="s">
        <v>741</v>
      </c>
      <c r="E430" t="s">
        <v>130</v>
      </c>
      <c r="F430">
        <v>288</v>
      </c>
      <c r="G430">
        <v>24.52</v>
      </c>
      <c r="H430">
        <v>81.069999999999993</v>
      </c>
      <c r="I430">
        <v>19.46</v>
      </c>
      <c r="J430">
        <v>64.349999999999994</v>
      </c>
      <c r="K430">
        <v>24</v>
      </c>
      <c r="T430">
        <v>3</v>
      </c>
      <c r="U430">
        <v>1</v>
      </c>
      <c r="V430" t="s">
        <v>93</v>
      </c>
      <c r="W430">
        <v>81</v>
      </c>
      <c r="X430">
        <v>6</v>
      </c>
      <c r="Y430">
        <v>6</v>
      </c>
      <c r="Z430" t="s">
        <v>742</v>
      </c>
      <c r="AA430" t="s">
        <v>743</v>
      </c>
      <c r="AB430" t="s">
        <v>96</v>
      </c>
      <c r="AC430" t="s">
        <v>97</v>
      </c>
      <c r="AD430" t="s">
        <v>725</v>
      </c>
      <c r="AG430" t="s">
        <v>744</v>
      </c>
      <c r="AH430">
        <v>0</v>
      </c>
      <c r="AI430">
        <v>153</v>
      </c>
      <c r="AJ430">
        <v>25</v>
      </c>
      <c r="AK430">
        <v>0</v>
      </c>
      <c r="AL430">
        <v>0</v>
      </c>
    </row>
    <row r="431" spans="1:38" x14ac:dyDescent="0.3">
      <c r="A431" t="s">
        <v>721</v>
      </c>
      <c r="B431">
        <v>10483</v>
      </c>
      <c r="C431">
        <v>1</v>
      </c>
      <c r="D431" t="s">
        <v>745</v>
      </c>
      <c r="E431" t="s">
        <v>746</v>
      </c>
      <c r="F431">
        <v>25</v>
      </c>
      <c r="G431">
        <v>20.03</v>
      </c>
      <c r="H431">
        <v>66.22</v>
      </c>
      <c r="I431">
        <v>16.489999999999998</v>
      </c>
      <c r="J431">
        <v>54.54</v>
      </c>
      <c r="K431">
        <v>20</v>
      </c>
      <c r="T431">
        <v>2</v>
      </c>
      <c r="U431">
        <v>1</v>
      </c>
      <c r="V431" t="s">
        <v>93</v>
      </c>
      <c r="W431" t="s">
        <v>747</v>
      </c>
      <c r="X431">
        <v>5</v>
      </c>
      <c r="Y431">
        <v>5</v>
      </c>
      <c r="Z431" t="s">
        <v>748</v>
      </c>
      <c r="AA431" t="s">
        <v>749</v>
      </c>
      <c r="AB431" t="s">
        <v>96</v>
      </c>
      <c r="AC431" t="s">
        <v>97</v>
      </c>
      <c r="AD431" t="s">
        <v>725</v>
      </c>
      <c r="AG431" t="s">
        <v>750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721</v>
      </c>
      <c r="B432">
        <v>10483</v>
      </c>
      <c r="C432">
        <v>2</v>
      </c>
      <c r="D432" t="s">
        <v>745</v>
      </c>
      <c r="E432" t="s">
        <v>746</v>
      </c>
      <c r="F432">
        <v>25</v>
      </c>
      <c r="G432">
        <v>20.03</v>
      </c>
      <c r="H432">
        <v>66.22</v>
      </c>
      <c r="I432">
        <v>15.08</v>
      </c>
      <c r="J432">
        <v>49.86</v>
      </c>
      <c r="K432">
        <v>5</v>
      </c>
      <c r="T432">
        <v>2</v>
      </c>
      <c r="U432">
        <v>1</v>
      </c>
      <c r="V432" t="s">
        <v>93</v>
      </c>
      <c r="W432" t="s">
        <v>408</v>
      </c>
      <c r="X432">
        <v>5</v>
      </c>
      <c r="Y432">
        <v>5</v>
      </c>
      <c r="Z432" t="s">
        <v>748</v>
      </c>
      <c r="AA432" t="s">
        <v>749</v>
      </c>
      <c r="AB432" t="s">
        <v>96</v>
      </c>
      <c r="AC432" t="s">
        <v>97</v>
      </c>
      <c r="AD432" t="s">
        <v>725</v>
      </c>
      <c r="AG432" t="s">
        <v>750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721</v>
      </c>
      <c r="B433">
        <v>8446</v>
      </c>
      <c r="C433">
        <v>1</v>
      </c>
      <c r="D433" t="s">
        <v>751</v>
      </c>
      <c r="E433" t="s">
        <v>752</v>
      </c>
      <c r="F433">
        <v>85</v>
      </c>
      <c r="G433">
        <v>18.98</v>
      </c>
      <c r="H433">
        <v>62.76</v>
      </c>
      <c r="I433">
        <v>15.44</v>
      </c>
      <c r="J433">
        <v>51.06</v>
      </c>
      <c r="K433">
        <v>80</v>
      </c>
      <c r="T433">
        <v>2</v>
      </c>
      <c r="U433">
        <v>1</v>
      </c>
      <c r="V433" t="s">
        <v>93</v>
      </c>
      <c r="W433">
        <v>62</v>
      </c>
      <c r="X433">
        <v>5</v>
      </c>
      <c r="Y433">
        <v>5</v>
      </c>
      <c r="Z433" t="s">
        <v>753</v>
      </c>
      <c r="AA433" t="s">
        <v>754</v>
      </c>
      <c r="AB433" t="s">
        <v>96</v>
      </c>
      <c r="AC433" t="s">
        <v>97</v>
      </c>
      <c r="AD433" t="s">
        <v>725</v>
      </c>
      <c r="AG433" t="s">
        <v>755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721</v>
      </c>
      <c r="B434">
        <v>8446</v>
      </c>
      <c r="C434">
        <v>2</v>
      </c>
      <c r="D434" t="s">
        <v>751</v>
      </c>
      <c r="E434" t="s">
        <v>752</v>
      </c>
      <c r="F434">
        <v>85</v>
      </c>
      <c r="G434">
        <v>22.85</v>
      </c>
      <c r="H434">
        <v>75.56</v>
      </c>
      <c r="I434">
        <v>17.440000000000001</v>
      </c>
      <c r="J434">
        <v>57.66</v>
      </c>
      <c r="K434">
        <v>5</v>
      </c>
      <c r="T434">
        <v>3</v>
      </c>
      <c r="U434">
        <v>1</v>
      </c>
      <c r="V434" t="s">
        <v>93</v>
      </c>
      <c r="W434">
        <v>75</v>
      </c>
      <c r="X434">
        <v>5</v>
      </c>
      <c r="Y434">
        <v>5</v>
      </c>
      <c r="Z434" t="s">
        <v>753</v>
      </c>
      <c r="AA434" t="s">
        <v>754</v>
      </c>
      <c r="AB434" t="s">
        <v>96</v>
      </c>
      <c r="AC434" t="s">
        <v>97</v>
      </c>
      <c r="AD434" t="s">
        <v>725</v>
      </c>
      <c r="AG434" t="s">
        <v>755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721</v>
      </c>
      <c r="B435">
        <v>9238</v>
      </c>
      <c r="C435">
        <v>1</v>
      </c>
      <c r="D435" t="s">
        <v>756</v>
      </c>
      <c r="E435" t="s">
        <v>757</v>
      </c>
      <c r="F435">
        <v>180</v>
      </c>
      <c r="G435">
        <v>15.31</v>
      </c>
      <c r="H435">
        <v>50.62</v>
      </c>
      <c r="I435">
        <v>12.77</v>
      </c>
      <c r="J435">
        <v>42.24</v>
      </c>
      <c r="K435">
        <v>60</v>
      </c>
      <c r="T435">
        <v>2</v>
      </c>
      <c r="U435">
        <v>1</v>
      </c>
      <c r="V435" t="s">
        <v>338</v>
      </c>
      <c r="W435">
        <v>50</v>
      </c>
      <c r="X435">
        <v>5</v>
      </c>
      <c r="Y435">
        <v>5</v>
      </c>
      <c r="Z435" t="s">
        <v>758</v>
      </c>
      <c r="AA435" t="s">
        <v>759</v>
      </c>
      <c r="AB435" t="s">
        <v>96</v>
      </c>
      <c r="AC435" t="s">
        <v>97</v>
      </c>
      <c r="AD435" t="s">
        <v>725</v>
      </c>
      <c r="AG435" t="s">
        <v>760</v>
      </c>
      <c r="AH435">
        <v>0</v>
      </c>
      <c r="AI435">
        <v>152</v>
      </c>
      <c r="AJ435">
        <v>30</v>
      </c>
      <c r="AK435">
        <v>0</v>
      </c>
      <c r="AL435">
        <v>0</v>
      </c>
    </row>
    <row r="436" spans="1:38" x14ac:dyDescent="0.3">
      <c r="A436" t="s">
        <v>721</v>
      </c>
      <c r="B436">
        <v>9238</v>
      </c>
      <c r="C436">
        <v>2</v>
      </c>
      <c r="D436" t="s">
        <v>756</v>
      </c>
      <c r="E436" t="s">
        <v>757</v>
      </c>
      <c r="F436">
        <v>180</v>
      </c>
      <c r="G436">
        <v>16.32</v>
      </c>
      <c r="H436">
        <v>53.98</v>
      </c>
      <c r="I436">
        <v>13.68</v>
      </c>
      <c r="J436">
        <v>45.24</v>
      </c>
      <c r="K436">
        <v>16</v>
      </c>
      <c r="T436">
        <v>3</v>
      </c>
      <c r="U436">
        <v>1</v>
      </c>
      <c r="V436" t="s">
        <v>93</v>
      </c>
      <c r="W436" t="s">
        <v>761</v>
      </c>
      <c r="X436">
        <v>5</v>
      </c>
      <c r="Y436">
        <v>5</v>
      </c>
      <c r="Z436" t="s">
        <v>758</v>
      </c>
      <c r="AA436" t="s">
        <v>759</v>
      </c>
      <c r="AB436" t="s">
        <v>96</v>
      </c>
      <c r="AC436" t="s">
        <v>97</v>
      </c>
      <c r="AD436" t="s">
        <v>725</v>
      </c>
      <c r="AG436" t="s">
        <v>760</v>
      </c>
      <c r="AH436">
        <v>0</v>
      </c>
      <c r="AI436">
        <v>152</v>
      </c>
      <c r="AJ436">
        <v>30</v>
      </c>
      <c r="AK436">
        <v>0</v>
      </c>
      <c r="AL436">
        <v>0</v>
      </c>
    </row>
    <row r="437" spans="1:38" x14ac:dyDescent="0.3">
      <c r="A437" t="s">
        <v>721</v>
      </c>
      <c r="B437">
        <v>9238</v>
      </c>
      <c r="C437">
        <v>3</v>
      </c>
      <c r="D437" t="s">
        <v>756</v>
      </c>
      <c r="E437" t="s">
        <v>757</v>
      </c>
      <c r="F437">
        <v>180</v>
      </c>
      <c r="G437">
        <v>16.12</v>
      </c>
      <c r="H437">
        <v>53.29</v>
      </c>
      <c r="I437">
        <v>13.47</v>
      </c>
      <c r="J437">
        <v>44.55</v>
      </c>
      <c r="K437">
        <v>4</v>
      </c>
      <c r="T437">
        <v>3</v>
      </c>
      <c r="U437">
        <v>1</v>
      </c>
      <c r="V437" t="s">
        <v>93</v>
      </c>
      <c r="W437" t="s">
        <v>175</v>
      </c>
      <c r="X437">
        <v>5</v>
      </c>
      <c r="Y437">
        <v>5</v>
      </c>
      <c r="Z437" t="s">
        <v>758</v>
      </c>
      <c r="AA437" t="s">
        <v>759</v>
      </c>
      <c r="AB437" t="s">
        <v>96</v>
      </c>
      <c r="AC437" t="s">
        <v>97</v>
      </c>
      <c r="AD437" t="s">
        <v>725</v>
      </c>
      <c r="AG437" t="s">
        <v>760</v>
      </c>
      <c r="AH437">
        <v>0</v>
      </c>
      <c r="AI437">
        <v>152</v>
      </c>
      <c r="AJ437">
        <v>30</v>
      </c>
      <c r="AK437">
        <v>0</v>
      </c>
      <c r="AL437">
        <v>0</v>
      </c>
    </row>
    <row r="438" spans="1:38" x14ac:dyDescent="0.3">
      <c r="A438" t="s">
        <v>721</v>
      </c>
      <c r="B438">
        <v>9238</v>
      </c>
      <c r="C438">
        <v>4</v>
      </c>
      <c r="D438" t="s">
        <v>756</v>
      </c>
      <c r="E438" t="s">
        <v>757</v>
      </c>
      <c r="F438">
        <v>180</v>
      </c>
      <c r="G438">
        <v>17.12</v>
      </c>
      <c r="H438">
        <v>56.62</v>
      </c>
      <c r="I438">
        <v>14.32</v>
      </c>
      <c r="J438">
        <v>47.34</v>
      </c>
      <c r="K438">
        <v>5</v>
      </c>
      <c r="T438">
        <v>3</v>
      </c>
      <c r="U438">
        <v>1</v>
      </c>
      <c r="V438" t="s">
        <v>93</v>
      </c>
      <c r="W438" t="s">
        <v>244</v>
      </c>
      <c r="X438">
        <v>5</v>
      </c>
      <c r="Y438">
        <v>5</v>
      </c>
      <c r="Z438" t="s">
        <v>758</v>
      </c>
      <c r="AA438" t="s">
        <v>759</v>
      </c>
      <c r="AB438" t="s">
        <v>96</v>
      </c>
      <c r="AC438" t="s">
        <v>97</v>
      </c>
      <c r="AD438" t="s">
        <v>725</v>
      </c>
      <c r="AG438" t="s">
        <v>760</v>
      </c>
      <c r="AH438">
        <v>0</v>
      </c>
      <c r="AI438">
        <v>152</v>
      </c>
      <c r="AJ438">
        <v>30</v>
      </c>
      <c r="AK438">
        <v>0</v>
      </c>
      <c r="AL438">
        <v>0</v>
      </c>
    </row>
    <row r="439" spans="1:38" x14ac:dyDescent="0.3">
      <c r="A439" t="s">
        <v>721</v>
      </c>
      <c r="B439">
        <v>9238</v>
      </c>
      <c r="C439">
        <v>5</v>
      </c>
      <c r="D439" t="s">
        <v>756</v>
      </c>
      <c r="E439" t="s">
        <v>757</v>
      </c>
      <c r="F439">
        <v>180</v>
      </c>
      <c r="G439">
        <v>17.350000000000001</v>
      </c>
      <c r="H439">
        <v>57.37</v>
      </c>
      <c r="I439">
        <v>14.54</v>
      </c>
      <c r="J439">
        <v>48.09</v>
      </c>
      <c r="K439">
        <v>5</v>
      </c>
      <c r="T439">
        <v>3</v>
      </c>
      <c r="U439">
        <v>1</v>
      </c>
      <c r="V439" t="s">
        <v>93</v>
      </c>
      <c r="W439" t="s">
        <v>284</v>
      </c>
      <c r="X439">
        <v>5</v>
      </c>
      <c r="Y439">
        <v>5</v>
      </c>
      <c r="Z439" t="s">
        <v>758</v>
      </c>
      <c r="AA439" t="s">
        <v>759</v>
      </c>
      <c r="AB439" t="s">
        <v>96</v>
      </c>
      <c r="AC439" t="s">
        <v>97</v>
      </c>
      <c r="AD439" t="s">
        <v>725</v>
      </c>
      <c r="AG439" t="s">
        <v>760</v>
      </c>
      <c r="AH439">
        <v>0</v>
      </c>
      <c r="AI439">
        <v>152</v>
      </c>
      <c r="AJ439">
        <v>30</v>
      </c>
      <c r="AK439">
        <v>0</v>
      </c>
      <c r="AL439">
        <v>0</v>
      </c>
    </row>
    <row r="440" spans="1:38" x14ac:dyDescent="0.3">
      <c r="A440" t="s">
        <v>721</v>
      </c>
      <c r="B440">
        <v>9238</v>
      </c>
      <c r="C440">
        <v>6</v>
      </c>
      <c r="D440" t="s">
        <v>756</v>
      </c>
      <c r="E440" t="s">
        <v>757</v>
      </c>
      <c r="F440">
        <v>180</v>
      </c>
      <c r="G440">
        <v>18.09</v>
      </c>
      <c r="H440">
        <v>59.81</v>
      </c>
      <c r="I440">
        <v>15.09</v>
      </c>
      <c r="J440">
        <v>49.91</v>
      </c>
      <c r="K440">
        <v>10</v>
      </c>
      <c r="T440">
        <v>3</v>
      </c>
      <c r="U440">
        <v>1</v>
      </c>
      <c r="V440" t="s">
        <v>93</v>
      </c>
      <c r="W440">
        <v>59</v>
      </c>
      <c r="X440">
        <v>5</v>
      </c>
      <c r="Y440">
        <v>5</v>
      </c>
      <c r="Z440" t="s">
        <v>758</v>
      </c>
      <c r="AA440" t="s">
        <v>759</v>
      </c>
      <c r="AB440" t="s">
        <v>96</v>
      </c>
      <c r="AC440" t="s">
        <v>97</v>
      </c>
      <c r="AD440" t="s">
        <v>725</v>
      </c>
      <c r="AG440" t="s">
        <v>760</v>
      </c>
      <c r="AH440">
        <v>0</v>
      </c>
      <c r="AI440">
        <v>152</v>
      </c>
      <c r="AJ440">
        <v>30</v>
      </c>
      <c r="AK440">
        <v>0</v>
      </c>
      <c r="AL440">
        <v>0</v>
      </c>
    </row>
    <row r="441" spans="1:38" x14ac:dyDescent="0.3">
      <c r="A441" t="s">
        <v>721</v>
      </c>
      <c r="B441">
        <v>9238</v>
      </c>
      <c r="C441">
        <v>7</v>
      </c>
      <c r="D441" t="s">
        <v>756</v>
      </c>
      <c r="E441" t="s">
        <v>757</v>
      </c>
      <c r="F441">
        <v>180</v>
      </c>
      <c r="G441">
        <v>18.75</v>
      </c>
      <c r="H441">
        <v>62.01</v>
      </c>
      <c r="I441">
        <v>15.68</v>
      </c>
      <c r="J441">
        <v>51.84</v>
      </c>
      <c r="K441">
        <v>5</v>
      </c>
      <c r="T441">
        <v>3</v>
      </c>
      <c r="U441">
        <v>1</v>
      </c>
      <c r="V441" t="s">
        <v>93</v>
      </c>
      <c r="W441" t="s">
        <v>285</v>
      </c>
      <c r="X441">
        <v>5</v>
      </c>
      <c r="Y441">
        <v>5</v>
      </c>
      <c r="Z441" t="s">
        <v>758</v>
      </c>
      <c r="AA441" t="s">
        <v>759</v>
      </c>
      <c r="AB441" t="s">
        <v>96</v>
      </c>
      <c r="AC441" t="s">
        <v>97</v>
      </c>
      <c r="AD441" t="s">
        <v>725</v>
      </c>
      <c r="AG441" t="s">
        <v>760</v>
      </c>
      <c r="AH441">
        <v>0</v>
      </c>
      <c r="AI441">
        <v>152</v>
      </c>
      <c r="AJ441">
        <v>30</v>
      </c>
      <c r="AK441">
        <v>0</v>
      </c>
      <c r="AL441">
        <v>0</v>
      </c>
    </row>
    <row r="442" spans="1:38" x14ac:dyDescent="0.3">
      <c r="A442" t="s">
        <v>721</v>
      </c>
      <c r="B442">
        <v>9238</v>
      </c>
      <c r="C442">
        <v>8</v>
      </c>
      <c r="D442" t="s">
        <v>756</v>
      </c>
      <c r="E442" t="s">
        <v>757</v>
      </c>
      <c r="F442">
        <v>180</v>
      </c>
      <c r="G442">
        <v>19.25</v>
      </c>
      <c r="H442">
        <v>63.64</v>
      </c>
      <c r="I442">
        <v>16.07</v>
      </c>
      <c r="J442">
        <v>53.13</v>
      </c>
      <c r="K442">
        <v>50</v>
      </c>
      <c r="T442">
        <v>3</v>
      </c>
      <c r="U442">
        <v>1</v>
      </c>
      <c r="V442" t="s">
        <v>93</v>
      </c>
      <c r="W442" t="s">
        <v>286</v>
      </c>
      <c r="X442">
        <v>5</v>
      </c>
      <c r="Y442">
        <v>5</v>
      </c>
      <c r="Z442" t="s">
        <v>758</v>
      </c>
      <c r="AA442" t="s">
        <v>759</v>
      </c>
      <c r="AB442" t="s">
        <v>96</v>
      </c>
      <c r="AC442" t="s">
        <v>97</v>
      </c>
      <c r="AD442" t="s">
        <v>725</v>
      </c>
      <c r="AG442" t="s">
        <v>760</v>
      </c>
      <c r="AH442">
        <v>0</v>
      </c>
      <c r="AI442">
        <v>152</v>
      </c>
      <c r="AJ442">
        <v>30</v>
      </c>
      <c r="AK442">
        <v>0</v>
      </c>
      <c r="AL442">
        <v>0</v>
      </c>
    </row>
    <row r="443" spans="1:38" x14ac:dyDescent="0.3">
      <c r="A443" t="s">
        <v>721</v>
      </c>
      <c r="B443">
        <v>9238</v>
      </c>
      <c r="C443">
        <v>9</v>
      </c>
      <c r="D443" t="s">
        <v>756</v>
      </c>
      <c r="E443" t="s">
        <v>757</v>
      </c>
      <c r="F443">
        <v>180</v>
      </c>
      <c r="G443">
        <v>20.74</v>
      </c>
      <c r="H443">
        <v>68.59</v>
      </c>
      <c r="I443">
        <v>17.36</v>
      </c>
      <c r="J443">
        <v>57.42</v>
      </c>
      <c r="K443">
        <v>20</v>
      </c>
      <c r="T443">
        <v>3</v>
      </c>
      <c r="U443">
        <v>1</v>
      </c>
      <c r="V443" t="s">
        <v>93</v>
      </c>
      <c r="W443">
        <v>68</v>
      </c>
      <c r="X443">
        <v>5</v>
      </c>
      <c r="Y443">
        <v>5</v>
      </c>
      <c r="Z443" t="s">
        <v>758</v>
      </c>
      <c r="AA443" t="s">
        <v>759</v>
      </c>
      <c r="AB443" t="s">
        <v>96</v>
      </c>
      <c r="AC443" t="s">
        <v>97</v>
      </c>
      <c r="AD443" t="s">
        <v>725</v>
      </c>
      <c r="AG443" t="s">
        <v>760</v>
      </c>
      <c r="AH443">
        <v>0</v>
      </c>
      <c r="AI443">
        <v>152</v>
      </c>
      <c r="AJ443">
        <v>30</v>
      </c>
      <c r="AK443">
        <v>0</v>
      </c>
      <c r="AL443">
        <v>0</v>
      </c>
    </row>
    <row r="444" spans="1:38" x14ac:dyDescent="0.3">
      <c r="A444" t="s">
        <v>721</v>
      </c>
      <c r="B444">
        <v>9238</v>
      </c>
      <c r="C444">
        <v>10</v>
      </c>
      <c r="D444" t="s">
        <v>756</v>
      </c>
      <c r="E444" t="s">
        <v>757</v>
      </c>
      <c r="F444">
        <v>180</v>
      </c>
      <c r="G444">
        <v>21.52</v>
      </c>
      <c r="H444">
        <v>71.16</v>
      </c>
      <c r="I444">
        <v>17.989999999999998</v>
      </c>
      <c r="J444">
        <v>59.48</v>
      </c>
      <c r="K444">
        <v>5</v>
      </c>
      <c r="T444">
        <v>3</v>
      </c>
      <c r="U444">
        <v>1</v>
      </c>
      <c r="V444" t="s">
        <v>93</v>
      </c>
      <c r="W444">
        <v>71</v>
      </c>
      <c r="X444">
        <v>5</v>
      </c>
      <c r="Y444">
        <v>5</v>
      </c>
      <c r="Z444" t="s">
        <v>758</v>
      </c>
      <c r="AA444" t="s">
        <v>759</v>
      </c>
      <c r="AB444" t="s">
        <v>96</v>
      </c>
      <c r="AC444" t="s">
        <v>97</v>
      </c>
      <c r="AD444" t="s">
        <v>725</v>
      </c>
      <c r="AG444" t="s">
        <v>760</v>
      </c>
      <c r="AH444">
        <v>0</v>
      </c>
      <c r="AI444">
        <v>152</v>
      </c>
      <c r="AJ444">
        <v>30</v>
      </c>
      <c r="AK444">
        <v>0</v>
      </c>
      <c r="AL444">
        <v>0</v>
      </c>
    </row>
    <row r="445" spans="1:38" x14ac:dyDescent="0.3">
      <c r="A445" t="s">
        <v>721</v>
      </c>
      <c r="B445">
        <v>10771</v>
      </c>
      <c r="C445">
        <v>1</v>
      </c>
      <c r="D445" t="s">
        <v>762</v>
      </c>
      <c r="E445" t="s">
        <v>763</v>
      </c>
      <c r="F445">
        <v>90</v>
      </c>
      <c r="G445">
        <v>21.31</v>
      </c>
      <c r="H445">
        <v>70.47</v>
      </c>
      <c r="I445">
        <v>17.559999999999999</v>
      </c>
      <c r="J445">
        <v>58.05</v>
      </c>
      <c r="K445">
        <v>40</v>
      </c>
      <c r="T445">
        <v>3</v>
      </c>
      <c r="U445">
        <v>1</v>
      </c>
      <c r="V445" t="s">
        <v>93</v>
      </c>
      <c r="W445">
        <v>70</v>
      </c>
      <c r="X445">
        <v>5</v>
      </c>
      <c r="Y445">
        <v>5</v>
      </c>
      <c r="Z445" t="s">
        <v>764</v>
      </c>
      <c r="AA445" t="s">
        <v>765</v>
      </c>
      <c r="AB445" t="s">
        <v>96</v>
      </c>
      <c r="AC445" t="s">
        <v>97</v>
      </c>
      <c r="AD445" t="s">
        <v>725</v>
      </c>
      <c r="AG445" t="s">
        <v>766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721</v>
      </c>
      <c r="B446">
        <v>10771</v>
      </c>
      <c r="C446">
        <v>2</v>
      </c>
      <c r="D446" t="s">
        <v>762</v>
      </c>
      <c r="E446" t="s">
        <v>763</v>
      </c>
      <c r="F446">
        <v>90</v>
      </c>
      <c r="G446">
        <v>23.79</v>
      </c>
      <c r="H446">
        <v>78.66</v>
      </c>
      <c r="I446">
        <v>19.600000000000001</v>
      </c>
      <c r="J446">
        <v>64.8</v>
      </c>
      <c r="K446">
        <v>50</v>
      </c>
      <c r="T446">
        <v>3</v>
      </c>
      <c r="U446">
        <v>1</v>
      </c>
      <c r="V446" t="s">
        <v>93</v>
      </c>
      <c r="W446">
        <v>78</v>
      </c>
      <c r="X446">
        <v>5</v>
      </c>
      <c r="Y446">
        <v>5</v>
      </c>
      <c r="Z446" t="s">
        <v>764</v>
      </c>
      <c r="AA446" t="s">
        <v>765</v>
      </c>
      <c r="AB446" t="s">
        <v>96</v>
      </c>
      <c r="AC446" t="s">
        <v>97</v>
      </c>
      <c r="AD446" t="s">
        <v>725</v>
      </c>
      <c r="AG446" t="s">
        <v>766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721</v>
      </c>
      <c r="B447">
        <v>126844</v>
      </c>
      <c r="C447">
        <v>1</v>
      </c>
      <c r="D447" t="s">
        <v>767</v>
      </c>
      <c r="E447" t="s">
        <v>768</v>
      </c>
      <c r="F447">
        <v>98</v>
      </c>
      <c r="G447">
        <v>11.73</v>
      </c>
      <c r="H447">
        <v>38.799999999999997</v>
      </c>
      <c r="I447">
        <v>8.33</v>
      </c>
      <c r="J447">
        <v>27.57</v>
      </c>
      <c r="K447">
        <v>10</v>
      </c>
      <c r="T447">
        <v>1</v>
      </c>
      <c r="U447">
        <v>1</v>
      </c>
      <c r="V447" t="s">
        <v>93</v>
      </c>
      <c r="W447" t="s">
        <v>769</v>
      </c>
      <c r="X447">
        <v>10</v>
      </c>
      <c r="Y447">
        <v>10</v>
      </c>
      <c r="Z447" t="s">
        <v>770</v>
      </c>
      <c r="AA447" t="s">
        <v>771</v>
      </c>
      <c r="AB447" t="s">
        <v>96</v>
      </c>
      <c r="AC447" t="s">
        <v>97</v>
      </c>
      <c r="AD447" t="s">
        <v>725</v>
      </c>
      <c r="AG447" t="s">
        <v>772</v>
      </c>
      <c r="AH447">
        <v>0</v>
      </c>
      <c r="AI447">
        <v>499</v>
      </c>
      <c r="AJ447">
        <v>65</v>
      </c>
      <c r="AK447">
        <v>63</v>
      </c>
      <c r="AL447">
        <v>0.64</v>
      </c>
    </row>
    <row r="448" spans="1:38" x14ac:dyDescent="0.3">
      <c r="A448" t="s">
        <v>721</v>
      </c>
      <c r="B448">
        <v>126844</v>
      </c>
      <c r="C448">
        <v>2</v>
      </c>
      <c r="D448" t="s">
        <v>767</v>
      </c>
      <c r="E448" t="s">
        <v>768</v>
      </c>
      <c r="F448">
        <v>98</v>
      </c>
      <c r="G448">
        <v>11.89</v>
      </c>
      <c r="H448">
        <v>39.33</v>
      </c>
      <c r="I448">
        <v>8.5399999999999991</v>
      </c>
      <c r="J448">
        <v>28.24</v>
      </c>
      <c r="K448">
        <v>18</v>
      </c>
      <c r="T448">
        <v>1</v>
      </c>
      <c r="U448">
        <v>1</v>
      </c>
      <c r="V448" t="s">
        <v>93</v>
      </c>
      <c r="W448" t="s">
        <v>773</v>
      </c>
      <c r="X448">
        <v>10</v>
      </c>
      <c r="Y448">
        <v>10</v>
      </c>
      <c r="Z448" t="s">
        <v>770</v>
      </c>
      <c r="AA448" t="s">
        <v>771</v>
      </c>
      <c r="AB448" t="s">
        <v>96</v>
      </c>
      <c r="AC448" t="s">
        <v>97</v>
      </c>
      <c r="AD448" t="s">
        <v>725</v>
      </c>
      <c r="AG448" t="s">
        <v>772</v>
      </c>
      <c r="AH448">
        <v>0</v>
      </c>
      <c r="AI448">
        <v>499</v>
      </c>
      <c r="AJ448">
        <v>65</v>
      </c>
      <c r="AK448">
        <v>63</v>
      </c>
      <c r="AL448">
        <v>0.64</v>
      </c>
    </row>
    <row r="449" spans="1:38" x14ac:dyDescent="0.3">
      <c r="A449" t="s">
        <v>721</v>
      </c>
      <c r="B449">
        <v>126844</v>
      </c>
      <c r="C449">
        <v>3</v>
      </c>
      <c r="D449" t="s">
        <v>767</v>
      </c>
      <c r="E449" t="s">
        <v>768</v>
      </c>
      <c r="F449">
        <v>98</v>
      </c>
      <c r="G449">
        <v>15.04</v>
      </c>
      <c r="H449">
        <v>49.72</v>
      </c>
      <c r="I449">
        <v>10.86</v>
      </c>
      <c r="J449">
        <v>35.92</v>
      </c>
      <c r="K449">
        <v>27</v>
      </c>
      <c r="T449">
        <v>1</v>
      </c>
      <c r="U449">
        <v>1</v>
      </c>
      <c r="V449" t="s">
        <v>93</v>
      </c>
      <c r="W449">
        <v>49</v>
      </c>
      <c r="X449">
        <v>10</v>
      </c>
      <c r="Y449">
        <v>10</v>
      </c>
      <c r="Z449" t="s">
        <v>770</v>
      </c>
      <c r="AA449" t="s">
        <v>771</v>
      </c>
      <c r="AB449" t="s">
        <v>96</v>
      </c>
      <c r="AC449" t="s">
        <v>97</v>
      </c>
      <c r="AD449" t="s">
        <v>725</v>
      </c>
      <c r="AG449" t="s">
        <v>772</v>
      </c>
      <c r="AH449">
        <v>0</v>
      </c>
      <c r="AI449">
        <v>499</v>
      </c>
      <c r="AJ449">
        <v>65</v>
      </c>
      <c r="AK449">
        <v>63</v>
      </c>
      <c r="AL449">
        <v>0.64</v>
      </c>
    </row>
    <row r="450" spans="1:38" x14ac:dyDescent="0.3">
      <c r="A450" t="s">
        <v>721</v>
      </c>
      <c r="B450">
        <v>126844</v>
      </c>
      <c r="C450">
        <v>4</v>
      </c>
      <c r="D450" t="s">
        <v>767</v>
      </c>
      <c r="E450" t="s">
        <v>768</v>
      </c>
      <c r="F450">
        <v>98</v>
      </c>
      <c r="G450">
        <v>16.18</v>
      </c>
      <c r="H450">
        <v>53.52</v>
      </c>
      <c r="I450">
        <v>11.68</v>
      </c>
      <c r="J450">
        <v>38.630000000000003</v>
      </c>
      <c r="K450">
        <v>16</v>
      </c>
      <c r="T450">
        <v>1</v>
      </c>
      <c r="U450">
        <v>1</v>
      </c>
      <c r="V450" t="s">
        <v>93</v>
      </c>
      <c r="W450">
        <v>53</v>
      </c>
      <c r="X450">
        <v>10</v>
      </c>
      <c r="Y450">
        <v>10</v>
      </c>
      <c r="Z450" t="s">
        <v>770</v>
      </c>
      <c r="AA450" t="s">
        <v>771</v>
      </c>
      <c r="AB450" t="s">
        <v>96</v>
      </c>
      <c r="AC450" t="s">
        <v>97</v>
      </c>
      <c r="AD450" t="s">
        <v>725</v>
      </c>
      <c r="AG450" t="s">
        <v>772</v>
      </c>
      <c r="AH450">
        <v>0</v>
      </c>
      <c r="AI450">
        <v>499</v>
      </c>
      <c r="AJ450">
        <v>65</v>
      </c>
      <c r="AK450">
        <v>63</v>
      </c>
      <c r="AL450">
        <v>0.64</v>
      </c>
    </row>
    <row r="451" spans="1:38" x14ac:dyDescent="0.3">
      <c r="A451" t="s">
        <v>721</v>
      </c>
      <c r="B451">
        <v>126844</v>
      </c>
      <c r="C451">
        <v>5</v>
      </c>
      <c r="D451" t="s">
        <v>767</v>
      </c>
      <c r="E451" t="s">
        <v>768</v>
      </c>
      <c r="F451">
        <v>98</v>
      </c>
      <c r="G451">
        <v>19.440000000000001</v>
      </c>
      <c r="H451">
        <v>64.27</v>
      </c>
      <c r="I451">
        <v>14.13</v>
      </c>
      <c r="J451">
        <v>46.73</v>
      </c>
      <c r="K451">
        <v>18</v>
      </c>
      <c r="T451">
        <v>1</v>
      </c>
      <c r="U451">
        <v>1</v>
      </c>
      <c r="V451" t="s">
        <v>93</v>
      </c>
      <c r="W451">
        <v>64</v>
      </c>
      <c r="X451">
        <v>10</v>
      </c>
      <c r="Y451">
        <v>10</v>
      </c>
      <c r="Z451" t="s">
        <v>770</v>
      </c>
      <c r="AA451" t="s">
        <v>771</v>
      </c>
      <c r="AB451" t="s">
        <v>96</v>
      </c>
      <c r="AC451" t="s">
        <v>97</v>
      </c>
      <c r="AD451" t="s">
        <v>725</v>
      </c>
      <c r="AG451" t="s">
        <v>772</v>
      </c>
      <c r="AH451">
        <v>0</v>
      </c>
      <c r="AI451">
        <v>499</v>
      </c>
      <c r="AJ451">
        <v>65</v>
      </c>
      <c r="AK451">
        <v>63</v>
      </c>
      <c r="AL451">
        <v>0.64</v>
      </c>
    </row>
    <row r="452" spans="1:38" x14ac:dyDescent="0.3">
      <c r="A452" t="s">
        <v>721</v>
      </c>
      <c r="B452">
        <v>126844</v>
      </c>
      <c r="C452">
        <v>6</v>
      </c>
      <c r="D452" t="s">
        <v>767</v>
      </c>
      <c r="E452" t="s">
        <v>768</v>
      </c>
      <c r="F452">
        <v>98</v>
      </c>
      <c r="G452">
        <v>20.63</v>
      </c>
      <c r="H452">
        <v>68.22</v>
      </c>
      <c r="I452">
        <v>15.03</v>
      </c>
      <c r="J452">
        <v>49.7</v>
      </c>
      <c r="K452">
        <v>9</v>
      </c>
      <c r="T452">
        <v>1</v>
      </c>
      <c r="U452">
        <v>1</v>
      </c>
      <c r="V452" t="s">
        <v>93</v>
      </c>
      <c r="W452">
        <v>68</v>
      </c>
      <c r="X452">
        <v>10</v>
      </c>
      <c r="Y452">
        <v>10</v>
      </c>
      <c r="Z452" t="s">
        <v>770</v>
      </c>
      <c r="AA452" t="s">
        <v>771</v>
      </c>
      <c r="AB452" t="s">
        <v>96</v>
      </c>
      <c r="AC452" t="s">
        <v>97</v>
      </c>
      <c r="AD452" t="s">
        <v>725</v>
      </c>
      <c r="AG452" t="s">
        <v>772</v>
      </c>
      <c r="AH452">
        <v>0</v>
      </c>
      <c r="AI452">
        <v>499</v>
      </c>
      <c r="AJ452">
        <v>65</v>
      </c>
      <c r="AK452">
        <v>63</v>
      </c>
      <c r="AL452">
        <v>0.64</v>
      </c>
    </row>
    <row r="453" spans="1:38" x14ac:dyDescent="0.3">
      <c r="A453" t="s">
        <v>721</v>
      </c>
      <c r="B453">
        <v>128537</v>
      </c>
      <c r="C453">
        <v>1</v>
      </c>
      <c r="D453" t="s">
        <v>774</v>
      </c>
      <c r="E453" t="s">
        <v>775</v>
      </c>
      <c r="F453">
        <v>28</v>
      </c>
      <c r="G453">
        <v>24.54</v>
      </c>
      <c r="H453">
        <v>81.13</v>
      </c>
      <c r="I453">
        <v>19.45</v>
      </c>
      <c r="J453">
        <v>64.31</v>
      </c>
      <c r="K453">
        <v>4</v>
      </c>
      <c r="T453">
        <v>3</v>
      </c>
      <c r="U453">
        <v>1</v>
      </c>
      <c r="V453" t="s">
        <v>93</v>
      </c>
      <c r="W453" t="s">
        <v>776</v>
      </c>
      <c r="X453">
        <v>11</v>
      </c>
      <c r="Y453">
        <v>5</v>
      </c>
      <c r="Z453" t="s">
        <v>777</v>
      </c>
      <c r="AA453" t="s">
        <v>778</v>
      </c>
      <c r="AB453" t="s">
        <v>96</v>
      </c>
      <c r="AC453" t="s">
        <v>97</v>
      </c>
      <c r="AD453" t="s">
        <v>725</v>
      </c>
      <c r="AG453" t="s">
        <v>779</v>
      </c>
      <c r="AH453">
        <v>0</v>
      </c>
      <c r="AI453">
        <v>247</v>
      </c>
      <c r="AJ453">
        <v>52</v>
      </c>
      <c r="AK453">
        <v>27</v>
      </c>
      <c r="AL453">
        <v>0.96</v>
      </c>
    </row>
    <row r="454" spans="1:38" x14ac:dyDescent="0.3">
      <c r="A454" t="s">
        <v>721</v>
      </c>
      <c r="B454">
        <v>128537</v>
      </c>
      <c r="C454">
        <v>2</v>
      </c>
      <c r="D454" t="s">
        <v>774</v>
      </c>
      <c r="E454" t="s">
        <v>775</v>
      </c>
      <c r="F454">
        <v>28</v>
      </c>
      <c r="G454">
        <v>24.54</v>
      </c>
      <c r="H454">
        <v>81.13</v>
      </c>
      <c r="I454">
        <v>19.11</v>
      </c>
      <c r="J454">
        <v>63.19</v>
      </c>
      <c r="K454">
        <v>2</v>
      </c>
      <c r="T454">
        <v>3</v>
      </c>
      <c r="U454">
        <v>1</v>
      </c>
      <c r="V454" t="s">
        <v>338</v>
      </c>
      <c r="W454" t="s">
        <v>780</v>
      </c>
      <c r="X454">
        <v>11</v>
      </c>
      <c r="Y454">
        <v>5</v>
      </c>
      <c r="Z454" t="s">
        <v>777</v>
      </c>
      <c r="AA454" t="s">
        <v>778</v>
      </c>
      <c r="AB454" t="s">
        <v>96</v>
      </c>
      <c r="AC454" t="s">
        <v>97</v>
      </c>
      <c r="AD454" t="s">
        <v>725</v>
      </c>
      <c r="AG454" t="s">
        <v>779</v>
      </c>
      <c r="AH454">
        <v>0</v>
      </c>
      <c r="AI454">
        <v>247</v>
      </c>
      <c r="AJ454">
        <v>52</v>
      </c>
      <c r="AK454">
        <v>27</v>
      </c>
      <c r="AL454">
        <v>0.96</v>
      </c>
    </row>
    <row r="455" spans="1:38" x14ac:dyDescent="0.3">
      <c r="A455" t="s">
        <v>721</v>
      </c>
      <c r="B455">
        <v>128537</v>
      </c>
      <c r="C455">
        <v>3</v>
      </c>
      <c r="D455" t="s">
        <v>774</v>
      </c>
      <c r="E455" t="s">
        <v>775</v>
      </c>
      <c r="F455">
        <v>28</v>
      </c>
      <c r="G455">
        <v>24.54</v>
      </c>
      <c r="H455">
        <v>81.13</v>
      </c>
      <c r="I455">
        <v>19.38</v>
      </c>
      <c r="J455">
        <v>64.08</v>
      </c>
      <c r="K455">
        <v>2</v>
      </c>
      <c r="T455">
        <v>3</v>
      </c>
      <c r="U455">
        <v>1</v>
      </c>
      <c r="V455" t="s">
        <v>93</v>
      </c>
      <c r="W455" t="s">
        <v>517</v>
      </c>
      <c r="X455">
        <v>11</v>
      </c>
      <c r="Y455">
        <v>5</v>
      </c>
      <c r="Z455" t="s">
        <v>777</v>
      </c>
      <c r="AA455" t="s">
        <v>778</v>
      </c>
      <c r="AB455" t="s">
        <v>96</v>
      </c>
      <c r="AC455" t="s">
        <v>97</v>
      </c>
      <c r="AD455" t="s">
        <v>725</v>
      </c>
      <c r="AG455" t="s">
        <v>779</v>
      </c>
      <c r="AH455">
        <v>0</v>
      </c>
      <c r="AI455">
        <v>247</v>
      </c>
      <c r="AJ455">
        <v>52</v>
      </c>
      <c r="AK455">
        <v>27</v>
      </c>
      <c r="AL455">
        <v>0.96</v>
      </c>
    </row>
    <row r="456" spans="1:38" x14ac:dyDescent="0.3">
      <c r="A456" t="s">
        <v>721</v>
      </c>
      <c r="B456">
        <v>128537</v>
      </c>
      <c r="C456">
        <v>4</v>
      </c>
      <c r="D456" t="s">
        <v>774</v>
      </c>
      <c r="E456" t="s">
        <v>775</v>
      </c>
      <c r="F456">
        <v>28</v>
      </c>
      <c r="G456">
        <v>24.57</v>
      </c>
      <c r="H456">
        <v>81.239999999999995</v>
      </c>
      <c r="I456">
        <v>19.29</v>
      </c>
      <c r="J456">
        <v>63.78</v>
      </c>
      <c r="K456">
        <v>1</v>
      </c>
      <c r="T456">
        <v>3</v>
      </c>
      <c r="U456">
        <v>1</v>
      </c>
      <c r="V456" t="s">
        <v>338</v>
      </c>
      <c r="W456" t="s">
        <v>781</v>
      </c>
      <c r="X456">
        <v>11</v>
      </c>
      <c r="Y456">
        <v>5</v>
      </c>
      <c r="Z456" t="s">
        <v>777</v>
      </c>
      <c r="AA456" t="s">
        <v>778</v>
      </c>
      <c r="AB456" t="s">
        <v>96</v>
      </c>
      <c r="AC456" t="s">
        <v>97</v>
      </c>
      <c r="AD456" t="s">
        <v>725</v>
      </c>
      <c r="AG456" t="s">
        <v>779</v>
      </c>
      <c r="AH456">
        <v>0</v>
      </c>
      <c r="AI456">
        <v>247</v>
      </c>
      <c r="AJ456">
        <v>52</v>
      </c>
      <c r="AK456">
        <v>27</v>
      </c>
      <c r="AL456">
        <v>0.96</v>
      </c>
    </row>
    <row r="457" spans="1:38" x14ac:dyDescent="0.3">
      <c r="A457" t="s">
        <v>721</v>
      </c>
      <c r="B457">
        <v>128537</v>
      </c>
      <c r="C457">
        <v>5</v>
      </c>
      <c r="D457" t="s">
        <v>774</v>
      </c>
      <c r="E457" t="s">
        <v>775</v>
      </c>
      <c r="F457">
        <v>28</v>
      </c>
      <c r="G457">
        <v>25.16</v>
      </c>
      <c r="H457">
        <v>83.2</v>
      </c>
      <c r="I457">
        <v>19.739999999999998</v>
      </c>
      <c r="J457">
        <v>65.27</v>
      </c>
      <c r="K457">
        <v>4</v>
      </c>
      <c r="T457">
        <v>3</v>
      </c>
      <c r="U457">
        <v>2</v>
      </c>
      <c r="V457" t="s">
        <v>338</v>
      </c>
      <c r="W457" t="s">
        <v>191</v>
      </c>
      <c r="X457">
        <v>11</v>
      </c>
      <c r="Y457">
        <v>5</v>
      </c>
      <c r="Z457" t="s">
        <v>777</v>
      </c>
      <c r="AA457" t="s">
        <v>778</v>
      </c>
      <c r="AB457" t="s">
        <v>96</v>
      </c>
      <c r="AC457" t="s">
        <v>97</v>
      </c>
      <c r="AD457" t="s">
        <v>725</v>
      </c>
      <c r="AG457" t="s">
        <v>779</v>
      </c>
      <c r="AH457">
        <v>0</v>
      </c>
      <c r="AI457">
        <v>247</v>
      </c>
      <c r="AJ457">
        <v>52</v>
      </c>
      <c r="AK457">
        <v>27</v>
      </c>
      <c r="AL457">
        <v>0.96</v>
      </c>
    </row>
    <row r="458" spans="1:38" x14ac:dyDescent="0.3">
      <c r="A458" t="s">
        <v>721</v>
      </c>
      <c r="B458">
        <v>128537</v>
      </c>
      <c r="C458">
        <v>6</v>
      </c>
      <c r="D458" t="s">
        <v>774</v>
      </c>
      <c r="E458" t="s">
        <v>775</v>
      </c>
      <c r="F458">
        <v>28</v>
      </c>
      <c r="G458">
        <v>25.16</v>
      </c>
      <c r="H458">
        <v>83.2</v>
      </c>
      <c r="I458">
        <v>19.82</v>
      </c>
      <c r="J458">
        <v>65.540000000000006</v>
      </c>
      <c r="K458">
        <v>2</v>
      </c>
      <c r="T458">
        <v>3</v>
      </c>
      <c r="U458">
        <v>2</v>
      </c>
      <c r="V458" t="s">
        <v>93</v>
      </c>
      <c r="W458" t="s">
        <v>782</v>
      </c>
      <c r="X458">
        <v>11</v>
      </c>
      <c r="Y458">
        <v>5</v>
      </c>
      <c r="Z458" t="s">
        <v>777</v>
      </c>
      <c r="AA458" t="s">
        <v>778</v>
      </c>
      <c r="AB458" t="s">
        <v>96</v>
      </c>
      <c r="AC458" t="s">
        <v>97</v>
      </c>
      <c r="AD458" t="s">
        <v>725</v>
      </c>
      <c r="AG458" t="s">
        <v>779</v>
      </c>
      <c r="AH458">
        <v>0</v>
      </c>
      <c r="AI458">
        <v>247</v>
      </c>
      <c r="AJ458">
        <v>52</v>
      </c>
      <c r="AK458">
        <v>27</v>
      </c>
      <c r="AL458">
        <v>0.96</v>
      </c>
    </row>
    <row r="459" spans="1:38" x14ac:dyDescent="0.3">
      <c r="A459" t="s">
        <v>721</v>
      </c>
      <c r="B459">
        <v>128537</v>
      </c>
      <c r="C459">
        <v>7</v>
      </c>
      <c r="D459" t="s">
        <v>774</v>
      </c>
      <c r="E459" t="s">
        <v>775</v>
      </c>
      <c r="F459">
        <v>28</v>
      </c>
      <c r="G459">
        <v>25.16</v>
      </c>
      <c r="H459">
        <v>83.2</v>
      </c>
      <c r="I459">
        <v>19.559999999999999</v>
      </c>
      <c r="J459">
        <v>64.69</v>
      </c>
      <c r="K459">
        <v>1</v>
      </c>
      <c r="T459">
        <v>3</v>
      </c>
      <c r="U459">
        <v>2</v>
      </c>
      <c r="V459" t="s">
        <v>338</v>
      </c>
      <c r="W459" t="s">
        <v>783</v>
      </c>
      <c r="X459">
        <v>11</v>
      </c>
      <c r="Y459">
        <v>5</v>
      </c>
      <c r="Z459" t="s">
        <v>777</v>
      </c>
      <c r="AA459" t="s">
        <v>778</v>
      </c>
      <c r="AB459" t="s">
        <v>96</v>
      </c>
      <c r="AC459" t="s">
        <v>97</v>
      </c>
      <c r="AD459" t="s">
        <v>725</v>
      </c>
      <c r="AG459" t="s">
        <v>779</v>
      </c>
      <c r="AH459">
        <v>0</v>
      </c>
      <c r="AI459">
        <v>247</v>
      </c>
      <c r="AJ459">
        <v>52</v>
      </c>
      <c r="AK459">
        <v>27</v>
      </c>
      <c r="AL459">
        <v>0.96</v>
      </c>
    </row>
    <row r="460" spans="1:38" x14ac:dyDescent="0.3">
      <c r="A460" t="s">
        <v>721</v>
      </c>
      <c r="B460">
        <v>128537</v>
      </c>
      <c r="C460">
        <v>8</v>
      </c>
      <c r="D460" t="s">
        <v>774</v>
      </c>
      <c r="E460" t="s">
        <v>775</v>
      </c>
      <c r="F460">
        <v>28</v>
      </c>
      <c r="G460">
        <v>26.17</v>
      </c>
      <c r="H460">
        <v>86.53</v>
      </c>
      <c r="I460">
        <v>20.87</v>
      </c>
      <c r="J460">
        <v>69</v>
      </c>
      <c r="K460">
        <v>4</v>
      </c>
      <c r="T460">
        <v>3</v>
      </c>
      <c r="U460">
        <v>2</v>
      </c>
      <c r="V460" t="s">
        <v>93</v>
      </c>
      <c r="W460">
        <v>86</v>
      </c>
      <c r="X460">
        <v>11</v>
      </c>
      <c r="Y460">
        <v>5</v>
      </c>
      <c r="Z460" t="s">
        <v>777</v>
      </c>
      <c r="AA460" t="s">
        <v>778</v>
      </c>
      <c r="AB460" t="s">
        <v>96</v>
      </c>
      <c r="AC460" t="s">
        <v>97</v>
      </c>
      <c r="AD460" t="s">
        <v>725</v>
      </c>
      <c r="AG460" t="s">
        <v>779</v>
      </c>
      <c r="AH460">
        <v>0</v>
      </c>
      <c r="AI460">
        <v>247</v>
      </c>
      <c r="AJ460">
        <v>52</v>
      </c>
      <c r="AK460">
        <v>27</v>
      </c>
      <c r="AL460">
        <v>0.96</v>
      </c>
    </row>
    <row r="461" spans="1:38" x14ac:dyDescent="0.3">
      <c r="A461" t="s">
        <v>721</v>
      </c>
      <c r="B461">
        <v>128537</v>
      </c>
      <c r="C461">
        <v>9</v>
      </c>
      <c r="D461" t="s">
        <v>774</v>
      </c>
      <c r="E461" t="s">
        <v>775</v>
      </c>
      <c r="F461">
        <v>28</v>
      </c>
      <c r="G461">
        <v>27.85</v>
      </c>
      <c r="H461">
        <v>92.09</v>
      </c>
      <c r="I461">
        <v>22.25</v>
      </c>
      <c r="J461">
        <v>73.569999999999993</v>
      </c>
      <c r="K461">
        <v>4</v>
      </c>
      <c r="T461">
        <v>3</v>
      </c>
      <c r="U461">
        <v>2</v>
      </c>
      <c r="V461" t="s">
        <v>93</v>
      </c>
      <c r="W461">
        <v>92</v>
      </c>
      <c r="X461">
        <v>11</v>
      </c>
      <c r="Y461">
        <v>5</v>
      </c>
      <c r="Z461" t="s">
        <v>777</v>
      </c>
      <c r="AA461" t="s">
        <v>778</v>
      </c>
      <c r="AB461" t="s">
        <v>96</v>
      </c>
      <c r="AC461" t="s">
        <v>97</v>
      </c>
      <c r="AD461" t="s">
        <v>725</v>
      </c>
      <c r="AG461" t="s">
        <v>779</v>
      </c>
      <c r="AH461">
        <v>0</v>
      </c>
      <c r="AI461">
        <v>247</v>
      </c>
      <c r="AJ461">
        <v>52</v>
      </c>
      <c r="AK461">
        <v>27</v>
      </c>
      <c r="AL461">
        <v>0.96</v>
      </c>
    </row>
    <row r="462" spans="1:38" x14ac:dyDescent="0.3">
      <c r="A462" t="s">
        <v>721</v>
      </c>
      <c r="B462">
        <v>128537</v>
      </c>
      <c r="C462">
        <v>10</v>
      </c>
      <c r="D462" t="s">
        <v>774</v>
      </c>
      <c r="E462" t="s">
        <v>775</v>
      </c>
      <c r="F462">
        <v>28</v>
      </c>
      <c r="G462">
        <v>29.2</v>
      </c>
      <c r="H462">
        <v>96.53</v>
      </c>
      <c r="I462">
        <v>22.54</v>
      </c>
      <c r="J462">
        <v>74.53</v>
      </c>
      <c r="K462">
        <v>1</v>
      </c>
      <c r="T462">
        <v>3</v>
      </c>
      <c r="U462">
        <v>2</v>
      </c>
      <c r="V462" t="s">
        <v>93</v>
      </c>
      <c r="W462">
        <v>96</v>
      </c>
      <c r="X462">
        <v>11</v>
      </c>
      <c r="Y462">
        <v>5</v>
      </c>
      <c r="Z462" t="s">
        <v>777</v>
      </c>
      <c r="AA462" t="s">
        <v>778</v>
      </c>
      <c r="AB462" t="s">
        <v>96</v>
      </c>
      <c r="AC462" t="s">
        <v>97</v>
      </c>
      <c r="AD462" t="s">
        <v>725</v>
      </c>
      <c r="AG462" t="s">
        <v>779</v>
      </c>
      <c r="AH462">
        <v>0</v>
      </c>
      <c r="AI462">
        <v>247</v>
      </c>
      <c r="AJ462">
        <v>52</v>
      </c>
      <c r="AK462">
        <v>27</v>
      </c>
      <c r="AL462">
        <v>0.96</v>
      </c>
    </row>
    <row r="463" spans="1:38" x14ac:dyDescent="0.3">
      <c r="A463" t="s">
        <v>721</v>
      </c>
      <c r="B463">
        <v>128537</v>
      </c>
      <c r="C463">
        <v>11</v>
      </c>
      <c r="D463" t="s">
        <v>774</v>
      </c>
      <c r="E463" t="s">
        <v>775</v>
      </c>
      <c r="F463">
        <v>28</v>
      </c>
      <c r="G463">
        <v>29.58</v>
      </c>
      <c r="H463">
        <v>97.81</v>
      </c>
      <c r="I463">
        <v>22.94</v>
      </c>
      <c r="J463">
        <v>75.84</v>
      </c>
      <c r="K463">
        <v>1</v>
      </c>
      <c r="T463">
        <v>3</v>
      </c>
      <c r="U463">
        <v>2</v>
      </c>
      <c r="V463" t="s">
        <v>93</v>
      </c>
      <c r="W463" t="s">
        <v>784</v>
      </c>
      <c r="X463">
        <v>11</v>
      </c>
      <c r="Y463">
        <v>5</v>
      </c>
      <c r="Z463" t="s">
        <v>777</v>
      </c>
      <c r="AA463" t="s">
        <v>778</v>
      </c>
      <c r="AB463" t="s">
        <v>96</v>
      </c>
      <c r="AC463" t="s">
        <v>97</v>
      </c>
      <c r="AD463" t="s">
        <v>725</v>
      </c>
      <c r="AG463" t="s">
        <v>779</v>
      </c>
      <c r="AH463">
        <v>0</v>
      </c>
      <c r="AI463">
        <v>247</v>
      </c>
      <c r="AJ463">
        <v>52</v>
      </c>
      <c r="AK463">
        <v>27</v>
      </c>
      <c r="AL463">
        <v>0.96</v>
      </c>
    </row>
    <row r="464" spans="1:38" x14ac:dyDescent="0.3">
      <c r="A464" t="s">
        <v>721</v>
      </c>
      <c r="B464">
        <v>128537</v>
      </c>
      <c r="C464">
        <v>12</v>
      </c>
      <c r="D464" t="s">
        <v>774</v>
      </c>
      <c r="E464" t="s">
        <v>775</v>
      </c>
      <c r="F464">
        <v>28</v>
      </c>
      <c r="G464">
        <v>29.73</v>
      </c>
      <c r="H464">
        <v>98.29</v>
      </c>
      <c r="I464">
        <v>23.3</v>
      </c>
      <c r="J464">
        <v>77.040000000000006</v>
      </c>
      <c r="K464">
        <v>1</v>
      </c>
      <c r="T464">
        <v>3</v>
      </c>
      <c r="U464">
        <v>2</v>
      </c>
      <c r="V464" t="s">
        <v>93</v>
      </c>
      <c r="W464" t="s">
        <v>785</v>
      </c>
      <c r="X464">
        <v>11</v>
      </c>
      <c r="Y464">
        <v>5</v>
      </c>
      <c r="Z464" t="s">
        <v>777</v>
      </c>
      <c r="AA464" t="s">
        <v>778</v>
      </c>
      <c r="AB464" t="s">
        <v>96</v>
      </c>
      <c r="AC464" t="s">
        <v>97</v>
      </c>
      <c r="AD464" t="s">
        <v>725</v>
      </c>
      <c r="AG464" t="s">
        <v>779</v>
      </c>
      <c r="AH464">
        <v>0</v>
      </c>
      <c r="AI464">
        <v>247</v>
      </c>
      <c r="AJ464">
        <v>52</v>
      </c>
      <c r="AK464">
        <v>27</v>
      </c>
      <c r="AL464">
        <v>0.96</v>
      </c>
    </row>
    <row r="465" spans="1:38" x14ac:dyDescent="0.3">
      <c r="A465" t="s">
        <v>721</v>
      </c>
      <c r="B465">
        <v>128537</v>
      </c>
      <c r="C465">
        <v>13</v>
      </c>
      <c r="D465" t="s">
        <v>774</v>
      </c>
      <c r="E465" t="s">
        <v>775</v>
      </c>
      <c r="F465">
        <v>28</v>
      </c>
      <c r="G465">
        <v>38.82</v>
      </c>
      <c r="H465">
        <v>128.34</v>
      </c>
      <c r="I465">
        <v>30.32</v>
      </c>
      <c r="J465">
        <v>100.26</v>
      </c>
      <c r="K465">
        <v>1</v>
      </c>
      <c r="T465">
        <v>3</v>
      </c>
      <c r="U465">
        <v>2</v>
      </c>
      <c r="V465" t="s">
        <v>93</v>
      </c>
      <c r="W465">
        <v>128</v>
      </c>
      <c r="X465">
        <v>11</v>
      </c>
      <c r="Y465">
        <v>5</v>
      </c>
      <c r="Z465" t="s">
        <v>777</v>
      </c>
      <c r="AA465" t="s">
        <v>778</v>
      </c>
      <c r="AB465" t="s">
        <v>96</v>
      </c>
      <c r="AC465" t="s">
        <v>97</v>
      </c>
      <c r="AD465" t="s">
        <v>725</v>
      </c>
      <c r="AG465" t="s">
        <v>779</v>
      </c>
      <c r="AH465">
        <v>0</v>
      </c>
      <c r="AI465">
        <v>247</v>
      </c>
      <c r="AJ465">
        <v>52</v>
      </c>
      <c r="AK465">
        <v>27</v>
      </c>
      <c r="AL465">
        <v>0.96</v>
      </c>
    </row>
    <row r="466" spans="1:38" x14ac:dyDescent="0.3">
      <c r="A466" t="s">
        <v>721</v>
      </c>
      <c r="B466">
        <v>2438</v>
      </c>
      <c r="C466">
        <v>1</v>
      </c>
      <c r="D466" t="s">
        <v>786</v>
      </c>
      <c r="E466" t="s">
        <v>111</v>
      </c>
      <c r="F466">
        <v>570</v>
      </c>
      <c r="G466">
        <v>26.12</v>
      </c>
      <c r="H466">
        <v>86.37</v>
      </c>
      <c r="I466">
        <v>21.52</v>
      </c>
      <c r="J466">
        <v>71.17</v>
      </c>
      <c r="K466">
        <v>150</v>
      </c>
      <c r="T466">
        <v>3</v>
      </c>
      <c r="U466">
        <v>1</v>
      </c>
      <c r="V466" t="s">
        <v>93</v>
      </c>
      <c r="W466">
        <v>86</v>
      </c>
      <c r="X466">
        <v>15</v>
      </c>
      <c r="Y466">
        <v>15</v>
      </c>
      <c r="Z466" t="s">
        <v>787</v>
      </c>
      <c r="AA466" t="s">
        <v>788</v>
      </c>
      <c r="AB466" t="s">
        <v>96</v>
      </c>
      <c r="AC466" t="s">
        <v>97</v>
      </c>
      <c r="AD466" t="s">
        <v>725</v>
      </c>
      <c r="AG466" t="s">
        <v>789</v>
      </c>
      <c r="AH466">
        <v>0</v>
      </c>
      <c r="AI466">
        <v>219</v>
      </c>
      <c r="AJ466">
        <v>18</v>
      </c>
      <c r="AK466">
        <v>377</v>
      </c>
      <c r="AL466">
        <v>0.66</v>
      </c>
    </row>
    <row r="467" spans="1:38" x14ac:dyDescent="0.3">
      <c r="A467" t="s">
        <v>721</v>
      </c>
      <c r="B467">
        <v>2438</v>
      </c>
      <c r="C467">
        <v>2</v>
      </c>
      <c r="D467" t="s">
        <v>786</v>
      </c>
      <c r="E467" t="s">
        <v>111</v>
      </c>
      <c r="F467">
        <v>570</v>
      </c>
      <c r="G467">
        <v>31.17</v>
      </c>
      <c r="H467">
        <v>103.07</v>
      </c>
      <c r="I467">
        <v>25.69</v>
      </c>
      <c r="J467">
        <v>84.94</v>
      </c>
      <c r="K467">
        <v>420</v>
      </c>
      <c r="T467">
        <v>3</v>
      </c>
      <c r="U467">
        <v>2</v>
      </c>
      <c r="V467" t="s">
        <v>93</v>
      </c>
      <c r="W467">
        <v>103</v>
      </c>
      <c r="X467">
        <v>15</v>
      </c>
      <c r="Y467">
        <v>15</v>
      </c>
      <c r="Z467" t="s">
        <v>787</v>
      </c>
      <c r="AA467" t="s">
        <v>788</v>
      </c>
      <c r="AB467" t="s">
        <v>96</v>
      </c>
      <c r="AC467" t="s">
        <v>97</v>
      </c>
      <c r="AD467" t="s">
        <v>725</v>
      </c>
      <c r="AG467" t="s">
        <v>789</v>
      </c>
      <c r="AH467">
        <v>0</v>
      </c>
      <c r="AI467">
        <v>219</v>
      </c>
      <c r="AJ467">
        <v>18</v>
      </c>
      <c r="AK467">
        <v>377</v>
      </c>
      <c r="AL467">
        <v>0.66</v>
      </c>
    </row>
    <row r="468" spans="1:38" x14ac:dyDescent="0.3">
      <c r="A468" t="s">
        <v>721</v>
      </c>
      <c r="B468">
        <v>8542</v>
      </c>
      <c r="C468">
        <v>1</v>
      </c>
      <c r="D468" t="s">
        <v>790</v>
      </c>
      <c r="E468" t="s">
        <v>791</v>
      </c>
      <c r="F468">
        <v>390</v>
      </c>
      <c r="G468">
        <v>22.63</v>
      </c>
      <c r="H468">
        <v>74.819999999999993</v>
      </c>
      <c r="I468">
        <v>17.96</v>
      </c>
      <c r="J468">
        <v>59.4</v>
      </c>
      <c r="K468">
        <v>153</v>
      </c>
      <c r="T468">
        <v>3</v>
      </c>
      <c r="U468">
        <v>1</v>
      </c>
      <c r="V468" t="s">
        <v>138</v>
      </c>
      <c r="W468">
        <v>74</v>
      </c>
      <c r="X468">
        <v>17</v>
      </c>
      <c r="Y468">
        <v>14</v>
      </c>
      <c r="Z468" t="s">
        <v>792</v>
      </c>
      <c r="AA468" t="s">
        <v>793</v>
      </c>
      <c r="AB468" t="s">
        <v>96</v>
      </c>
      <c r="AC468" t="s">
        <v>97</v>
      </c>
      <c r="AD468" t="s">
        <v>725</v>
      </c>
      <c r="AG468" t="s">
        <v>794</v>
      </c>
      <c r="AH468">
        <v>0</v>
      </c>
      <c r="AI468">
        <v>266</v>
      </c>
      <c r="AJ468">
        <v>20</v>
      </c>
      <c r="AK468">
        <v>246</v>
      </c>
      <c r="AL468">
        <v>0.63</v>
      </c>
    </row>
    <row r="469" spans="1:38" x14ac:dyDescent="0.3">
      <c r="A469" t="s">
        <v>721</v>
      </c>
      <c r="B469">
        <v>8542</v>
      </c>
      <c r="C469">
        <v>2</v>
      </c>
      <c r="D469" t="s">
        <v>790</v>
      </c>
      <c r="E469" t="s">
        <v>791</v>
      </c>
      <c r="F469">
        <v>390</v>
      </c>
      <c r="G469">
        <v>29.01</v>
      </c>
      <c r="H469">
        <v>95.91</v>
      </c>
      <c r="I469">
        <v>23.03</v>
      </c>
      <c r="J469">
        <v>76.14</v>
      </c>
      <c r="K469">
        <v>54</v>
      </c>
      <c r="T469">
        <v>3</v>
      </c>
      <c r="U469">
        <v>1</v>
      </c>
      <c r="V469" t="s">
        <v>93</v>
      </c>
      <c r="W469" t="s">
        <v>567</v>
      </c>
      <c r="X469">
        <v>17</v>
      </c>
      <c r="Y469">
        <v>14</v>
      </c>
      <c r="Z469" t="s">
        <v>792</v>
      </c>
      <c r="AA469" t="s">
        <v>793</v>
      </c>
      <c r="AB469" t="s">
        <v>96</v>
      </c>
      <c r="AC469" t="s">
        <v>97</v>
      </c>
      <c r="AD469" t="s">
        <v>725</v>
      </c>
      <c r="AG469" t="s">
        <v>794</v>
      </c>
      <c r="AH469">
        <v>0</v>
      </c>
      <c r="AI469">
        <v>266</v>
      </c>
      <c r="AJ469">
        <v>20</v>
      </c>
      <c r="AK469">
        <v>246</v>
      </c>
      <c r="AL469">
        <v>0.63</v>
      </c>
    </row>
    <row r="470" spans="1:38" x14ac:dyDescent="0.3">
      <c r="A470" t="s">
        <v>721</v>
      </c>
      <c r="B470">
        <v>8542</v>
      </c>
      <c r="C470">
        <v>3</v>
      </c>
      <c r="D470" t="s">
        <v>790</v>
      </c>
      <c r="E470" t="s">
        <v>791</v>
      </c>
      <c r="F470">
        <v>390</v>
      </c>
      <c r="G470">
        <v>29.47</v>
      </c>
      <c r="H470">
        <v>97.45</v>
      </c>
      <c r="I470">
        <v>23.4</v>
      </c>
      <c r="J470">
        <v>77.36</v>
      </c>
      <c r="K470">
        <v>17</v>
      </c>
      <c r="T470">
        <v>3</v>
      </c>
      <c r="U470">
        <v>2</v>
      </c>
      <c r="V470" t="s">
        <v>93</v>
      </c>
      <c r="W470" t="s">
        <v>795</v>
      </c>
      <c r="X470">
        <v>17</v>
      </c>
      <c r="Y470">
        <v>14</v>
      </c>
      <c r="Z470" t="s">
        <v>792</v>
      </c>
      <c r="AA470" t="s">
        <v>793</v>
      </c>
      <c r="AB470" t="s">
        <v>96</v>
      </c>
      <c r="AC470" t="s">
        <v>97</v>
      </c>
      <c r="AD470" t="s">
        <v>725</v>
      </c>
      <c r="AG470" t="s">
        <v>794</v>
      </c>
      <c r="AH470">
        <v>0</v>
      </c>
      <c r="AI470">
        <v>266</v>
      </c>
      <c r="AJ470">
        <v>20</v>
      </c>
      <c r="AK470">
        <v>246</v>
      </c>
      <c r="AL470">
        <v>0.63</v>
      </c>
    </row>
    <row r="471" spans="1:38" x14ac:dyDescent="0.3">
      <c r="A471" t="s">
        <v>721</v>
      </c>
      <c r="B471">
        <v>8542</v>
      </c>
      <c r="C471">
        <v>4</v>
      </c>
      <c r="D471" t="s">
        <v>790</v>
      </c>
      <c r="E471" t="s">
        <v>791</v>
      </c>
      <c r="F471">
        <v>390</v>
      </c>
      <c r="G471">
        <v>32.29</v>
      </c>
      <c r="H471">
        <v>106.77</v>
      </c>
      <c r="I471">
        <v>25.63</v>
      </c>
      <c r="J471">
        <v>84.76</v>
      </c>
      <c r="K471">
        <v>166</v>
      </c>
      <c r="T471">
        <v>3</v>
      </c>
      <c r="U471">
        <v>2</v>
      </c>
      <c r="V471" t="s">
        <v>93</v>
      </c>
      <c r="W471">
        <v>106</v>
      </c>
      <c r="X471">
        <v>17</v>
      </c>
      <c r="Y471">
        <v>14</v>
      </c>
      <c r="Z471" t="s">
        <v>792</v>
      </c>
      <c r="AA471" t="s">
        <v>793</v>
      </c>
      <c r="AB471" t="s">
        <v>96</v>
      </c>
      <c r="AC471" t="s">
        <v>97</v>
      </c>
      <c r="AD471" t="s">
        <v>725</v>
      </c>
      <c r="AG471" t="s">
        <v>794</v>
      </c>
      <c r="AH471">
        <v>0</v>
      </c>
      <c r="AI471">
        <v>266</v>
      </c>
      <c r="AJ471">
        <v>20</v>
      </c>
      <c r="AK471">
        <v>246</v>
      </c>
      <c r="AL471">
        <v>0.63</v>
      </c>
    </row>
    <row r="472" spans="1:38" x14ac:dyDescent="0.3">
      <c r="A472" t="s">
        <v>721</v>
      </c>
      <c r="B472">
        <v>9312</v>
      </c>
      <c r="C472">
        <v>1</v>
      </c>
      <c r="D472" t="s">
        <v>796</v>
      </c>
      <c r="E472" t="s">
        <v>797</v>
      </c>
      <c r="F472">
        <v>210</v>
      </c>
      <c r="G472">
        <v>19.53</v>
      </c>
      <c r="H472">
        <v>64.58</v>
      </c>
      <c r="I472">
        <v>14.81</v>
      </c>
      <c r="J472">
        <v>48.96</v>
      </c>
      <c r="K472">
        <v>60</v>
      </c>
      <c r="T472">
        <v>3</v>
      </c>
      <c r="U472">
        <v>1</v>
      </c>
      <c r="V472" t="s">
        <v>93</v>
      </c>
      <c r="W472">
        <v>64</v>
      </c>
      <c r="X472">
        <v>5</v>
      </c>
      <c r="Y472">
        <v>5</v>
      </c>
      <c r="Z472" t="s">
        <v>798</v>
      </c>
      <c r="AA472" t="s">
        <v>799</v>
      </c>
      <c r="AB472" t="s">
        <v>96</v>
      </c>
      <c r="AC472" t="s">
        <v>97</v>
      </c>
      <c r="AD472" t="s">
        <v>725</v>
      </c>
      <c r="AG472" t="s">
        <v>800</v>
      </c>
      <c r="AH472">
        <v>0</v>
      </c>
      <c r="AI472">
        <v>107</v>
      </c>
      <c r="AJ472">
        <v>22</v>
      </c>
      <c r="AK472">
        <v>210</v>
      </c>
      <c r="AL472">
        <v>1</v>
      </c>
    </row>
    <row r="473" spans="1:38" x14ac:dyDescent="0.3">
      <c r="A473" t="s">
        <v>721</v>
      </c>
      <c r="B473">
        <v>9312</v>
      </c>
      <c r="C473">
        <v>2</v>
      </c>
      <c r="D473" t="s">
        <v>796</v>
      </c>
      <c r="E473" t="s">
        <v>797</v>
      </c>
      <c r="F473">
        <v>210</v>
      </c>
      <c r="G473">
        <v>23</v>
      </c>
      <c r="H473">
        <v>76.06</v>
      </c>
      <c r="I473">
        <v>17.72</v>
      </c>
      <c r="J473">
        <v>58.59</v>
      </c>
      <c r="K473">
        <v>150</v>
      </c>
      <c r="T473">
        <v>3</v>
      </c>
      <c r="U473">
        <v>1</v>
      </c>
      <c r="V473" t="s">
        <v>93</v>
      </c>
      <c r="W473">
        <v>76</v>
      </c>
      <c r="X473">
        <v>5</v>
      </c>
      <c r="Y473">
        <v>5</v>
      </c>
      <c r="Z473" t="s">
        <v>798</v>
      </c>
      <c r="AA473" t="s">
        <v>799</v>
      </c>
      <c r="AB473" t="s">
        <v>96</v>
      </c>
      <c r="AC473" t="s">
        <v>97</v>
      </c>
      <c r="AD473" t="s">
        <v>725</v>
      </c>
      <c r="AG473" t="s">
        <v>800</v>
      </c>
      <c r="AH473">
        <v>0</v>
      </c>
      <c r="AI473">
        <v>107</v>
      </c>
      <c r="AJ473">
        <v>22</v>
      </c>
      <c r="AK473">
        <v>210</v>
      </c>
      <c r="AL473">
        <v>1</v>
      </c>
    </row>
    <row r="474" spans="1:38" x14ac:dyDescent="0.3">
      <c r="A474" t="s">
        <v>721</v>
      </c>
      <c r="B474">
        <v>2427</v>
      </c>
      <c r="C474">
        <v>1</v>
      </c>
      <c r="D474" t="s">
        <v>801</v>
      </c>
      <c r="E474" t="s">
        <v>390</v>
      </c>
      <c r="F474">
        <v>1276</v>
      </c>
      <c r="G474">
        <v>10.75</v>
      </c>
      <c r="H474">
        <v>35.57</v>
      </c>
      <c r="I474">
        <v>7.21</v>
      </c>
      <c r="J474">
        <v>23.85</v>
      </c>
      <c r="K474">
        <v>208</v>
      </c>
      <c r="T474">
        <v>1</v>
      </c>
      <c r="U474">
        <v>1</v>
      </c>
      <c r="V474" t="s">
        <v>138</v>
      </c>
      <c r="W474">
        <v>35</v>
      </c>
      <c r="X474">
        <v>21</v>
      </c>
      <c r="Y474">
        <v>16</v>
      </c>
      <c r="Z474" t="s">
        <v>802</v>
      </c>
      <c r="AA474" t="s">
        <v>803</v>
      </c>
      <c r="AB474" t="s">
        <v>96</v>
      </c>
      <c r="AC474" t="s">
        <v>97</v>
      </c>
      <c r="AD474" t="s">
        <v>725</v>
      </c>
      <c r="AG474" t="s">
        <v>804</v>
      </c>
      <c r="AH474">
        <v>0</v>
      </c>
      <c r="AI474">
        <v>249</v>
      </c>
      <c r="AJ474">
        <v>21</v>
      </c>
      <c r="AK474">
        <v>1340</v>
      </c>
      <c r="AL474">
        <v>1.05</v>
      </c>
    </row>
    <row r="475" spans="1:38" x14ac:dyDescent="0.3">
      <c r="A475" t="s">
        <v>721</v>
      </c>
      <c r="B475">
        <v>2427</v>
      </c>
      <c r="C475">
        <v>2</v>
      </c>
      <c r="D475" t="s">
        <v>801</v>
      </c>
      <c r="E475" t="s">
        <v>390</v>
      </c>
      <c r="F475">
        <v>1276</v>
      </c>
      <c r="G475">
        <v>24.1</v>
      </c>
      <c r="H475">
        <v>79.680000000000007</v>
      </c>
      <c r="I475">
        <v>18.11</v>
      </c>
      <c r="J475">
        <v>59.88</v>
      </c>
      <c r="K475">
        <v>1068</v>
      </c>
      <c r="T475">
        <v>3</v>
      </c>
      <c r="U475">
        <v>1</v>
      </c>
      <c r="V475" t="s">
        <v>93</v>
      </c>
      <c r="W475">
        <v>79</v>
      </c>
      <c r="X475">
        <v>21</v>
      </c>
      <c r="Y475">
        <v>16</v>
      </c>
      <c r="Z475" t="s">
        <v>802</v>
      </c>
      <c r="AA475" t="s">
        <v>803</v>
      </c>
      <c r="AB475" t="s">
        <v>96</v>
      </c>
      <c r="AC475" t="s">
        <v>97</v>
      </c>
      <c r="AD475" t="s">
        <v>725</v>
      </c>
      <c r="AG475" t="s">
        <v>804</v>
      </c>
      <c r="AH475">
        <v>0</v>
      </c>
      <c r="AI475">
        <v>249</v>
      </c>
      <c r="AJ475">
        <v>21</v>
      </c>
      <c r="AK475">
        <v>1340</v>
      </c>
      <c r="AL475">
        <v>1.05</v>
      </c>
    </row>
    <row r="476" spans="1:38" x14ac:dyDescent="0.3">
      <c r="A476" t="s">
        <v>721</v>
      </c>
      <c r="B476">
        <v>11045</v>
      </c>
      <c r="C476">
        <v>1</v>
      </c>
      <c r="D476" t="s">
        <v>805</v>
      </c>
      <c r="E476" t="s">
        <v>806</v>
      </c>
      <c r="F476">
        <v>48</v>
      </c>
      <c r="G476">
        <v>20.99</v>
      </c>
      <c r="H476">
        <v>69.42</v>
      </c>
      <c r="I476">
        <v>18.510000000000002</v>
      </c>
      <c r="J476">
        <v>61.22</v>
      </c>
      <c r="K476">
        <v>18</v>
      </c>
      <c r="T476">
        <v>3</v>
      </c>
      <c r="U476">
        <v>1</v>
      </c>
      <c r="V476" t="s">
        <v>93</v>
      </c>
      <c r="W476">
        <v>69</v>
      </c>
      <c r="X476">
        <v>5</v>
      </c>
      <c r="Y476">
        <v>4</v>
      </c>
      <c r="Z476" t="s">
        <v>807</v>
      </c>
      <c r="AA476" t="s">
        <v>808</v>
      </c>
      <c r="AB476" t="s">
        <v>96</v>
      </c>
      <c r="AC476" t="s">
        <v>97</v>
      </c>
      <c r="AD476" t="s">
        <v>725</v>
      </c>
      <c r="AG476" t="s">
        <v>809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721</v>
      </c>
      <c r="B477">
        <v>11045</v>
      </c>
      <c r="C477">
        <v>2</v>
      </c>
      <c r="D477" t="s">
        <v>805</v>
      </c>
      <c r="E477" t="s">
        <v>806</v>
      </c>
      <c r="F477">
        <v>48</v>
      </c>
      <c r="G477">
        <v>21.52</v>
      </c>
      <c r="H477">
        <v>71.17</v>
      </c>
      <c r="I477">
        <v>19.16</v>
      </c>
      <c r="J477">
        <v>63.37</v>
      </c>
      <c r="K477">
        <v>20</v>
      </c>
      <c r="T477">
        <v>3</v>
      </c>
      <c r="U477">
        <v>1</v>
      </c>
      <c r="V477" t="s">
        <v>93</v>
      </c>
      <c r="W477">
        <v>71</v>
      </c>
      <c r="X477">
        <v>5</v>
      </c>
      <c r="Y477">
        <v>4</v>
      </c>
      <c r="Z477" t="s">
        <v>807</v>
      </c>
      <c r="AA477" t="s">
        <v>808</v>
      </c>
      <c r="AB477" t="s">
        <v>96</v>
      </c>
      <c r="AC477" t="s">
        <v>97</v>
      </c>
      <c r="AD477" t="s">
        <v>725</v>
      </c>
      <c r="AG477" t="s">
        <v>809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721</v>
      </c>
      <c r="B478">
        <v>11045</v>
      </c>
      <c r="C478">
        <v>3</v>
      </c>
      <c r="D478" t="s">
        <v>805</v>
      </c>
      <c r="E478" t="s">
        <v>806</v>
      </c>
      <c r="F478">
        <v>48</v>
      </c>
      <c r="G478">
        <v>24.18</v>
      </c>
      <c r="H478">
        <v>79.959999999999994</v>
      </c>
      <c r="I478">
        <v>21.68</v>
      </c>
      <c r="J478">
        <v>71.7</v>
      </c>
      <c r="K478">
        <v>5</v>
      </c>
      <c r="T478">
        <v>3</v>
      </c>
      <c r="U478">
        <v>1</v>
      </c>
      <c r="V478" t="s">
        <v>93</v>
      </c>
      <c r="W478">
        <v>79</v>
      </c>
      <c r="X478">
        <v>5</v>
      </c>
      <c r="Y478">
        <v>4</v>
      </c>
      <c r="Z478" t="s">
        <v>807</v>
      </c>
      <c r="AA478" t="s">
        <v>808</v>
      </c>
      <c r="AB478" t="s">
        <v>96</v>
      </c>
      <c r="AC478" t="s">
        <v>97</v>
      </c>
      <c r="AD478" t="s">
        <v>725</v>
      </c>
      <c r="AG478" t="s">
        <v>809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721</v>
      </c>
      <c r="B479">
        <v>11045</v>
      </c>
      <c r="C479">
        <v>4</v>
      </c>
      <c r="D479" t="s">
        <v>805</v>
      </c>
      <c r="E479" t="s">
        <v>806</v>
      </c>
      <c r="F479">
        <v>48</v>
      </c>
      <c r="G479">
        <v>24.51</v>
      </c>
      <c r="H479">
        <v>81.05</v>
      </c>
      <c r="I479">
        <v>22.11</v>
      </c>
      <c r="J479">
        <v>73.12</v>
      </c>
      <c r="K479">
        <v>5</v>
      </c>
      <c r="T479">
        <v>3</v>
      </c>
      <c r="U479">
        <v>1</v>
      </c>
      <c r="V479" t="s">
        <v>93</v>
      </c>
      <c r="W479">
        <v>81</v>
      </c>
      <c r="X479">
        <v>5</v>
      </c>
      <c r="Y479">
        <v>4</v>
      </c>
      <c r="Z479" t="s">
        <v>807</v>
      </c>
      <c r="AA479" t="s">
        <v>808</v>
      </c>
      <c r="AB479" t="s">
        <v>96</v>
      </c>
      <c r="AC479" t="s">
        <v>97</v>
      </c>
      <c r="AD479" t="s">
        <v>725</v>
      </c>
      <c r="AG479" t="s">
        <v>809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721</v>
      </c>
      <c r="B480">
        <v>10746</v>
      </c>
      <c r="C480">
        <v>1</v>
      </c>
      <c r="D480" t="s">
        <v>810</v>
      </c>
      <c r="E480" t="s">
        <v>757</v>
      </c>
      <c r="F480">
        <v>105</v>
      </c>
      <c r="G480">
        <v>24</v>
      </c>
      <c r="H480">
        <v>79.34</v>
      </c>
      <c r="I480">
        <v>18.559999999999999</v>
      </c>
      <c r="J480">
        <v>61.38</v>
      </c>
      <c r="K480">
        <v>60</v>
      </c>
      <c r="T480">
        <v>2</v>
      </c>
      <c r="U480">
        <v>1</v>
      </c>
      <c r="V480" t="s">
        <v>93</v>
      </c>
      <c r="W480">
        <v>79</v>
      </c>
      <c r="X480">
        <v>5</v>
      </c>
      <c r="Y480">
        <v>5</v>
      </c>
      <c r="Z480" t="s">
        <v>811</v>
      </c>
      <c r="AA480" t="s">
        <v>812</v>
      </c>
      <c r="AB480" t="s">
        <v>96</v>
      </c>
      <c r="AC480" t="s">
        <v>97</v>
      </c>
      <c r="AD480" t="s">
        <v>725</v>
      </c>
      <c r="AG480" t="s">
        <v>813</v>
      </c>
      <c r="AH480">
        <v>0</v>
      </c>
      <c r="AI480">
        <v>147</v>
      </c>
      <c r="AJ480">
        <v>29</v>
      </c>
      <c r="AK480">
        <v>0</v>
      </c>
      <c r="AL480">
        <v>0</v>
      </c>
    </row>
    <row r="481" spans="1:38" x14ac:dyDescent="0.3">
      <c r="A481" t="s">
        <v>721</v>
      </c>
      <c r="B481">
        <v>10746</v>
      </c>
      <c r="C481">
        <v>2</v>
      </c>
      <c r="D481" t="s">
        <v>810</v>
      </c>
      <c r="E481" t="s">
        <v>757</v>
      </c>
      <c r="F481">
        <v>105</v>
      </c>
      <c r="G481">
        <v>25.99</v>
      </c>
      <c r="H481">
        <v>85.95</v>
      </c>
      <c r="I481">
        <v>20.74</v>
      </c>
      <c r="J481">
        <v>68.58</v>
      </c>
      <c r="K481">
        <v>30</v>
      </c>
      <c r="T481">
        <v>3</v>
      </c>
      <c r="U481">
        <v>1</v>
      </c>
      <c r="V481" t="s">
        <v>93</v>
      </c>
      <c r="W481">
        <v>85</v>
      </c>
      <c r="X481">
        <v>5</v>
      </c>
      <c r="Y481">
        <v>5</v>
      </c>
      <c r="Z481" t="s">
        <v>811</v>
      </c>
      <c r="AA481" t="s">
        <v>812</v>
      </c>
      <c r="AB481" t="s">
        <v>96</v>
      </c>
      <c r="AC481" t="s">
        <v>97</v>
      </c>
      <c r="AD481" t="s">
        <v>725</v>
      </c>
      <c r="AG481" t="s">
        <v>813</v>
      </c>
      <c r="AH481">
        <v>0</v>
      </c>
      <c r="AI481">
        <v>147</v>
      </c>
      <c r="AJ481">
        <v>29</v>
      </c>
      <c r="AK481">
        <v>0</v>
      </c>
      <c r="AL481">
        <v>0</v>
      </c>
    </row>
    <row r="482" spans="1:38" x14ac:dyDescent="0.3">
      <c r="A482" t="s">
        <v>721</v>
      </c>
      <c r="B482">
        <v>10746</v>
      </c>
      <c r="C482">
        <v>3</v>
      </c>
      <c r="D482" t="s">
        <v>810</v>
      </c>
      <c r="E482" t="s">
        <v>757</v>
      </c>
      <c r="F482">
        <v>105</v>
      </c>
      <c r="G482">
        <v>26.99</v>
      </c>
      <c r="H482">
        <v>89.25</v>
      </c>
      <c r="I482">
        <v>21.61</v>
      </c>
      <c r="J482">
        <v>71.459999999999994</v>
      </c>
      <c r="K482">
        <v>10</v>
      </c>
      <c r="T482">
        <v>3</v>
      </c>
      <c r="U482">
        <v>1</v>
      </c>
      <c r="V482" t="s">
        <v>93</v>
      </c>
      <c r="W482">
        <v>89</v>
      </c>
      <c r="X482">
        <v>5</v>
      </c>
      <c r="Y482">
        <v>5</v>
      </c>
      <c r="Z482" t="s">
        <v>811</v>
      </c>
      <c r="AA482" t="s">
        <v>812</v>
      </c>
      <c r="AB482" t="s">
        <v>96</v>
      </c>
      <c r="AC482" t="s">
        <v>97</v>
      </c>
      <c r="AD482" t="s">
        <v>725</v>
      </c>
      <c r="AG482" t="s">
        <v>813</v>
      </c>
      <c r="AH482">
        <v>0</v>
      </c>
      <c r="AI482">
        <v>147</v>
      </c>
      <c r="AJ482">
        <v>29</v>
      </c>
      <c r="AK482">
        <v>0</v>
      </c>
      <c r="AL482">
        <v>0</v>
      </c>
    </row>
    <row r="483" spans="1:38" x14ac:dyDescent="0.3">
      <c r="A483" t="s">
        <v>721</v>
      </c>
      <c r="B483">
        <v>10746</v>
      </c>
      <c r="C483">
        <v>4</v>
      </c>
      <c r="D483" t="s">
        <v>810</v>
      </c>
      <c r="E483" t="s">
        <v>757</v>
      </c>
      <c r="F483">
        <v>105</v>
      </c>
      <c r="G483">
        <v>29</v>
      </c>
      <c r="H483">
        <v>95.87</v>
      </c>
      <c r="I483">
        <v>24.33</v>
      </c>
      <c r="J483">
        <v>80.459999999999994</v>
      </c>
      <c r="K483">
        <v>5</v>
      </c>
      <c r="T483">
        <v>3</v>
      </c>
      <c r="U483">
        <v>1</v>
      </c>
      <c r="V483" t="s">
        <v>93</v>
      </c>
      <c r="W483">
        <v>95</v>
      </c>
      <c r="X483">
        <v>5</v>
      </c>
      <c r="Y483">
        <v>5</v>
      </c>
      <c r="Z483" t="s">
        <v>811</v>
      </c>
      <c r="AA483" t="s">
        <v>812</v>
      </c>
      <c r="AB483" t="s">
        <v>96</v>
      </c>
      <c r="AC483" t="s">
        <v>97</v>
      </c>
      <c r="AD483" t="s">
        <v>725</v>
      </c>
      <c r="AG483" t="s">
        <v>813</v>
      </c>
      <c r="AH483">
        <v>0</v>
      </c>
      <c r="AI483">
        <v>147</v>
      </c>
      <c r="AJ483">
        <v>29</v>
      </c>
      <c r="AK483">
        <v>0</v>
      </c>
      <c r="AL483">
        <v>0</v>
      </c>
    </row>
    <row r="484" spans="1:38" x14ac:dyDescent="0.3">
      <c r="A484" t="s">
        <v>721</v>
      </c>
      <c r="B484">
        <v>8540</v>
      </c>
      <c r="C484">
        <v>1</v>
      </c>
      <c r="D484" t="s">
        <v>91</v>
      </c>
      <c r="E484" t="s">
        <v>814</v>
      </c>
      <c r="F484">
        <v>80</v>
      </c>
      <c r="G484">
        <v>19.02</v>
      </c>
      <c r="H484">
        <v>62.88</v>
      </c>
      <c r="I484">
        <v>14.55</v>
      </c>
      <c r="J484">
        <v>48.12</v>
      </c>
      <c r="K484">
        <v>80</v>
      </c>
      <c r="T484">
        <v>3</v>
      </c>
      <c r="U484">
        <v>1</v>
      </c>
      <c r="V484" t="s">
        <v>93</v>
      </c>
      <c r="W484">
        <v>62</v>
      </c>
      <c r="X484">
        <v>5</v>
      </c>
      <c r="Y484">
        <v>5</v>
      </c>
      <c r="Z484" t="s">
        <v>815</v>
      </c>
      <c r="AA484" t="s">
        <v>816</v>
      </c>
      <c r="AB484" t="s">
        <v>96</v>
      </c>
      <c r="AC484" t="s">
        <v>97</v>
      </c>
      <c r="AD484" t="s">
        <v>725</v>
      </c>
      <c r="AG484" t="s">
        <v>817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721</v>
      </c>
      <c r="B485">
        <v>10235</v>
      </c>
      <c r="C485">
        <v>1</v>
      </c>
      <c r="D485" t="s">
        <v>818</v>
      </c>
      <c r="E485" t="s">
        <v>130</v>
      </c>
      <c r="F485">
        <v>48</v>
      </c>
      <c r="G485">
        <v>19.43</v>
      </c>
      <c r="H485">
        <v>64.239999999999995</v>
      </c>
      <c r="I485">
        <v>14.92</v>
      </c>
      <c r="J485">
        <v>49.33</v>
      </c>
      <c r="K485">
        <v>36</v>
      </c>
      <c r="T485">
        <v>2</v>
      </c>
      <c r="U485">
        <v>1</v>
      </c>
      <c r="V485" t="s">
        <v>93</v>
      </c>
      <c r="W485">
        <v>64</v>
      </c>
      <c r="X485">
        <v>6</v>
      </c>
      <c r="Y485">
        <v>6</v>
      </c>
      <c r="Z485" t="s">
        <v>819</v>
      </c>
      <c r="AA485" t="s">
        <v>820</v>
      </c>
      <c r="AB485" t="s">
        <v>96</v>
      </c>
      <c r="AC485" t="s">
        <v>97</v>
      </c>
      <c r="AD485" t="s">
        <v>725</v>
      </c>
      <c r="AG485" t="s">
        <v>821</v>
      </c>
      <c r="AH485">
        <v>0</v>
      </c>
      <c r="AI485">
        <v>0</v>
      </c>
      <c r="AJ485">
        <v>0</v>
      </c>
      <c r="AK485">
        <v>0</v>
      </c>
      <c r="AL485">
        <v>0</v>
      </c>
    </row>
    <row r="486" spans="1:38" x14ac:dyDescent="0.3">
      <c r="A486" t="s">
        <v>721</v>
      </c>
      <c r="B486">
        <v>10235</v>
      </c>
      <c r="C486">
        <v>2</v>
      </c>
      <c r="D486" t="s">
        <v>818</v>
      </c>
      <c r="E486" t="s">
        <v>130</v>
      </c>
      <c r="F486">
        <v>48</v>
      </c>
      <c r="G486">
        <v>20.47</v>
      </c>
      <c r="H486">
        <v>67.69</v>
      </c>
      <c r="I486">
        <v>15.85</v>
      </c>
      <c r="J486">
        <v>52.42</v>
      </c>
      <c r="K486">
        <v>12</v>
      </c>
      <c r="T486">
        <v>2</v>
      </c>
      <c r="U486">
        <v>1</v>
      </c>
      <c r="V486" t="s">
        <v>93</v>
      </c>
      <c r="W486">
        <v>67</v>
      </c>
      <c r="X486">
        <v>6</v>
      </c>
      <c r="Y486">
        <v>6</v>
      </c>
      <c r="Z486" t="s">
        <v>819</v>
      </c>
      <c r="AA486" t="s">
        <v>820</v>
      </c>
      <c r="AB486" t="s">
        <v>96</v>
      </c>
      <c r="AC486" t="s">
        <v>97</v>
      </c>
      <c r="AD486" t="s">
        <v>725</v>
      </c>
      <c r="AG486" t="s">
        <v>821</v>
      </c>
      <c r="AH486">
        <v>0</v>
      </c>
      <c r="AI486">
        <v>0</v>
      </c>
      <c r="AJ486">
        <v>0</v>
      </c>
      <c r="AK486">
        <v>0</v>
      </c>
      <c r="AL486">
        <v>0</v>
      </c>
    </row>
    <row r="487" spans="1:38" x14ac:dyDescent="0.3">
      <c r="A487" t="s">
        <v>721</v>
      </c>
      <c r="B487">
        <v>2431</v>
      </c>
      <c r="C487">
        <v>1</v>
      </c>
      <c r="D487" t="s">
        <v>694</v>
      </c>
      <c r="E487" t="s">
        <v>822</v>
      </c>
      <c r="F487">
        <v>299</v>
      </c>
      <c r="G487">
        <v>24.23</v>
      </c>
      <c r="H487">
        <v>80.12</v>
      </c>
      <c r="I487">
        <v>18.03</v>
      </c>
      <c r="J487">
        <v>59.61</v>
      </c>
      <c r="K487">
        <v>125</v>
      </c>
      <c r="T487">
        <v>3</v>
      </c>
      <c r="U487">
        <v>1</v>
      </c>
      <c r="V487" t="s">
        <v>138</v>
      </c>
      <c r="W487">
        <v>80</v>
      </c>
      <c r="X487">
        <v>18</v>
      </c>
      <c r="Y487">
        <v>8</v>
      </c>
      <c r="Z487" t="s">
        <v>823</v>
      </c>
      <c r="AA487" t="s">
        <v>824</v>
      </c>
      <c r="AB487" t="s">
        <v>96</v>
      </c>
      <c r="AC487" t="s">
        <v>97</v>
      </c>
      <c r="AD487" t="s">
        <v>725</v>
      </c>
      <c r="AG487" t="s">
        <v>825</v>
      </c>
      <c r="AH487">
        <v>0</v>
      </c>
      <c r="AI487">
        <v>297</v>
      </c>
      <c r="AJ487">
        <v>24</v>
      </c>
      <c r="AK487">
        <v>219</v>
      </c>
      <c r="AL487">
        <v>0.73</v>
      </c>
    </row>
    <row r="488" spans="1:38" x14ac:dyDescent="0.3">
      <c r="A488" t="s">
        <v>721</v>
      </c>
      <c r="B488">
        <v>2431</v>
      </c>
      <c r="C488">
        <v>2</v>
      </c>
      <c r="D488" t="s">
        <v>694</v>
      </c>
      <c r="E488" t="s">
        <v>822</v>
      </c>
      <c r="F488">
        <v>299</v>
      </c>
      <c r="G488">
        <v>31.93</v>
      </c>
      <c r="H488">
        <v>105.58</v>
      </c>
      <c r="I488">
        <v>25.69</v>
      </c>
      <c r="J488">
        <v>84.94</v>
      </c>
      <c r="K488">
        <v>174</v>
      </c>
      <c r="T488">
        <v>3</v>
      </c>
      <c r="U488">
        <v>2</v>
      </c>
      <c r="V488" t="s">
        <v>93</v>
      </c>
      <c r="W488">
        <v>105</v>
      </c>
      <c r="X488">
        <v>18</v>
      </c>
      <c r="Y488">
        <v>8</v>
      </c>
      <c r="Z488" t="s">
        <v>823</v>
      </c>
      <c r="AA488" t="s">
        <v>824</v>
      </c>
      <c r="AB488" t="s">
        <v>96</v>
      </c>
      <c r="AC488" t="s">
        <v>97</v>
      </c>
      <c r="AD488" t="s">
        <v>725</v>
      </c>
      <c r="AG488" t="s">
        <v>825</v>
      </c>
      <c r="AH488">
        <v>0</v>
      </c>
      <c r="AI488">
        <v>297</v>
      </c>
      <c r="AJ488">
        <v>24</v>
      </c>
      <c r="AK488">
        <v>219</v>
      </c>
      <c r="AL488">
        <v>0.73</v>
      </c>
    </row>
    <row r="489" spans="1:38" x14ac:dyDescent="0.3">
      <c r="A489" t="s">
        <v>721</v>
      </c>
      <c r="B489">
        <v>2254</v>
      </c>
      <c r="C489">
        <v>1</v>
      </c>
      <c r="D489" t="s">
        <v>826</v>
      </c>
      <c r="E489" t="s">
        <v>827</v>
      </c>
      <c r="F489">
        <v>1299</v>
      </c>
      <c r="G489">
        <v>17.02</v>
      </c>
      <c r="H489">
        <v>56.28</v>
      </c>
      <c r="I489">
        <v>12.11</v>
      </c>
      <c r="J489">
        <v>40.049999999999997</v>
      </c>
      <c r="K489">
        <v>597</v>
      </c>
      <c r="T489">
        <v>2</v>
      </c>
      <c r="U489">
        <v>1</v>
      </c>
      <c r="V489" t="s">
        <v>138</v>
      </c>
      <c r="W489">
        <v>56</v>
      </c>
      <c r="X489">
        <v>22</v>
      </c>
      <c r="Y489">
        <v>19</v>
      </c>
      <c r="Z489" t="s">
        <v>828</v>
      </c>
      <c r="AA489" t="s">
        <v>829</v>
      </c>
      <c r="AB489" t="s">
        <v>96</v>
      </c>
      <c r="AC489" t="s">
        <v>97</v>
      </c>
      <c r="AD489" t="s">
        <v>725</v>
      </c>
      <c r="AG489" t="s">
        <v>830</v>
      </c>
      <c r="AH489">
        <v>0</v>
      </c>
      <c r="AI489">
        <v>249</v>
      </c>
      <c r="AJ489">
        <v>18</v>
      </c>
      <c r="AK489">
        <v>1331</v>
      </c>
      <c r="AL489">
        <v>1.02</v>
      </c>
    </row>
    <row r="490" spans="1:38" x14ac:dyDescent="0.3">
      <c r="A490" t="s">
        <v>721</v>
      </c>
      <c r="B490">
        <v>2254</v>
      </c>
      <c r="C490">
        <v>2</v>
      </c>
      <c r="D490" t="s">
        <v>826</v>
      </c>
      <c r="E490" t="s">
        <v>827</v>
      </c>
      <c r="F490">
        <v>1299</v>
      </c>
      <c r="G490">
        <v>24.47</v>
      </c>
      <c r="H490">
        <v>80.91</v>
      </c>
      <c r="I490">
        <v>18.100000000000001</v>
      </c>
      <c r="J490">
        <v>59.84</v>
      </c>
      <c r="K490">
        <v>702</v>
      </c>
      <c r="T490">
        <v>3</v>
      </c>
      <c r="U490">
        <v>1</v>
      </c>
      <c r="V490" t="s">
        <v>93</v>
      </c>
      <c r="W490">
        <v>80</v>
      </c>
      <c r="X490">
        <v>22</v>
      </c>
      <c r="Y490">
        <v>19</v>
      </c>
      <c r="Z490" t="s">
        <v>828</v>
      </c>
      <c r="AA490" t="s">
        <v>829</v>
      </c>
      <c r="AB490" t="s">
        <v>96</v>
      </c>
      <c r="AC490" t="s">
        <v>97</v>
      </c>
      <c r="AD490" t="s">
        <v>725</v>
      </c>
      <c r="AG490" t="s">
        <v>830</v>
      </c>
      <c r="AH490">
        <v>0</v>
      </c>
      <c r="AI490">
        <v>249</v>
      </c>
      <c r="AJ490">
        <v>18</v>
      </c>
      <c r="AK490">
        <v>1331</v>
      </c>
      <c r="AL490">
        <v>1.02</v>
      </c>
    </row>
    <row r="491" spans="1:38" x14ac:dyDescent="0.3">
      <c r="A491" t="s">
        <v>721</v>
      </c>
      <c r="B491">
        <v>8237</v>
      </c>
      <c r="C491">
        <v>1</v>
      </c>
      <c r="D491" t="s">
        <v>831</v>
      </c>
      <c r="E491" t="s">
        <v>832</v>
      </c>
      <c r="F491">
        <v>502</v>
      </c>
      <c r="G491">
        <v>33.97</v>
      </c>
      <c r="H491">
        <v>112.3</v>
      </c>
      <c r="I491">
        <v>25.69</v>
      </c>
      <c r="J491">
        <v>84.94</v>
      </c>
      <c r="K491">
        <v>468</v>
      </c>
      <c r="T491">
        <v>3</v>
      </c>
      <c r="U491">
        <v>2</v>
      </c>
      <c r="V491" t="s">
        <v>93</v>
      </c>
      <c r="W491">
        <v>112</v>
      </c>
      <c r="X491">
        <v>18</v>
      </c>
      <c r="Y491">
        <v>17</v>
      </c>
      <c r="Z491" t="s">
        <v>833</v>
      </c>
      <c r="AA491" t="s">
        <v>834</v>
      </c>
      <c r="AB491" t="s">
        <v>96</v>
      </c>
      <c r="AC491" t="s">
        <v>97</v>
      </c>
      <c r="AD491" t="s">
        <v>725</v>
      </c>
      <c r="AG491" t="s">
        <v>835</v>
      </c>
      <c r="AH491">
        <v>0</v>
      </c>
      <c r="AI491">
        <v>243</v>
      </c>
      <c r="AJ491">
        <v>18</v>
      </c>
      <c r="AK491">
        <v>618</v>
      </c>
      <c r="AL491">
        <v>1.23</v>
      </c>
    </row>
    <row r="492" spans="1:38" x14ac:dyDescent="0.3">
      <c r="A492" t="s">
        <v>721</v>
      </c>
      <c r="B492">
        <v>8237</v>
      </c>
      <c r="C492">
        <v>2</v>
      </c>
      <c r="D492" t="s">
        <v>831</v>
      </c>
      <c r="E492" t="s">
        <v>832</v>
      </c>
      <c r="F492">
        <v>502</v>
      </c>
      <c r="G492">
        <v>83.39</v>
      </c>
      <c r="H492">
        <v>275.69</v>
      </c>
      <c r="I492">
        <v>70.790000000000006</v>
      </c>
      <c r="J492">
        <v>234.03</v>
      </c>
      <c r="K492">
        <v>34</v>
      </c>
      <c r="T492">
        <v>5</v>
      </c>
      <c r="U492">
        <v>2</v>
      </c>
      <c r="V492" t="s">
        <v>93</v>
      </c>
      <c r="W492">
        <v>275</v>
      </c>
      <c r="X492">
        <v>18</v>
      </c>
      <c r="Y492">
        <v>17</v>
      </c>
      <c r="Z492" t="s">
        <v>833</v>
      </c>
      <c r="AA492" t="s">
        <v>834</v>
      </c>
      <c r="AB492" t="s">
        <v>96</v>
      </c>
      <c r="AC492" t="s">
        <v>97</v>
      </c>
      <c r="AD492" t="s">
        <v>725</v>
      </c>
      <c r="AG492" t="s">
        <v>835</v>
      </c>
      <c r="AH492">
        <v>0</v>
      </c>
      <c r="AI492">
        <v>243</v>
      </c>
      <c r="AJ492">
        <v>18</v>
      </c>
      <c r="AK492">
        <v>618</v>
      </c>
      <c r="AL492">
        <v>1.23</v>
      </c>
    </row>
    <row r="493" spans="1:38" x14ac:dyDescent="0.3">
      <c r="A493" t="s">
        <v>721</v>
      </c>
      <c r="B493">
        <v>8236</v>
      </c>
      <c r="C493">
        <v>1</v>
      </c>
      <c r="D493" t="s">
        <v>836</v>
      </c>
      <c r="E493" t="s">
        <v>837</v>
      </c>
      <c r="F493">
        <v>1187</v>
      </c>
      <c r="G493">
        <v>24.87</v>
      </c>
      <c r="H493">
        <v>82.24</v>
      </c>
      <c r="I493">
        <v>18.149999999999999</v>
      </c>
      <c r="J493">
        <v>60</v>
      </c>
      <c r="K493">
        <v>475</v>
      </c>
      <c r="T493">
        <v>3</v>
      </c>
      <c r="U493">
        <v>1</v>
      </c>
      <c r="V493" t="s">
        <v>138</v>
      </c>
      <c r="W493">
        <v>82</v>
      </c>
      <c r="X493">
        <v>20</v>
      </c>
      <c r="Y493">
        <v>10</v>
      </c>
      <c r="Z493" t="s">
        <v>838</v>
      </c>
      <c r="AA493" t="s">
        <v>839</v>
      </c>
      <c r="AB493" t="s">
        <v>96</v>
      </c>
      <c r="AC493" t="s">
        <v>97</v>
      </c>
      <c r="AD493" t="s">
        <v>725</v>
      </c>
      <c r="AG493" t="s">
        <v>840</v>
      </c>
      <c r="AH493">
        <v>0</v>
      </c>
      <c r="AI493">
        <v>295</v>
      </c>
      <c r="AJ493">
        <v>18</v>
      </c>
      <c r="AK493">
        <v>1272</v>
      </c>
      <c r="AL493">
        <v>1.07</v>
      </c>
    </row>
    <row r="494" spans="1:38" x14ac:dyDescent="0.3">
      <c r="A494" t="s">
        <v>721</v>
      </c>
      <c r="B494">
        <v>8236</v>
      </c>
      <c r="C494">
        <v>2</v>
      </c>
      <c r="D494" t="s">
        <v>836</v>
      </c>
      <c r="E494" t="s">
        <v>837</v>
      </c>
      <c r="F494">
        <v>1187</v>
      </c>
      <c r="G494">
        <v>30.95</v>
      </c>
      <c r="H494">
        <v>102.32</v>
      </c>
      <c r="I494">
        <v>25.58</v>
      </c>
      <c r="J494">
        <v>84.58</v>
      </c>
      <c r="K494">
        <v>632</v>
      </c>
      <c r="T494">
        <v>3</v>
      </c>
      <c r="U494">
        <v>2</v>
      </c>
      <c r="V494" t="s">
        <v>93</v>
      </c>
      <c r="W494">
        <v>102</v>
      </c>
      <c r="X494">
        <v>20</v>
      </c>
      <c r="Y494">
        <v>10</v>
      </c>
      <c r="Z494" t="s">
        <v>838</v>
      </c>
      <c r="AA494" t="s">
        <v>839</v>
      </c>
      <c r="AB494" t="s">
        <v>96</v>
      </c>
      <c r="AC494" t="s">
        <v>97</v>
      </c>
      <c r="AD494" t="s">
        <v>725</v>
      </c>
      <c r="AG494" t="s">
        <v>840</v>
      </c>
      <c r="AH494">
        <v>0</v>
      </c>
      <c r="AI494">
        <v>295</v>
      </c>
      <c r="AJ494">
        <v>18</v>
      </c>
      <c r="AK494">
        <v>1272</v>
      </c>
      <c r="AL494">
        <v>1.07</v>
      </c>
    </row>
    <row r="495" spans="1:38" x14ac:dyDescent="0.3">
      <c r="A495" t="s">
        <v>721</v>
      </c>
      <c r="B495">
        <v>8236</v>
      </c>
      <c r="C495">
        <v>3</v>
      </c>
      <c r="D495" t="s">
        <v>836</v>
      </c>
      <c r="E495" t="s">
        <v>837</v>
      </c>
      <c r="F495">
        <v>1187</v>
      </c>
      <c r="G495">
        <v>41.64</v>
      </c>
      <c r="H495">
        <v>137.68</v>
      </c>
      <c r="I495">
        <v>35.799999999999997</v>
      </c>
      <c r="J495">
        <v>118.38</v>
      </c>
      <c r="K495">
        <v>80</v>
      </c>
      <c r="T495">
        <v>4</v>
      </c>
      <c r="U495">
        <v>2</v>
      </c>
      <c r="V495" t="s">
        <v>93</v>
      </c>
      <c r="W495">
        <v>137</v>
      </c>
      <c r="X495">
        <v>20</v>
      </c>
      <c r="Y495">
        <v>10</v>
      </c>
      <c r="Z495" t="s">
        <v>838</v>
      </c>
      <c r="AA495" t="s">
        <v>839</v>
      </c>
      <c r="AB495" t="s">
        <v>96</v>
      </c>
      <c r="AC495" t="s">
        <v>97</v>
      </c>
      <c r="AD495" t="s">
        <v>725</v>
      </c>
      <c r="AG495" t="s">
        <v>840</v>
      </c>
      <c r="AH495">
        <v>0</v>
      </c>
      <c r="AI495">
        <v>295</v>
      </c>
      <c r="AJ495">
        <v>18</v>
      </c>
      <c r="AK495">
        <v>1272</v>
      </c>
      <c r="AL495">
        <v>1.07</v>
      </c>
    </row>
    <row r="496" spans="1:38" x14ac:dyDescent="0.3">
      <c r="A496" t="s">
        <v>721</v>
      </c>
      <c r="B496">
        <v>9192</v>
      </c>
      <c r="C496">
        <v>1</v>
      </c>
      <c r="D496" t="s">
        <v>841</v>
      </c>
      <c r="E496" t="s">
        <v>842</v>
      </c>
      <c r="F496">
        <v>410</v>
      </c>
      <c r="G496">
        <v>15.86</v>
      </c>
      <c r="H496">
        <v>52.44</v>
      </c>
      <c r="I496">
        <v>12.29</v>
      </c>
      <c r="J496">
        <v>40.659999999999997</v>
      </c>
      <c r="K496">
        <v>220</v>
      </c>
      <c r="T496">
        <v>2</v>
      </c>
      <c r="U496">
        <v>1</v>
      </c>
      <c r="V496" t="s">
        <v>93</v>
      </c>
      <c r="W496">
        <v>52</v>
      </c>
      <c r="X496">
        <v>5</v>
      </c>
      <c r="Y496">
        <v>5</v>
      </c>
      <c r="Z496" t="s">
        <v>843</v>
      </c>
      <c r="AA496" t="s">
        <v>844</v>
      </c>
      <c r="AB496" t="s">
        <v>96</v>
      </c>
      <c r="AC496" t="s">
        <v>97</v>
      </c>
      <c r="AD496" t="s">
        <v>725</v>
      </c>
      <c r="AG496" t="s">
        <v>845</v>
      </c>
      <c r="AH496">
        <v>0</v>
      </c>
      <c r="AI496">
        <v>153</v>
      </c>
      <c r="AJ496">
        <v>30</v>
      </c>
      <c r="AK496">
        <v>200</v>
      </c>
      <c r="AL496">
        <v>0.49</v>
      </c>
    </row>
    <row r="497" spans="1:38" x14ac:dyDescent="0.3">
      <c r="A497" t="s">
        <v>721</v>
      </c>
      <c r="B497">
        <v>9192</v>
      </c>
      <c r="C497">
        <v>2</v>
      </c>
      <c r="D497" t="s">
        <v>841</v>
      </c>
      <c r="E497" t="s">
        <v>842</v>
      </c>
      <c r="F497">
        <v>410</v>
      </c>
      <c r="G497">
        <v>16.8</v>
      </c>
      <c r="H497">
        <v>55.56</v>
      </c>
      <c r="I497">
        <v>13.06</v>
      </c>
      <c r="J497">
        <v>43.2</v>
      </c>
      <c r="K497">
        <v>100</v>
      </c>
      <c r="T497">
        <v>2</v>
      </c>
      <c r="U497">
        <v>1</v>
      </c>
      <c r="V497" t="s">
        <v>93</v>
      </c>
      <c r="W497" t="s">
        <v>210</v>
      </c>
      <c r="X497">
        <v>5</v>
      </c>
      <c r="Y497">
        <v>5</v>
      </c>
      <c r="Z497" t="s">
        <v>843</v>
      </c>
      <c r="AA497" t="s">
        <v>844</v>
      </c>
      <c r="AB497" t="s">
        <v>96</v>
      </c>
      <c r="AC497" t="s">
        <v>97</v>
      </c>
      <c r="AD497" t="s">
        <v>725</v>
      </c>
      <c r="AG497" t="s">
        <v>845</v>
      </c>
      <c r="AH497">
        <v>0</v>
      </c>
      <c r="AI497">
        <v>153</v>
      </c>
      <c r="AJ497">
        <v>30</v>
      </c>
      <c r="AK497">
        <v>200</v>
      </c>
      <c r="AL497">
        <v>0.49</v>
      </c>
    </row>
    <row r="498" spans="1:38" x14ac:dyDescent="0.3">
      <c r="A498" t="s">
        <v>721</v>
      </c>
      <c r="B498">
        <v>9192</v>
      </c>
      <c r="C498">
        <v>3</v>
      </c>
      <c r="D498" t="s">
        <v>841</v>
      </c>
      <c r="E498" t="s">
        <v>842</v>
      </c>
      <c r="F498">
        <v>410</v>
      </c>
      <c r="G498">
        <v>16.690000000000001</v>
      </c>
      <c r="H498">
        <v>55.19</v>
      </c>
      <c r="I498">
        <v>13.11</v>
      </c>
      <c r="J498">
        <v>43.36</v>
      </c>
      <c r="K498">
        <v>90</v>
      </c>
      <c r="T498">
        <v>2</v>
      </c>
      <c r="U498">
        <v>1</v>
      </c>
      <c r="V498" t="s">
        <v>93</v>
      </c>
      <c r="W498" t="s">
        <v>206</v>
      </c>
      <c r="X498">
        <v>5</v>
      </c>
      <c r="Y498">
        <v>5</v>
      </c>
      <c r="Z498" t="s">
        <v>843</v>
      </c>
      <c r="AA498" t="s">
        <v>844</v>
      </c>
      <c r="AB498" t="s">
        <v>96</v>
      </c>
      <c r="AC498" t="s">
        <v>97</v>
      </c>
      <c r="AD498" t="s">
        <v>725</v>
      </c>
      <c r="AG498" t="s">
        <v>845</v>
      </c>
      <c r="AH498">
        <v>0</v>
      </c>
      <c r="AI498">
        <v>153</v>
      </c>
      <c r="AJ498">
        <v>30</v>
      </c>
      <c r="AK498">
        <v>200</v>
      </c>
      <c r="AL498">
        <v>0.49</v>
      </c>
    </row>
    <row r="499" spans="1:38" x14ac:dyDescent="0.3">
      <c r="A499" t="s">
        <v>721</v>
      </c>
      <c r="B499">
        <v>22393</v>
      </c>
      <c r="C499">
        <v>1</v>
      </c>
      <c r="D499" t="s">
        <v>846</v>
      </c>
      <c r="E499" t="s">
        <v>130</v>
      </c>
      <c r="F499">
        <v>100</v>
      </c>
      <c r="G499">
        <v>18.940000000000001</v>
      </c>
      <c r="H499">
        <v>62.62</v>
      </c>
      <c r="I499">
        <v>14.29</v>
      </c>
      <c r="J499">
        <v>47.24</v>
      </c>
      <c r="K499">
        <v>50</v>
      </c>
      <c r="T499">
        <v>2</v>
      </c>
      <c r="U499">
        <v>1</v>
      </c>
      <c r="V499" t="s">
        <v>93</v>
      </c>
      <c r="W499">
        <v>62</v>
      </c>
      <c r="X499">
        <v>5</v>
      </c>
      <c r="Y499">
        <v>5</v>
      </c>
      <c r="Z499" t="s">
        <v>847</v>
      </c>
      <c r="AA499" t="s">
        <v>848</v>
      </c>
      <c r="AB499" t="s">
        <v>96</v>
      </c>
      <c r="AC499" t="s">
        <v>97</v>
      </c>
      <c r="AD499" t="s">
        <v>725</v>
      </c>
      <c r="AG499" t="s">
        <v>849</v>
      </c>
      <c r="AH499">
        <v>0</v>
      </c>
      <c r="AI499">
        <v>171</v>
      </c>
      <c r="AJ499">
        <v>34</v>
      </c>
      <c r="AK499">
        <v>110</v>
      </c>
      <c r="AL499">
        <v>1.1000000000000001</v>
      </c>
    </row>
    <row r="500" spans="1:38" x14ac:dyDescent="0.3">
      <c r="A500" t="s">
        <v>721</v>
      </c>
      <c r="B500">
        <v>22393</v>
      </c>
      <c r="C500">
        <v>2</v>
      </c>
      <c r="D500" t="s">
        <v>846</v>
      </c>
      <c r="E500" t="s">
        <v>130</v>
      </c>
      <c r="F500">
        <v>100</v>
      </c>
      <c r="G500">
        <v>22.83</v>
      </c>
      <c r="H500">
        <v>75.489999999999995</v>
      </c>
      <c r="I500">
        <v>17.41</v>
      </c>
      <c r="J500">
        <v>57.57</v>
      </c>
      <c r="K500">
        <v>50</v>
      </c>
      <c r="T500">
        <v>3</v>
      </c>
      <c r="U500">
        <v>1</v>
      </c>
      <c r="V500" t="s">
        <v>93</v>
      </c>
      <c r="W500">
        <v>75</v>
      </c>
      <c r="X500">
        <v>5</v>
      </c>
      <c r="Y500">
        <v>5</v>
      </c>
      <c r="Z500" t="s">
        <v>847</v>
      </c>
      <c r="AA500" t="s">
        <v>848</v>
      </c>
      <c r="AB500" t="s">
        <v>96</v>
      </c>
      <c r="AC500" t="s">
        <v>97</v>
      </c>
      <c r="AD500" t="s">
        <v>725</v>
      </c>
      <c r="AG500" t="s">
        <v>849</v>
      </c>
      <c r="AH500">
        <v>0</v>
      </c>
      <c r="AI500">
        <v>171</v>
      </c>
      <c r="AJ500">
        <v>34</v>
      </c>
      <c r="AK500">
        <v>110</v>
      </c>
      <c r="AL500">
        <v>1.1000000000000001</v>
      </c>
    </row>
    <row r="501" spans="1:38" x14ac:dyDescent="0.3">
      <c r="A501" t="s">
        <v>721</v>
      </c>
      <c r="B501">
        <v>8456</v>
      </c>
      <c r="C501">
        <v>1</v>
      </c>
      <c r="D501" t="s">
        <v>850</v>
      </c>
      <c r="E501" t="s">
        <v>851</v>
      </c>
      <c r="F501">
        <v>45</v>
      </c>
      <c r="G501">
        <v>21.78</v>
      </c>
      <c r="H501">
        <v>72</v>
      </c>
      <c r="I501">
        <v>16.82</v>
      </c>
      <c r="J501">
        <v>55.62</v>
      </c>
      <c r="K501">
        <v>20</v>
      </c>
      <c r="T501">
        <v>3</v>
      </c>
      <c r="U501">
        <v>1</v>
      </c>
      <c r="V501" t="s">
        <v>93</v>
      </c>
      <c r="W501">
        <v>72</v>
      </c>
      <c r="X501">
        <v>5</v>
      </c>
      <c r="Y501">
        <v>5</v>
      </c>
      <c r="Z501" t="s">
        <v>852</v>
      </c>
      <c r="AA501" t="s">
        <v>853</v>
      </c>
      <c r="AB501" t="s">
        <v>96</v>
      </c>
      <c r="AC501" t="s">
        <v>97</v>
      </c>
      <c r="AD501" t="s">
        <v>725</v>
      </c>
      <c r="AG501" t="s">
        <v>854</v>
      </c>
      <c r="AH501">
        <v>0</v>
      </c>
      <c r="AI501">
        <v>0</v>
      </c>
      <c r="AJ501">
        <v>0</v>
      </c>
      <c r="AK501">
        <v>0</v>
      </c>
      <c r="AL501">
        <v>0</v>
      </c>
    </row>
    <row r="502" spans="1:38" x14ac:dyDescent="0.3">
      <c r="A502" t="s">
        <v>721</v>
      </c>
      <c r="B502">
        <v>8456</v>
      </c>
      <c r="C502">
        <v>2</v>
      </c>
      <c r="D502" t="s">
        <v>850</v>
      </c>
      <c r="E502" t="s">
        <v>851</v>
      </c>
      <c r="F502">
        <v>45</v>
      </c>
      <c r="G502">
        <v>22.86</v>
      </c>
      <c r="H502">
        <v>75.599999999999994</v>
      </c>
      <c r="I502">
        <v>17.75</v>
      </c>
      <c r="J502">
        <v>58.68</v>
      </c>
      <c r="K502">
        <v>10</v>
      </c>
      <c r="T502">
        <v>3</v>
      </c>
      <c r="U502">
        <v>1</v>
      </c>
      <c r="V502" t="s">
        <v>93</v>
      </c>
      <c r="W502">
        <v>75</v>
      </c>
      <c r="X502">
        <v>5</v>
      </c>
      <c r="Y502">
        <v>5</v>
      </c>
      <c r="Z502" t="s">
        <v>852</v>
      </c>
      <c r="AA502" t="s">
        <v>853</v>
      </c>
      <c r="AB502" t="s">
        <v>96</v>
      </c>
      <c r="AC502" t="s">
        <v>97</v>
      </c>
      <c r="AD502" t="s">
        <v>725</v>
      </c>
      <c r="AG502" t="s">
        <v>854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721</v>
      </c>
      <c r="B503">
        <v>8456</v>
      </c>
      <c r="C503">
        <v>3</v>
      </c>
      <c r="D503" t="s">
        <v>850</v>
      </c>
      <c r="E503" t="s">
        <v>851</v>
      </c>
      <c r="F503">
        <v>45</v>
      </c>
      <c r="G503">
        <v>24.04</v>
      </c>
      <c r="H503">
        <v>79.48</v>
      </c>
      <c r="I503">
        <v>18.73</v>
      </c>
      <c r="J503">
        <v>61.92</v>
      </c>
      <c r="K503">
        <v>10</v>
      </c>
      <c r="T503">
        <v>3</v>
      </c>
      <c r="U503">
        <v>1</v>
      </c>
      <c r="V503" t="s">
        <v>93</v>
      </c>
      <c r="W503">
        <v>79</v>
      </c>
      <c r="X503">
        <v>5</v>
      </c>
      <c r="Y503">
        <v>5</v>
      </c>
      <c r="Z503" t="s">
        <v>852</v>
      </c>
      <c r="AA503" t="s">
        <v>853</v>
      </c>
      <c r="AB503" t="s">
        <v>96</v>
      </c>
      <c r="AC503" t="s">
        <v>97</v>
      </c>
      <c r="AD503" t="s">
        <v>725</v>
      </c>
      <c r="AG503" t="s">
        <v>854</v>
      </c>
      <c r="AH503">
        <v>0</v>
      </c>
      <c r="AI503">
        <v>0</v>
      </c>
      <c r="AJ503">
        <v>0</v>
      </c>
      <c r="AK503">
        <v>0</v>
      </c>
      <c r="AL503">
        <v>0</v>
      </c>
    </row>
    <row r="504" spans="1:38" x14ac:dyDescent="0.3">
      <c r="A504" t="s">
        <v>721</v>
      </c>
      <c r="B504">
        <v>8456</v>
      </c>
      <c r="C504">
        <v>4</v>
      </c>
      <c r="D504" t="s">
        <v>850</v>
      </c>
      <c r="E504" t="s">
        <v>851</v>
      </c>
      <c r="F504">
        <v>45</v>
      </c>
      <c r="G504">
        <v>24.95</v>
      </c>
      <c r="H504">
        <v>82.51</v>
      </c>
      <c r="I504">
        <v>17.690000000000001</v>
      </c>
      <c r="J504">
        <v>58.5</v>
      </c>
      <c r="K504">
        <v>5</v>
      </c>
      <c r="T504">
        <v>3</v>
      </c>
      <c r="U504">
        <v>1</v>
      </c>
      <c r="V504" t="s">
        <v>93</v>
      </c>
      <c r="W504">
        <v>82</v>
      </c>
      <c r="X504">
        <v>5</v>
      </c>
      <c r="Y504">
        <v>5</v>
      </c>
      <c r="Z504" t="s">
        <v>852</v>
      </c>
      <c r="AA504" t="s">
        <v>853</v>
      </c>
      <c r="AB504" t="s">
        <v>96</v>
      </c>
      <c r="AC504" t="s">
        <v>97</v>
      </c>
      <c r="AD504" t="s">
        <v>725</v>
      </c>
      <c r="AG504" t="s">
        <v>854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721</v>
      </c>
      <c r="B505">
        <v>25224</v>
      </c>
      <c r="C505">
        <v>1</v>
      </c>
      <c r="D505" t="s">
        <v>458</v>
      </c>
      <c r="E505" t="s">
        <v>855</v>
      </c>
      <c r="F505">
        <v>117</v>
      </c>
      <c r="G505">
        <v>22.62</v>
      </c>
      <c r="H505">
        <v>74.790000000000006</v>
      </c>
      <c r="I505">
        <v>18.14</v>
      </c>
      <c r="J505">
        <v>59.98</v>
      </c>
      <c r="K505">
        <v>27</v>
      </c>
      <c r="T505">
        <v>3</v>
      </c>
      <c r="U505">
        <v>2</v>
      </c>
      <c r="V505" t="s">
        <v>93</v>
      </c>
      <c r="W505">
        <v>74</v>
      </c>
      <c r="X505">
        <v>15</v>
      </c>
      <c r="Y505">
        <v>8</v>
      </c>
      <c r="Z505" t="s">
        <v>856</v>
      </c>
      <c r="AA505" t="s">
        <v>857</v>
      </c>
      <c r="AB505" t="s">
        <v>96</v>
      </c>
      <c r="AC505" t="s">
        <v>97</v>
      </c>
      <c r="AD505" t="s">
        <v>725</v>
      </c>
      <c r="AG505" t="s">
        <v>858</v>
      </c>
      <c r="AH505">
        <v>0</v>
      </c>
      <c r="AI505">
        <v>337</v>
      </c>
      <c r="AJ505">
        <v>35</v>
      </c>
      <c r="AK505">
        <v>121</v>
      </c>
      <c r="AL505">
        <v>1.03</v>
      </c>
    </row>
    <row r="506" spans="1:38" x14ac:dyDescent="0.3">
      <c r="A506" t="s">
        <v>721</v>
      </c>
      <c r="B506">
        <v>25224</v>
      </c>
      <c r="C506">
        <v>2</v>
      </c>
      <c r="D506" t="s">
        <v>458</v>
      </c>
      <c r="E506" t="s">
        <v>855</v>
      </c>
      <c r="F506">
        <v>117</v>
      </c>
      <c r="G506">
        <v>31.68</v>
      </c>
      <c r="H506">
        <v>104.73</v>
      </c>
      <c r="I506">
        <v>25.62</v>
      </c>
      <c r="J506">
        <v>84.72</v>
      </c>
      <c r="K506">
        <v>52</v>
      </c>
      <c r="T506">
        <v>3</v>
      </c>
      <c r="U506">
        <v>2</v>
      </c>
      <c r="V506" t="s">
        <v>93</v>
      </c>
      <c r="W506" t="s">
        <v>859</v>
      </c>
      <c r="X506">
        <v>15</v>
      </c>
      <c r="Y506">
        <v>8</v>
      </c>
      <c r="Z506" t="s">
        <v>856</v>
      </c>
      <c r="AA506" t="s">
        <v>857</v>
      </c>
      <c r="AB506" t="s">
        <v>96</v>
      </c>
      <c r="AC506" t="s">
        <v>97</v>
      </c>
      <c r="AD506" t="s">
        <v>725</v>
      </c>
      <c r="AG506" t="s">
        <v>858</v>
      </c>
      <c r="AH506">
        <v>0</v>
      </c>
      <c r="AI506">
        <v>337</v>
      </c>
      <c r="AJ506">
        <v>35</v>
      </c>
      <c r="AK506">
        <v>121</v>
      </c>
      <c r="AL506">
        <v>1.03</v>
      </c>
    </row>
    <row r="507" spans="1:38" x14ac:dyDescent="0.3">
      <c r="A507" t="s">
        <v>721</v>
      </c>
      <c r="B507">
        <v>25224</v>
      </c>
      <c r="C507">
        <v>3</v>
      </c>
      <c r="D507" t="s">
        <v>458</v>
      </c>
      <c r="E507" t="s">
        <v>855</v>
      </c>
      <c r="F507">
        <v>117</v>
      </c>
      <c r="G507">
        <v>31.85</v>
      </c>
      <c r="H507">
        <v>105.3</v>
      </c>
      <c r="I507">
        <v>25.69</v>
      </c>
      <c r="J507">
        <v>84.93</v>
      </c>
      <c r="K507">
        <v>14</v>
      </c>
      <c r="T507">
        <v>3</v>
      </c>
      <c r="U507">
        <v>2</v>
      </c>
      <c r="V507" t="s">
        <v>93</v>
      </c>
      <c r="W507" t="s">
        <v>860</v>
      </c>
      <c r="X507">
        <v>15</v>
      </c>
      <c r="Y507">
        <v>8</v>
      </c>
      <c r="Z507" t="s">
        <v>856</v>
      </c>
      <c r="AA507" t="s">
        <v>857</v>
      </c>
      <c r="AB507" t="s">
        <v>96</v>
      </c>
      <c r="AC507" t="s">
        <v>97</v>
      </c>
      <c r="AD507" t="s">
        <v>725</v>
      </c>
      <c r="AG507" t="s">
        <v>858</v>
      </c>
      <c r="AH507">
        <v>0</v>
      </c>
      <c r="AI507">
        <v>337</v>
      </c>
      <c r="AJ507">
        <v>35</v>
      </c>
      <c r="AK507">
        <v>121</v>
      </c>
      <c r="AL507">
        <v>1.03</v>
      </c>
    </row>
    <row r="508" spans="1:38" x14ac:dyDescent="0.3">
      <c r="A508" t="s">
        <v>721</v>
      </c>
      <c r="B508">
        <v>25224</v>
      </c>
      <c r="C508">
        <v>4</v>
      </c>
      <c r="D508" t="s">
        <v>458</v>
      </c>
      <c r="E508" t="s">
        <v>855</v>
      </c>
      <c r="F508">
        <v>117</v>
      </c>
      <c r="G508">
        <v>31.9</v>
      </c>
      <c r="H508">
        <v>105.47</v>
      </c>
      <c r="I508">
        <v>25.59</v>
      </c>
      <c r="J508">
        <v>84.6</v>
      </c>
      <c r="K508">
        <v>13</v>
      </c>
      <c r="T508">
        <v>3</v>
      </c>
      <c r="U508">
        <v>2</v>
      </c>
      <c r="V508" t="s">
        <v>93</v>
      </c>
      <c r="W508" t="s">
        <v>861</v>
      </c>
      <c r="X508">
        <v>15</v>
      </c>
      <c r="Y508">
        <v>8</v>
      </c>
      <c r="Z508" t="s">
        <v>856</v>
      </c>
      <c r="AA508" t="s">
        <v>857</v>
      </c>
      <c r="AB508" t="s">
        <v>96</v>
      </c>
      <c r="AC508" t="s">
        <v>97</v>
      </c>
      <c r="AD508" t="s">
        <v>725</v>
      </c>
      <c r="AG508" t="s">
        <v>858</v>
      </c>
      <c r="AH508">
        <v>0</v>
      </c>
      <c r="AI508">
        <v>337</v>
      </c>
      <c r="AJ508">
        <v>35</v>
      </c>
      <c r="AK508">
        <v>121</v>
      </c>
      <c r="AL508">
        <v>1.03</v>
      </c>
    </row>
    <row r="509" spans="1:38" x14ac:dyDescent="0.3">
      <c r="A509" t="s">
        <v>721</v>
      </c>
      <c r="B509">
        <v>25224</v>
      </c>
      <c r="C509">
        <v>5</v>
      </c>
      <c r="D509" t="s">
        <v>458</v>
      </c>
      <c r="E509" t="s">
        <v>855</v>
      </c>
      <c r="F509">
        <v>117</v>
      </c>
      <c r="G509">
        <v>31.81</v>
      </c>
      <c r="H509">
        <v>105.19</v>
      </c>
      <c r="I509">
        <v>25.7</v>
      </c>
      <c r="J509">
        <v>84.99</v>
      </c>
      <c r="K509">
        <v>11</v>
      </c>
      <c r="T509">
        <v>3</v>
      </c>
      <c r="U509">
        <v>2</v>
      </c>
      <c r="V509" t="s">
        <v>93</v>
      </c>
      <c r="W509" t="s">
        <v>862</v>
      </c>
      <c r="X509">
        <v>15</v>
      </c>
      <c r="Y509">
        <v>8</v>
      </c>
      <c r="Z509" t="s">
        <v>856</v>
      </c>
      <c r="AA509" t="s">
        <v>857</v>
      </c>
      <c r="AB509" t="s">
        <v>96</v>
      </c>
      <c r="AC509" t="s">
        <v>97</v>
      </c>
      <c r="AD509" t="s">
        <v>725</v>
      </c>
      <c r="AG509" t="s">
        <v>858</v>
      </c>
      <c r="AH509">
        <v>0</v>
      </c>
      <c r="AI509">
        <v>337</v>
      </c>
      <c r="AJ509">
        <v>35</v>
      </c>
      <c r="AK509">
        <v>121</v>
      </c>
      <c r="AL509">
        <v>1.03</v>
      </c>
    </row>
    <row r="510" spans="1:38" x14ac:dyDescent="0.3">
      <c r="A510" t="s">
        <v>721</v>
      </c>
      <c r="B510">
        <v>8784</v>
      </c>
      <c r="C510">
        <v>1</v>
      </c>
      <c r="D510" t="s">
        <v>863</v>
      </c>
      <c r="E510" t="s">
        <v>158</v>
      </c>
      <c r="F510">
        <v>468</v>
      </c>
      <c r="G510">
        <v>27.1</v>
      </c>
      <c r="H510">
        <v>89.61</v>
      </c>
      <c r="I510">
        <v>20.66</v>
      </c>
      <c r="J510">
        <v>68.33</v>
      </c>
      <c r="K510">
        <v>164</v>
      </c>
      <c r="T510">
        <v>3</v>
      </c>
      <c r="U510">
        <v>2</v>
      </c>
      <c r="V510" t="s">
        <v>93</v>
      </c>
      <c r="W510">
        <v>89</v>
      </c>
      <c r="X510">
        <v>18</v>
      </c>
      <c r="Y510">
        <v>14</v>
      </c>
      <c r="Z510" t="s">
        <v>864</v>
      </c>
      <c r="AA510" t="s">
        <v>865</v>
      </c>
      <c r="AB510" t="s">
        <v>96</v>
      </c>
      <c r="AC510" t="s">
        <v>97</v>
      </c>
      <c r="AD510" t="s">
        <v>725</v>
      </c>
      <c r="AG510" t="s">
        <v>866</v>
      </c>
      <c r="AH510">
        <v>0</v>
      </c>
      <c r="AI510">
        <v>247</v>
      </c>
      <c r="AJ510">
        <v>19</v>
      </c>
      <c r="AK510">
        <v>483</v>
      </c>
      <c r="AL510">
        <v>1.03</v>
      </c>
    </row>
    <row r="511" spans="1:38" x14ac:dyDescent="0.3">
      <c r="A511" t="s">
        <v>721</v>
      </c>
      <c r="B511">
        <v>8784</v>
      </c>
      <c r="C511">
        <v>2</v>
      </c>
      <c r="D511" t="s">
        <v>863</v>
      </c>
      <c r="E511" t="s">
        <v>158</v>
      </c>
      <c r="F511">
        <v>468</v>
      </c>
      <c r="G511">
        <v>33.159999999999997</v>
      </c>
      <c r="H511">
        <v>109.62</v>
      </c>
      <c r="I511">
        <v>25.69</v>
      </c>
      <c r="J511">
        <v>84.93</v>
      </c>
      <c r="K511">
        <v>304</v>
      </c>
      <c r="T511">
        <v>3</v>
      </c>
      <c r="U511">
        <v>2</v>
      </c>
      <c r="V511" t="s">
        <v>93</v>
      </c>
      <c r="W511">
        <v>109</v>
      </c>
      <c r="X511">
        <v>18</v>
      </c>
      <c r="Y511">
        <v>14</v>
      </c>
      <c r="Z511" t="s">
        <v>864</v>
      </c>
      <c r="AA511" t="s">
        <v>865</v>
      </c>
      <c r="AB511" t="s">
        <v>96</v>
      </c>
      <c r="AC511" t="s">
        <v>97</v>
      </c>
      <c r="AD511" t="s">
        <v>725</v>
      </c>
      <c r="AG511" t="s">
        <v>866</v>
      </c>
      <c r="AH511">
        <v>0</v>
      </c>
      <c r="AI511">
        <v>247</v>
      </c>
      <c r="AJ511">
        <v>19</v>
      </c>
      <c r="AK511">
        <v>483</v>
      </c>
      <c r="AL511">
        <v>1.03</v>
      </c>
    </row>
    <row r="512" spans="1:38" x14ac:dyDescent="0.3">
      <c r="A512" t="s">
        <v>721</v>
      </c>
      <c r="B512">
        <v>8232</v>
      </c>
      <c r="C512">
        <v>1</v>
      </c>
      <c r="D512" t="s">
        <v>304</v>
      </c>
      <c r="E512" t="s">
        <v>867</v>
      </c>
      <c r="F512">
        <v>250</v>
      </c>
      <c r="G512">
        <v>25.84</v>
      </c>
      <c r="H512">
        <v>85.43</v>
      </c>
      <c r="I512">
        <v>18.14</v>
      </c>
      <c r="J512">
        <v>59.97</v>
      </c>
      <c r="K512">
        <v>152</v>
      </c>
      <c r="T512">
        <v>3</v>
      </c>
      <c r="U512">
        <v>1</v>
      </c>
      <c r="V512" t="s">
        <v>138</v>
      </c>
      <c r="W512">
        <v>85</v>
      </c>
      <c r="X512">
        <v>18</v>
      </c>
      <c r="Y512">
        <v>10</v>
      </c>
      <c r="Z512" t="s">
        <v>868</v>
      </c>
      <c r="AA512" t="s">
        <v>869</v>
      </c>
      <c r="AB512" t="s">
        <v>96</v>
      </c>
      <c r="AC512" t="s">
        <v>97</v>
      </c>
      <c r="AD512" t="s">
        <v>725</v>
      </c>
      <c r="AG512" t="s">
        <v>870</v>
      </c>
      <c r="AH512">
        <v>0</v>
      </c>
      <c r="AI512">
        <v>271</v>
      </c>
      <c r="AJ512">
        <v>20</v>
      </c>
      <c r="AK512">
        <v>262</v>
      </c>
      <c r="AL512">
        <v>1.05</v>
      </c>
    </row>
    <row r="513" spans="1:38" x14ac:dyDescent="0.3">
      <c r="A513" t="s">
        <v>721</v>
      </c>
      <c r="B513">
        <v>8232</v>
      </c>
      <c r="C513">
        <v>2</v>
      </c>
      <c r="D513" t="s">
        <v>304</v>
      </c>
      <c r="E513" t="s">
        <v>867</v>
      </c>
      <c r="F513">
        <v>250</v>
      </c>
      <c r="G513">
        <v>32.86</v>
      </c>
      <c r="H513">
        <v>108.66</v>
      </c>
      <c r="I513">
        <v>25.69</v>
      </c>
      <c r="J513">
        <v>84.94</v>
      </c>
      <c r="K513">
        <v>98</v>
      </c>
      <c r="T513">
        <v>3</v>
      </c>
      <c r="U513">
        <v>2</v>
      </c>
      <c r="V513" t="s">
        <v>93</v>
      </c>
      <c r="W513">
        <v>108</v>
      </c>
      <c r="X513">
        <v>18</v>
      </c>
      <c r="Y513">
        <v>10</v>
      </c>
      <c r="Z513" t="s">
        <v>868</v>
      </c>
      <c r="AA513" t="s">
        <v>869</v>
      </c>
      <c r="AB513" t="s">
        <v>96</v>
      </c>
      <c r="AC513" t="s">
        <v>97</v>
      </c>
      <c r="AD513" t="s">
        <v>725</v>
      </c>
      <c r="AG513" t="s">
        <v>870</v>
      </c>
      <c r="AH513">
        <v>0</v>
      </c>
      <c r="AI513">
        <v>271</v>
      </c>
      <c r="AJ513">
        <v>20</v>
      </c>
      <c r="AK513">
        <v>262</v>
      </c>
      <c r="AL513">
        <v>1.05</v>
      </c>
    </row>
    <row r="514" spans="1:38" x14ac:dyDescent="0.3">
      <c r="A514" t="s">
        <v>721</v>
      </c>
      <c r="B514">
        <v>10565</v>
      </c>
      <c r="C514">
        <v>1</v>
      </c>
      <c r="D514" t="s">
        <v>871</v>
      </c>
      <c r="E514" t="s">
        <v>872</v>
      </c>
      <c r="F514">
        <v>45</v>
      </c>
      <c r="G514">
        <v>20.3</v>
      </c>
      <c r="H514">
        <v>67.13</v>
      </c>
      <c r="I514">
        <v>15.3</v>
      </c>
      <c r="J514">
        <v>50.58</v>
      </c>
      <c r="K514">
        <v>8</v>
      </c>
      <c r="T514">
        <v>3</v>
      </c>
      <c r="U514">
        <v>1</v>
      </c>
      <c r="V514" t="s">
        <v>338</v>
      </c>
      <c r="W514">
        <v>67</v>
      </c>
      <c r="X514">
        <v>5</v>
      </c>
      <c r="Y514">
        <v>5</v>
      </c>
      <c r="Z514" t="s">
        <v>873</v>
      </c>
      <c r="AA514" t="s">
        <v>874</v>
      </c>
      <c r="AB514" t="s">
        <v>96</v>
      </c>
      <c r="AC514" t="s">
        <v>97</v>
      </c>
      <c r="AD514" t="s">
        <v>725</v>
      </c>
      <c r="AG514" t="s">
        <v>875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721</v>
      </c>
      <c r="B515">
        <v>10565</v>
      </c>
      <c r="C515">
        <v>2</v>
      </c>
      <c r="D515" t="s">
        <v>871</v>
      </c>
      <c r="E515" t="s">
        <v>872</v>
      </c>
      <c r="F515">
        <v>45</v>
      </c>
      <c r="G515">
        <v>20.74</v>
      </c>
      <c r="H515">
        <v>68.569999999999993</v>
      </c>
      <c r="I515">
        <v>15.73</v>
      </c>
      <c r="J515">
        <v>52.02</v>
      </c>
      <c r="K515">
        <v>32</v>
      </c>
      <c r="T515">
        <v>3</v>
      </c>
      <c r="U515">
        <v>1</v>
      </c>
      <c r="V515" t="s">
        <v>338</v>
      </c>
      <c r="W515">
        <v>68</v>
      </c>
      <c r="X515">
        <v>5</v>
      </c>
      <c r="Y515">
        <v>5</v>
      </c>
      <c r="Z515" t="s">
        <v>873</v>
      </c>
      <c r="AA515" t="s">
        <v>874</v>
      </c>
      <c r="AB515" t="s">
        <v>96</v>
      </c>
      <c r="AC515" t="s">
        <v>97</v>
      </c>
      <c r="AD515" t="s">
        <v>725</v>
      </c>
      <c r="AG515" t="s">
        <v>875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721</v>
      </c>
      <c r="B516">
        <v>10565</v>
      </c>
      <c r="C516">
        <v>3</v>
      </c>
      <c r="D516" t="s">
        <v>871</v>
      </c>
      <c r="E516" t="s">
        <v>872</v>
      </c>
      <c r="F516">
        <v>45</v>
      </c>
      <c r="G516">
        <v>21.99</v>
      </c>
      <c r="H516">
        <v>72.709999999999994</v>
      </c>
      <c r="I516">
        <v>15.35</v>
      </c>
      <c r="J516">
        <v>50.76</v>
      </c>
      <c r="K516">
        <v>1</v>
      </c>
      <c r="T516">
        <v>3</v>
      </c>
      <c r="U516">
        <v>1</v>
      </c>
      <c r="V516" t="s">
        <v>93</v>
      </c>
      <c r="W516">
        <v>72</v>
      </c>
      <c r="X516">
        <v>5</v>
      </c>
      <c r="Y516">
        <v>5</v>
      </c>
      <c r="Z516" t="s">
        <v>873</v>
      </c>
      <c r="AA516" t="s">
        <v>874</v>
      </c>
      <c r="AB516" t="s">
        <v>96</v>
      </c>
      <c r="AC516" t="s">
        <v>97</v>
      </c>
      <c r="AD516" t="s">
        <v>725</v>
      </c>
      <c r="AG516" t="s">
        <v>875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721</v>
      </c>
      <c r="B517">
        <v>10565</v>
      </c>
      <c r="C517">
        <v>4</v>
      </c>
      <c r="D517" t="s">
        <v>871</v>
      </c>
      <c r="E517" t="s">
        <v>872</v>
      </c>
      <c r="F517">
        <v>45</v>
      </c>
      <c r="G517">
        <v>22.53</v>
      </c>
      <c r="H517">
        <v>74.510000000000005</v>
      </c>
      <c r="I517">
        <v>15.89</v>
      </c>
      <c r="J517">
        <v>52.56</v>
      </c>
      <c r="K517">
        <v>4</v>
      </c>
      <c r="T517">
        <v>3</v>
      </c>
      <c r="U517">
        <v>1</v>
      </c>
      <c r="V517" t="s">
        <v>93</v>
      </c>
      <c r="W517">
        <v>74</v>
      </c>
      <c r="X517">
        <v>5</v>
      </c>
      <c r="Y517">
        <v>5</v>
      </c>
      <c r="Z517" t="s">
        <v>873</v>
      </c>
      <c r="AA517" t="s">
        <v>874</v>
      </c>
      <c r="AB517" t="s">
        <v>96</v>
      </c>
      <c r="AC517" t="s">
        <v>97</v>
      </c>
      <c r="AD517" t="s">
        <v>725</v>
      </c>
      <c r="AG517" t="s">
        <v>875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721</v>
      </c>
      <c r="B518">
        <v>10212</v>
      </c>
      <c r="C518">
        <v>1</v>
      </c>
      <c r="D518" t="s">
        <v>876</v>
      </c>
      <c r="E518" t="s">
        <v>169</v>
      </c>
      <c r="F518">
        <v>75</v>
      </c>
      <c r="G518">
        <v>14.91</v>
      </c>
      <c r="H518">
        <v>49.31</v>
      </c>
      <c r="I518">
        <v>10.119999999999999</v>
      </c>
      <c r="J518">
        <v>33.479999999999997</v>
      </c>
      <c r="K518">
        <v>5</v>
      </c>
      <c r="T518">
        <v>2</v>
      </c>
      <c r="U518">
        <v>1</v>
      </c>
      <c r="V518" t="s">
        <v>93</v>
      </c>
      <c r="W518" t="s">
        <v>552</v>
      </c>
      <c r="X518">
        <v>5</v>
      </c>
      <c r="Y518">
        <v>5</v>
      </c>
      <c r="Z518" t="s">
        <v>877</v>
      </c>
      <c r="AA518" t="s">
        <v>878</v>
      </c>
      <c r="AB518" t="s">
        <v>96</v>
      </c>
      <c r="AC518" t="s">
        <v>97</v>
      </c>
      <c r="AD518" t="s">
        <v>725</v>
      </c>
      <c r="AG518" t="s">
        <v>879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721</v>
      </c>
      <c r="B519">
        <v>10212</v>
      </c>
      <c r="C519">
        <v>2</v>
      </c>
      <c r="D519" t="s">
        <v>876</v>
      </c>
      <c r="E519" t="s">
        <v>169</v>
      </c>
      <c r="F519">
        <v>75</v>
      </c>
      <c r="G519">
        <v>15.23</v>
      </c>
      <c r="H519">
        <v>50.37</v>
      </c>
      <c r="I519">
        <v>11.67</v>
      </c>
      <c r="J519">
        <v>38.61</v>
      </c>
      <c r="K519">
        <v>70</v>
      </c>
      <c r="T519">
        <v>2</v>
      </c>
      <c r="U519">
        <v>1</v>
      </c>
      <c r="V519" t="s">
        <v>93</v>
      </c>
      <c r="W519" t="s">
        <v>880</v>
      </c>
      <c r="X519">
        <v>5</v>
      </c>
      <c r="Y519">
        <v>5</v>
      </c>
      <c r="Z519" t="s">
        <v>877</v>
      </c>
      <c r="AA519" t="s">
        <v>878</v>
      </c>
      <c r="AB519" t="s">
        <v>96</v>
      </c>
      <c r="AC519" t="s">
        <v>97</v>
      </c>
      <c r="AD519" t="s">
        <v>725</v>
      </c>
      <c r="AG519" t="s">
        <v>879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721</v>
      </c>
      <c r="B520">
        <v>2428</v>
      </c>
      <c r="C520">
        <v>1</v>
      </c>
      <c r="D520" t="s">
        <v>881</v>
      </c>
      <c r="E520" t="s">
        <v>882</v>
      </c>
      <c r="F520">
        <v>480</v>
      </c>
      <c r="G520">
        <v>24.28</v>
      </c>
      <c r="H520">
        <v>80.28</v>
      </c>
      <c r="I520">
        <v>18.12</v>
      </c>
      <c r="J520">
        <v>59.93</v>
      </c>
      <c r="K520">
        <v>90</v>
      </c>
      <c r="T520">
        <v>3</v>
      </c>
      <c r="U520">
        <v>1</v>
      </c>
      <c r="V520" t="s">
        <v>138</v>
      </c>
      <c r="W520">
        <v>80</v>
      </c>
      <c r="X520">
        <v>15</v>
      </c>
      <c r="Y520">
        <v>15</v>
      </c>
      <c r="Z520" t="s">
        <v>883</v>
      </c>
      <c r="AA520" t="s">
        <v>884</v>
      </c>
      <c r="AB520" t="s">
        <v>96</v>
      </c>
      <c r="AC520" t="s">
        <v>97</v>
      </c>
      <c r="AD520" t="s">
        <v>725</v>
      </c>
      <c r="AG520" t="s">
        <v>885</v>
      </c>
      <c r="AH520">
        <v>0</v>
      </c>
      <c r="AI520">
        <v>298</v>
      </c>
      <c r="AJ520">
        <v>21</v>
      </c>
      <c r="AK520">
        <v>219</v>
      </c>
      <c r="AL520">
        <v>0.46</v>
      </c>
    </row>
    <row r="521" spans="1:38" x14ac:dyDescent="0.3">
      <c r="A521" t="s">
        <v>721</v>
      </c>
      <c r="B521">
        <v>2428</v>
      </c>
      <c r="C521">
        <v>2</v>
      </c>
      <c r="D521" t="s">
        <v>881</v>
      </c>
      <c r="E521" t="s">
        <v>882</v>
      </c>
      <c r="F521">
        <v>480</v>
      </c>
      <c r="G521">
        <v>27.63</v>
      </c>
      <c r="H521">
        <v>91.34</v>
      </c>
      <c r="I521">
        <v>21.82</v>
      </c>
      <c r="J521">
        <v>72.14</v>
      </c>
      <c r="K521">
        <v>30</v>
      </c>
      <c r="T521">
        <v>3</v>
      </c>
      <c r="U521">
        <v>1</v>
      </c>
      <c r="V521" t="s">
        <v>138</v>
      </c>
      <c r="W521">
        <v>91</v>
      </c>
      <c r="X521">
        <v>15</v>
      </c>
      <c r="Y521">
        <v>15</v>
      </c>
      <c r="Z521" t="s">
        <v>883</v>
      </c>
      <c r="AA521" t="s">
        <v>884</v>
      </c>
      <c r="AB521" t="s">
        <v>96</v>
      </c>
      <c r="AC521" t="s">
        <v>97</v>
      </c>
      <c r="AD521" t="s">
        <v>725</v>
      </c>
      <c r="AG521" t="s">
        <v>885</v>
      </c>
      <c r="AH521">
        <v>0</v>
      </c>
      <c r="AI521">
        <v>298</v>
      </c>
      <c r="AJ521">
        <v>21</v>
      </c>
      <c r="AK521">
        <v>219</v>
      </c>
      <c r="AL521">
        <v>0.46</v>
      </c>
    </row>
    <row r="522" spans="1:38" x14ac:dyDescent="0.3">
      <c r="A522" t="s">
        <v>721</v>
      </c>
      <c r="B522">
        <v>2428</v>
      </c>
      <c r="C522">
        <v>3</v>
      </c>
      <c r="D522" t="s">
        <v>881</v>
      </c>
      <c r="E522" t="s">
        <v>882</v>
      </c>
      <c r="F522">
        <v>480</v>
      </c>
      <c r="G522">
        <v>29.62</v>
      </c>
      <c r="H522">
        <v>97.93</v>
      </c>
      <c r="I522">
        <v>24.64</v>
      </c>
      <c r="J522">
        <v>81.48</v>
      </c>
      <c r="K522">
        <v>180</v>
      </c>
      <c r="T522">
        <v>3</v>
      </c>
      <c r="U522">
        <v>1</v>
      </c>
      <c r="V522" t="s">
        <v>93</v>
      </c>
      <c r="W522">
        <v>97</v>
      </c>
      <c r="X522">
        <v>15</v>
      </c>
      <c r="Y522">
        <v>15</v>
      </c>
      <c r="Z522" t="s">
        <v>883</v>
      </c>
      <c r="AA522" t="s">
        <v>884</v>
      </c>
      <c r="AB522" t="s">
        <v>96</v>
      </c>
      <c r="AC522" t="s">
        <v>97</v>
      </c>
      <c r="AD522" t="s">
        <v>725</v>
      </c>
      <c r="AG522" t="s">
        <v>885</v>
      </c>
      <c r="AH522">
        <v>0</v>
      </c>
      <c r="AI522">
        <v>298</v>
      </c>
      <c r="AJ522">
        <v>21</v>
      </c>
      <c r="AK522">
        <v>219</v>
      </c>
      <c r="AL522">
        <v>0.46</v>
      </c>
    </row>
    <row r="523" spans="1:38" x14ac:dyDescent="0.3">
      <c r="A523" t="s">
        <v>721</v>
      </c>
      <c r="B523">
        <v>2428</v>
      </c>
      <c r="C523">
        <v>4</v>
      </c>
      <c r="D523" t="s">
        <v>881</v>
      </c>
      <c r="E523" t="s">
        <v>882</v>
      </c>
      <c r="F523">
        <v>480</v>
      </c>
      <c r="G523">
        <v>30.61</v>
      </c>
      <c r="H523">
        <v>101.22</v>
      </c>
      <c r="I523">
        <v>25.69</v>
      </c>
      <c r="J523">
        <v>84.95</v>
      </c>
      <c r="K523">
        <v>150</v>
      </c>
      <c r="T523">
        <v>3</v>
      </c>
      <c r="U523">
        <v>1</v>
      </c>
      <c r="V523" t="s">
        <v>93</v>
      </c>
      <c r="W523" t="s">
        <v>370</v>
      </c>
      <c r="X523">
        <v>15</v>
      </c>
      <c r="Y523">
        <v>15</v>
      </c>
      <c r="Z523" t="s">
        <v>883</v>
      </c>
      <c r="AA523" t="s">
        <v>884</v>
      </c>
      <c r="AB523" t="s">
        <v>96</v>
      </c>
      <c r="AC523" t="s">
        <v>97</v>
      </c>
      <c r="AD523" t="s">
        <v>725</v>
      </c>
      <c r="AG523" t="s">
        <v>885</v>
      </c>
      <c r="AH523">
        <v>0</v>
      </c>
      <c r="AI523">
        <v>298</v>
      </c>
      <c r="AJ523">
        <v>21</v>
      </c>
      <c r="AK523">
        <v>219</v>
      </c>
      <c r="AL523">
        <v>0.46</v>
      </c>
    </row>
    <row r="524" spans="1:38" x14ac:dyDescent="0.3">
      <c r="A524" t="s">
        <v>721</v>
      </c>
      <c r="B524">
        <v>2428</v>
      </c>
      <c r="C524">
        <v>5</v>
      </c>
      <c r="D524" t="s">
        <v>881</v>
      </c>
      <c r="E524" t="s">
        <v>882</v>
      </c>
      <c r="F524">
        <v>480</v>
      </c>
      <c r="G524">
        <v>30.93</v>
      </c>
      <c r="H524">
        <v>102.25</v>
      </c>
      <c r="I524">
        <v>24.42</v>
      </c>
      <c r="J524">
        <v>80.760000000000005</v>
      </c>
      <c r="K524">
        <v>30</v>
      </c>
      <c r="T524">
        <v>3</v>
      </c>
      <c r="U524">
        <v>1</v>
      </c>
      <c r="V524" t="s">
        <v>138</v>
      </c>
      <c r="W524" t="s">
        <v>372</v>
      </c>
      <c r="X524">
        <v>15</v>
      </c>
      <c r="Y524">
        <v>15</v>
      </c>
      <c r="Z524" t="s">
        <v>883</v>
      </c>
      <c r="AA524" t="s">
        <v>884</v>
      </c>
      <c r="AB524" t="s">
        <v>96</v>
      </c>
      <c r="AC524" t="s">
        <v>97</v>
      </c>
      <c r="AD524" t="s">
        <v>725</v>
      </c>
      <c r="AG524" t="s">
        <v>885</v>
      </c>
      <c r="AH524">
        <v>0</v>
      </c>
      <c r="AI524">
        <v>298</v>
      </c>
      <c r="AJ524">
        <v>21</v>
      </c>
      <c r="AK524">
        <v>219</v>
      </c>
      <c r="AL524">
        <v>0.46</v>
      </c>
    </row>
    <row r="525" spans="1:38" x14ac:dyDescent="0.3">
      <c r="A525" t="s">
        <v>721</v>
      </c>
      <c r="B525">
        <v>9582</v>
      </c>
      <c r="C525">
        <v>1</v>
      </c>
      <c r="D525" t="s">
        <v>886</v>
      </c>
      <c r="E525" t="s">
        <v>887</v>
      </c>
      <c r="F525">
        <v>65</v>
      </c>
      <c r="G525">
        <v>18.3</v>
      </c>
      <c r="H525">
        <v>60.52</v>
      </c>
      <c r="I525">
        <v>15.31</v>
      </c>
      <c r="J525">
        <v>50.64</v>
      </c>
      <c r="K525">
        <v>2</v>
      </c>
      <c r="T525">
        <v>2</v>
      </c>
      <c r="U525">
        <v>1</v>
      </c>
      <c r="V525" t="s">
        <v>93</v>
      </c>
      <c r="W525">
        <v>60</v>
      </c>
      <c r="X525">
        <v>5</v>
      </c>
      <c r="Y525">
        <v>5</v>
      </c>
      <c r="Z525" t="s">
        <v>888</v>
      </c>
      <c r="AA525" t="s">
        <v>889</v>
      </c>
      <c r="AB525" t="s">
        <v>96</v>
      </c>
      <c r="AC525" t="s">
        <v>97</v>
      </c>
      <c r="AD525" t="s">
        <v>725</v>
      </c>
      <c r="AG525" t="s">
        <v>890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721</v>
      </c>
      <c r="B526">
        <v>9582</v>
      </c>
      <c r="C526">
        <v>2</v>
      </c>
      <c r="D526" t="s">
        <v>886</v>
      </c>
      <c r="E526" t="s">
        <v>887</v>
      </c>
      <c r="F526">
        <v>65</v>
      </c>
      <c r="G526">
        <v>18.5</v>
      </c>
      <c r="H526">
        <v>61.19</v>
      </c>
      <c r="I526">
        <v>15.52</v>
      </c>
      <c r="J526">
        <v>51.31</v>
      </c>
      <c r="K526">
        <v>26</v>
      </c>
      <c r="T526">
        <v>2</v>
      </c>
      <c r="U526">
        <v>1</v>
      </c>
      <c r="V526" t="s">
        <v>93</v>
      </c>
      <c r="W526" t="s">
        <v>891</v>
      </c>
      <c r="X526">
        <v>5</v>
      </c>
      <c r="Y526">
        <v>5</v>
      </c>
      <c r="Z526" t="s">
        <v>888</v>
      </c>
      <c r="AA526" t="s">
        <v>889</v>
      </c>
      <c r="AB526" t="s">
        <v>96</v>
      </c>
      <c r="AC526" t="s">
        <v>97</v>
      </c>
      <c r="AD526" t="s">
        <v>725</v>
      </c>
      <c r="AG526" t="s">
        <v>890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721</v>
      </c>
      <c r="B527">
        <v>9582</v>
      </c>
      <c r="C527">
        <v>3</v>
      </c>
      <c r="D527" t="s">
        <v>886</v>
      </c>
      <c r="E527" t="s">
        <v>887</v>
      </c>
      <c r="F527">
        <v>65</v>
      </c>
      <c r="G527">
        <v>18.559999999999999</v>
      </c>
      <c r="H527">
        <v>61.38</v>
      </c>
      <c r="I527">
        <v>15.54</v>
      </c>
      <c r="J527">
        <v>51.4</v>
      </c>
      <c r="K527">
        <v>10</v>
      </c>
      <c r="T527">
        <v>2</v>
      </c>
      <c r="U527">
        <v>1</v>
      </c>
      <c r="V527" t="s">
        <v>93</v>
      </c>
      <c r="W527" t="s">
        <v>892</v>
      </c>
      <c r="X527">
        <v>5</v>
      </c>
      <c r="Y527">
        <v>5</v>
      </c>
      <c r="Z527" t="s">
        <v>888</v>
      </c>
      <c r="AA527" t="s">
        <v>889</v>
      </c>
      <c r="AB527" t="s">
        <v>96</v>
      </c>
      <c r="AC527" t="s">
        <v>97</v>
      </c>
      <c r="AD527" t="s">
        <v>725</v>
      </c>
      <c r="AG527" t="s">
        <v>890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721</v>
      </c>
      <c r="B528">
        <v>9582</v>
      </c>
      <c r="C528">
        <v>4</v>
      </c>
      <c r="D528" t="s">
        <v>886</v>
      </c>
      <c r="E528" t="s">
        <v>887</v>
      </c>
      <c r="F528">
        <v>65</v>
      </c>
      <c r="G528">
        <v>18.690000000000001</v>
      </c>
      <c r="H528">
        <v>61.79</v>
      </c>
      <c r="I528">
        <v>15.7</v>
      </c>
      <c r="J528">
        <v>51.91</v>
      </c>
      <c r="K528">
        <v>2</v>
      </c>
      <c r="T528">
        <v>2</v>
      </c>
      <c r="U528">
        <v>1</v>
      </c>
      <c r="V528" t="s">
        <v>93</v>
      </c>
      <c r="W528" t="s">
        <v>893</v>
      </c>
      <c r="X528">
        <v>5</v>
      </c>
      <c r="Y528">
        <v>5</v>
      </c>
      <c r="Z528" t="s">
        <v>888</v>
      </c>
      <c r="AA528" t="s">
        <v>889</v>
      </c>
      <c r="AB528" t="s">
        <v>96</v>
      </c>
      <c r="AC528" t="s">
        <v>97</v>
      </c>
      <c r="AD528" t="s">
        <v>725</v>
      </c>
      <c r="AG528" t="s">
        <v>890</v>
      </c>
      <c r="AH528">
        <v>0</v>
      </c>
      <c r="AI528">
        <v>0</v>
      </c>
      <c r="AJ528">
        <v>0</v>
      </c>
      <c r="AK528">
        <v>0</v>
      </c>
      <c r="AL528">
        <v>0</v>
      </c>
    </row>
    <row r="529" spans="1:38" x14ac:dyDescent="0.3">
      <c r="A529" t="s">
        <v>721</v>
      </c>
      <c r="B529">
        <v>9582</v>
      </c>
      <c r="C529">
        <v>5</v>
      </c>
      <c r="D529" t="s">
        <v>886</v>
      </c>
      <c r="E529" t="s">
        <v>887</v>
      </c>
      <c r="F529">
        <v>65</v>
      </c>
      <c r="G529">
        <v>18.88</v>
      </c>
      <c r="H529">
        <v>62.44</v>
      </c>
      <c r="I529">
        <v>15.89</v>
      </c>
      <c r="J529">
        <v>52.56</v>
      </c>
      <c r="K529">
        <v>20</v>
      </c>
      <c r="T529">
        <v>2</v>
      </c>
      <c r="U529">
        <v>1</v>
      </c>
      <c r="V529" t="s">
        <v>93</v>
      </c>
      <c r="W529" t="s">
        <v>894</v>
      </c>
      <c r="X529">
        <v>5</v>
      </c>
      <c r="Y529">
        <v>5</v>
      </c>
      <c r="Z529" t="s">
        <v>888</v>
      </c>
      <c r="AA529" t="s">
        <v>889</v>
      </c>
      <c r="AB529" t="s">
        <v>96</v>
      </c>
      <c r="AC529" t="s">
        <v>97</v>
      </c>
      <c r="AD529" t="s">
        <v>725</v>
      </c>
      <c r="AG529" t="s">
        <v>890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721</v>
      </c>
      <c r="B530">
        <v>9582</v>
      </c>
      <c r="C530">
        <v>6</v>
      </c>
      <c r="D530" t="s">
        <v>886</v>
      </c>
      <c r="E530" t="s">
        <v>887</v>
      </c>
      <c r="F530">
        <v>65</v>
      </c>
      <c r="G530">
        <v>18.96</v>
      </c>
      <c r="H530">
        <v>62.71</v>
      </c>
      <c r="I530">
        <v>15.93</v>
      </c>
      <c r="J530">
        <v>52.69</v>
      </c>
      <c r="K530">
        <v>5</v>
      </c>
      <c r="T530">
        <v>2</v>
      </c>
      <c r="U530">
        <v>1</v>
      </c>
      <c r="V530" t="s">
        <v>93</v>
      </c>
      <c r="W530" t="s">
        <v>522</v>
      </c>
      <c r="X530">
        <v>5</v>
      </c>
      <c r="Y530">
        <v>5</v>
      </c>
      <c r="Z530" t="s">
        <v>888</v>
      </c>
      <c r="AA530" t="s">
        <v>889</v>
      </c>
      <c r="AB530" t="s">
        <v>96</v>
      </c>
      <c r="AC530" t="s">
        <v>97</v>
      </c>
      <c r="AD530" t="s">
        <v>725</v>
      </c>
      <c r="AG530" t="s">
        <v>890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721</v>
      </c>
      <c r="B531">
        <v>112449</v>
      </c>
      <c r="C531">
        <v>1</v>
      </c>
      <c r="D531" t="s">
        <v>895</v>
      </c>
      <c r="E531" t="s">
        <v>440</v>
      </c>
      <c r="F531">
        <v>28</v>
      </c>
      <c r="G531">
        <v>17.91</v>
      </c>
      <c r="H531">
        <v>59.22</v>
      </c>
      <c r="I531">
        <v>14.88</v>
      </c>
      <c r="J531">
        <v>49.21</v>
      </c>
      <c r="K531">
        <v>28</v>
      </c>
      <c r="T531">
        <v>1</v>
      </c>
      <c r="U531">
        <v>1</v>
      </c>
      <c r="V531" t="s">
        <v>93</v>
      </c>
      <c r="W531">
        <v>59</v>
      </c>
      <c r="X531">
        <v>9</v>
      </c>
      <c r="Y531">
        <v>9</v>
      </c>
      <c r="Z531" t="s">
        <v>896</v>
      </c>
      <c r="AA531" t="s">
        <v>897</v>
      </c>
      <c r="AB531" t="s">
        <v>96</v>
      </c>
      <c r="AC531" t="s">
        <v>97</v>
      </c>
      <c r="AD531" t="s">
        <v>725</v>
      </c>
      <c r="AG531" t="s">
        <v>898</v>
      </c>
      <c r="AH531">
        <v>0</v>
      </c>
      <c r="AI531">
        <v>238</v>
      </c>
      <c r="AJ531">
        <v>45</v>
      </c>
      <c r="AK531">
        <v>21</v>
      </c>
      <c r="AL531">
        <v>0.75</v>
      </c>
    </row>
    <row r="532" spans="1:38" x14ac:dyDescent="0.3">
      <c r="A532" t="s">
        <v>721</v>
      </c>
      <c r="B532">
        <v>2426</v>
      </c>
      <c r="C532">
        <v>1</v>
      </c>
      <c r="D532" t="s">
        <v>899</v>
      </c>
      <c r="E532" t="s">
        <v>791</v>
      </c>
      <c r="F532">
        <v>400</v>
      </c>
      <c r="G532">
        <v>27.31</v>
      </c>
      <c r="H532">
        <v>90.31</v>
      </c>
      <c r="I532">
        <v>22.46</v>
      </c>
      <c r="J532">
        <v>74.260000000000005</v>
      </c>
      <c r="K532">
        <v>80</v>
      </c>
      <c r="T532">
        <v>3</v>
      </c>
      <c r="U532">
        <v>1</v>
      </c>
      <c r="V532" t="s">
        <v>93</v>
      </c>
      <c r="W532">
        <v>90</v>
      </c>
      <c r="X532">
        <v>20</v>
      </c>
      <c r="Y532">
        <v>20</v>
      </c>
      <c r="Z532" t="s">
        <v>900</v>
      </c>
      <c r="AA532" t="s">
        <v>901</v>
      </c>
      <c r="AB532" t="s">
        <v>96</v>
      </c>
      <c r="AC532" t="s">
        <v>97</v>
      </c>
      <c r="AD532" t="s">
        <v>725</v>
      </c>
      <c r="AG532" t="s">
        <v>902</v>
      </c>
      <c r="AH532">
        <v>0</v>
      </c>
      <c r="AI532">
        <v>592</v>
      </c>
      <c r="AJ532">
        <v>37</v>
      </c>
      <c r="AK532">
        <v>167</v>
      </c>
      <c r="AL532">
        <v>0.42</v>
      </c>
    </row>
    <row r="533" spans="1:38" x14ac:dyDescent="0.3">
      <c r="A533" t="s">
        <v>721</v>
      </c>
      <c r="B533">
        <v>2426</v>
      </c>
      <c r="C533">
        <v>2</v>
      </c>
      <c r="D533" t="s">
        <v>899</v>
      </c>
      <c r="E533" t="s">
        <v>791</v>
      </c>
      <c r="F533">
        <v>400</v>
      </c>
      <c r="G533">
        <v>30.3</v>
      </c>
      <c r="H533">
        <v>100.18</v>
      </c>
      <c r="I533">
        <v>25.49</v>
      </c>
      <c r="J533">
        <v>84.27</v>
      </c>
      <c r="K533">
        <v>320</v>
      </c>
      <c r="T533">
        <v>3</v>
      </c>
      <c r="U533">
        <v>2</v>
      </c>
      <c r="V533" t="s">
        <v>93</v>
      </c>
      <c r="W533">
        <v>100</v>
      </c>
      <c r="X533">
        <v>20</v>
      </c>
      <c r="Y533">
        <v>20</v>
      </c>
      <c r="Z533" t="s">
        <v>900</v>
      </c>
      <c r="AA533" t="s">
        <v>901</v>
      </c>
      <c r="AB533" t="s">
        <v>96</v>
      </c>
      <c r="AC533" t="s">
        <v>97</v>
      </c>
      <c r="AD533" t="s">
        <v>725</v>
      </c>
      <c r="AG533" t="s">
        <v>902</v>
      </c>
      <c r="AH533">
        <v>0</v>
      </c>
      <c r="AI533">
        <v>592</v>
      </c>
      <c r="AJ533">
        <v>37</v>
      </c>
      <c r="AK533">
        <v>167</v>
      </c>
      <c r="AL533">
        <v>0.42</v>
      </c>
    </row>
    <row r="534" spans="1:38" x14ac:dyDescent="0.3">
      <c r="A534" t="s">
        <v>721</v>
      </c>
      <c r="B534">
        <v>8140</v>
      </c>
      <c r="C534">
        <v>1</v>
      </c>
      <c r="D534" t="s">
        <v>903</v>
      </c>
      <c r="E534" t="s">
        <v>904</v>
      </c>
      <c r="F534">
        <v>186</v>
      </c>
      <c r="G534">
        <v>18.59</v>
      </c>
      <c r="H534">
        <v>61.47</v>
      </c>
      <c r="I534">
        <v>13.46</v>
      </c>
      <c r="J534">
        <v>44.5</v>
      </c>
      <c r="K534">
        <v>93</v>
      </c>
      <c r="T534">
        <v>2</v>
      </c>
      <c r="U534">
        <v>1</v>
      </c>
      <c r="V534" t="s">
        <v>138</v>
      </c>
      <c r="W534">
        <v>61</v>
      </c>
      <c r="X534">
        <v>15</v>
      </c>
      <c r="Y534">
        <v>11</v>
      </c>
      <c r="Z534" t="s">
        <v>905</v>
      </c>
      <c r="AA534" t="s">
        <v>906</v>
      </c>
      <c r="AB534" t="s">
        <v>96</v>
      </c>
      <c r="AC534" t="s">
        <v>97</v>
      </c>
      <c r="AD534" t="s">
        <v>725</v>
      </c>
      <c r="AG534" t="s">
        <v>907</v>
      </c>
      <c r="AH534">
        <v>0</v>
      </c>
      <c r="AI534">
        <v>301</v>
      </c>
      <c r="AJ534">
        <v>24</v>
      </c>
      <c r="AK534">
        <v>57</v>
      </c>
      <c r="AL534">
        <v>0.31</v>
      </c>
    </row>
    <row r="535" spans="1:38" x14ac:dyDescent="0.3">
      <c r="A535" t="s">
        <v>721</v>
      </c>
      <c r="B535">
        <v>8140</v>
      </c>
      <c r="C535">
        <v>2</v>
      </c>
      <c r="D535" t="s">
        <v>903</v>
      </c>
      <c r="E535" t="s">
        <v>904</v>
      </c>
      <c r="F535">
        <v>186</v>
      </c>
      <c r="G535">
        <v>24.9</v>
      </c>
      <c r="H535">
        <v>82.32</v>
      </c>
      <c r="I535">
        <v>18.02</v>
      </c>
      <c r="J535">
        <v>59.58</v>
      </c>
      <c r="K535">
        <v>93</v>
      </c>
      <c r="T535">
        <v>3</v>
      </c>
      <c r="U535">
        <v>1</v>
      </c>
      <c r="V535" t="s">
        <v>138</v>
      </c>
      <c r="W535">
        <v>82</v>
      </c>
      <c r="X535">
        <v>15</v>
      </c>
      <c r="Y535">
        <v>11</v>
      </c>
      <c r="Z535" t="s">
        <v>905</v>
      </c>
      <c r="AA535" t="s">
        <v>906</v>
      </c>
      <c r="AB535" t="s">
        <v>96</v>
      </c>
      <c r="AC535" t="s">
        <v>97</v>
      </c>
      <c r="AD535" t="s">
        <v>725</v>
      </c>
      <c r="AG535" t="s">
        <v>907</v>
      </c>
      <c r="AH535">
        <v>0</v>
      </c>
      <c r="AI535">
        <v>301</v>
      </c>
      <c r="AJ535">
        <v>24</v>
      </c>
      <c r="AK535">
        <v>57</v>
      </c>
      <c r="AL535">
        <v>0.31</v>
      </c>
    </row>
    <row r="536" spans="1:38" x14ac:dyDescent="0.3">
      <c r="A536" t="s">
        <v>721</v>
      </c>
      <c r="B536">
        <v>9475</v>
      </c>
      <c r="C536">
        <v>1</v>
      </c>
      <c r="D536" t="s">
        <v>908</v>
      </c>
      <c r="E536" t="s">
        <v>527</v>
      </c>
      <c r="F536">
        <v>150</v>
      </c>
      <c r="G536">
        <v>22.18</v>
      </c>
      <c r="H536">
        <v>73.349999999999994</v>
      </c>
      <c r="I536">
        <v>14.81</v>
      </c>
      <c r="J536">
        <v>48.96</v>
      </c>
      <c r="K536">
        <v>42</v>
      </c>
      <c r="T536">
        <v>3</v>
      </c>
      <c r="U536">
        <v>1</v>
      </c>
      <c r="V536" t="s">
        <v>138</v>
      </c>
      <c r="W536">
        <v>73</v>
      </c>
      <c r="X536">
        <v>9</v>
      </c>
      <c r="Y536">
        <v>7</v>
      </c>
      <c r="Z536" t="s">
        <v>909</v>
      </c>
      <c r="AA536" t="s">
        <v>910</v>
      </c>
      <c r="AB536" t="s">
        <v>96</v>
      </c>
      <c r="AC536" t="s">
        <v>97</v>
      </c>
      <c r="AD536" t="s">
        <v>725</v>
      </c>
      <c r="AG536" t="s">
        <v>911</v>
      </c>
      <c r="AH536">
        <v>0</v>
      </c>
      <c r="AI536">
        <v>238</v>
      </c>
      <c r="AJ536">
        <v>29</v>
      </c>
      <c r="AK536">
        <v>48</v>
      </c>
      <c r="AL536">
        <v>0.32</v>
      </c>
    </row>
    <row r="537" spans="1:38" x14ac:dyDescent="0.3">
      <c r="A537" t="s">
        <v>721</v>
      </c>
      <c r="B537">
        <v>9475</v>
      </c>
      <c r="C537">
        <v>2</v>
      </c>
      <c r="D537" t="s">
        <v>908</v>
      </c>
      <c r="E537" t="s">
        <v>527</v>
      </c>
      <c r="F537">
        <v>150</v>
      </c>
      <c r="G537">
        <v>26.46</v>
      </c>
      <c r="H537">
        <v>87.48</v>
      </c>
      <c r="I537">
        <v>18.07</v>
      </c>
      <c r="J537">
        <v>59.76</v>
      </c>
      <c r="K537">
        <v>108</v>
      </c>
      <c r="T537">
        <v>3</v>
      </c>
      <c r="U537">
        <v>1</v>
      </c>
      <c r="V537" t="s">
        <v>138</v>
      </c>
      <c r="W537">
        <v>87</v>
      </c>
      <c r="X537">
        <v>9</v>
      </c>
      <c r="Y537">
        <v>7</v>
      </c>
      <c r="Z537" t="s">
        <v>909</v>
      </c>
      <c r="AA537" t="s">
        <v>910</v>
      </c>
      <c r="AB537" t="s">
        <v>96</v>
      </c>
      <c r="AC537" t="s">
        <v>97</v>
      </c>
      <c r="AD537" t="s">
        <v>725</v>
      </c>
      <c r="AG537" t="s">
        <v>911</v>
      </c>
      <c r="AH537">
        <v>0</v>
      </c>
      <c r="AI537">
        <v>238</v>
      </c>
      <c r="AJ537">
        <v>29</v>
      </c>
      <c r="AK537">
        <v>48</v>
      </c>
      <c r="AL537">
        <v>0.32</v>
      </c>
    </row>
    <row r="538" spans="1:38" x14ac:dyDescent="0.3">
      <c r="A538" t="s">
        <v>721</v>
      </c>
      <c r="B538">
        <v>8541</v>
      </c>
      <c r="C538">
        <v>1</v>
      </c>
      <c r="D538" t="s">
        <v>912</v>
      </c>
      <c r="E538" t="s">
        <v>634</v>
      </c>
      <c r="F538">
        <v>179</v>
      </c>
      <c r="G538">
        <v>25.19</v>
      </c>
      <c r="H538">
        <v>83.29</v>
      </c>
      <c r="I538">
        <v>17.95</v>
      </c>
      <c r="J538">
        <v>59.34</v>
      </c>
      <c r="K538">
        <v>179</v>
      </c>
      <c r="T538">
        <v>3</v>
      </c>
      <c r="U538">
        <v>2</v>
      </c>
      <c r="V538" t="s">
        <v>138</v>
      </c>
      <c r="W538">
        <v>83</v>
      </c>
      <c r="X538">
        <v>16</v>
      </c>
      <c r="Y538">
        <v>8</v>
      </c>
      <c r="Z538" t="s">
        <v>913</v>
      </c>
      <c r="AA538" t="s">
        <v>914</v>
      </c>
      <c r="AB538" t="s">
        <v>96</v>
      </c>
      <c r="AC538" t="s">
        <v>97</v>
      </c>
      <c r="AD538" t="s">
        <v>725</v>
      </c>
      <c r="AG538" t="s">
        <v>915</v>
      </c>
      <c r="AH538">
        <v>0</v>
      </c>
      <c r="AI538">
        <v>254</v>
      </c>
      <c r="AJ538">
        <v>29</v>
      </c>
      <c r="AK538">
        <v>148</v>
      </c>
      <c r="AL538">
        <v>0.83</v>
      </c>
    </row>
    <row r="539" spans="1:38" x14ac:dyDescent="0.3">
      <c r="A539" t="s">
        <v>721</v>
      </c>
      <c r="B539">
        <v>11061</v>
      </c>
      <c r="C539">
        <v>1</v>
      </c>
      <c r="D539" t="s">
        <v>269</v>
      </c>
      <c r="E539" t="s">
        <v>916</v>
      </c>
      <c r="F539">
        <v>150</v>
      </c>
      <c r="G539">
        <v>21.05</v>
      </c>
      <c r="H539">
        <v>69.599999999999994</v>
      </c>
      <c r="I539">
        <v>19.2</v>
      </c>
      <c r="J539">
        <v>63.49</v>
      </c>
      <c r="K539">
        <v>40</v>
      </c>
      <c r="T539">
        <v>3</v>
      </c>
      <c r="U539">
        <v>1</v>
      </c>
      <c r="V539" t="s">
        <v>93</v>
      </c>
      <c r="W539">
        <v>69</v>
      </c>
      <c r="X539">
        <v>5</v>
      </c>
      <c r="Y539">
        <v>5</v>
      </c>
      <c r="Z539" t="s">
        <v>917</v>
      </c>
      <c r="AA539" t="s">
        <v>918</v>
      </c>
      <c r="AB539" t="s">
        <v>96</v>
      </c>
      <c r="AC539" t="s">
        <v>97</v>
      </c>
      <c r="AD539" t="s">
        <v>725</v>
      </c>
      <c r="AG539" t="s">
        <v>919</v>
      </c>
      <c r="AH539">
        <v>0</v>
      </c>
      <c r="AI539">
        <v>126</v>
      </c>
      <c r="AJ539">
        <v>26</v>
      </c>
      <c r="AK539">
        <v>0</v>
      </c>
      <c r="AL539">
        <v>0</v>
      </c>
    </row>
    <row r="540" spans="1:38" x14ac:dyDescent="0.3">
      <c r="A540" t="s">
        <v>721</v>
      </c>
      <c r="B540">
        <v>11061</v>
      </c>
      <c r="C540">
        <v>2</v>
      </c>
      <c r="D540" t="s">
        <v>269</v>
      </c>
      <c r="E540" t="s">
        <v>916</v>
      </c>
      <c r="F540">
        <v>150</v>
      </c>
      <c r="G540">
        <v>23.54</v>
      </c>
      <c r="H540">
        <v>77.819999999999993</v>
      </c>
      <c r="I540">
        <v>21.69</v>
      </c>
      <c r="J540">
        <v>71.709999999999994</v>
      </c>
      <c r="K540">
        <v>110</v>
      </c>
      <c r="T540">
        <v>3</v>
      </c>
      <c r="U540">
        <v>1</v>
      </c>
      <c r="V540" t="s">
        <v>93</v>
      </c>
      <c r="W540">
        <v>77</v>
      </c>
      <c r="X540">
        <v>5</v>
      </c>
      <c r="Y540">
        <v>5</v>
      </c>
      <c r="Z540" t="s">
        <v>917</v>
      </c>
      <c r="AA540" t="s">
        <v>918</v>
      </c>
      <c r="AB540" t="s">
        <v>96</v>
      </c>
      <c r="AC540" t="s">
        <v>97</v>
      </c>
      <c r="AD540" t="s">
        <v>725</v>
      </c>
      <c r="AG540" t="s">
        <v>919</v>
      </c>
      <c r="AH540">
        <v>0</v>
      </c>
      <c r="AI540">
        <v>126</v>
      </c>
      <c r="AJ540">
        <v>26</v>
      </c>
      <c r="AK540">
        <v>0</v>
      </c>
      <c r="AL540">
        <v>0</v>
      </c>
    </row>
    <row r="541" spans="1:38" x14ac:dyDescent="0.3">
      <c r="A541" t="s">
        <v>721</v>
      </c>
      <c r="B541">
        <v>2439</v>
      </c>
      <c r="C541">
        <v>1</v>
      </c>
      <c r="D541" t="s">
        <v>920</v>
      </c>
      <c r="E541" t="s">
        <v>921</v>
      </c>
      <c r="F541">
        <v>840</v>
      </c>
      <c r="G541">
        <v>28.53</v>
      </c>
      <c r="H541">
        <v>94.33</v>
      </c>
      <c r="I541">
        <v>23.6</v>
      </c>
      <c r="J541">
        <v>78.040000000000006</v>
      </c>
      <c r="K541">
        <v>240</v>
      </c>
      <c r="T541">
        <v>3</v>
      </c>
      <c r="U541">
        <v>2</v>
      </c>
      <c r="V541" t="s">
        <v>93</v>
      </c>
      <c r="W541">
        <v>94</v>
      </c>
      <c r="X541">
        <v>15</v>
      </c>
      <c r="Y541">
        <v>15</v>
      </c>
      <c r="Z541" t="s">
        <v>922</v>
      </c>
      <c r="AA541" t="s">
        <v>923</v>
      </c>
      <c r="AB541" t="s">
        <v>96</v>
      </c>
      <c r="AC541" t="s">
        <v>97</v>
      </c>
      <c r="AD541" t="s">
        <v>725</v>
      </c>
      <c r="AG541" t="s">
        <v>924</v>
      </c>
      <c r="AH541">
        <v>0</v>
      </c>
      <c r="AI541">
        <v>225</v>
      </c>
      <c r="AJ541">
        <v>17</v>
      </c>
      <c r="AK541">
        <v>537</v>
      </c>
      <c r="AL541">
        <v>0.64</v>
      </c>
    </row>
    <row r="542" spans="1:38" x14ac:dyDescent="0.3">
      <c r="A542" t="s">
        <v>721</v>
      </c>
      <c r="B542">
        <v>2439</v>
      </c>
      <c r="C542">
        <v>2</v>
      </c>
      <c r="D542" t="s">
        <v>920</v>
      </c>
      <c r="E542" t="s">
        <v>921</v>
      </c>
      <c r="F542">
        <v>840</v>
      </c>
      <c r="G542">
        <v>30.74</v>
      </c>
      <c r="H542">
        <v>101.65</v>
      </c>
      <c r="I542">
        <v>25.68</v>
      </c>
      <c r="J542">
        <v>84.91</v>
      </c>
      <c r="K542">
        <v>120</v>
      </c>
      <c r="T542">
        <v>3</v>
      </c>
      <c r="U542">
        <v>2</v>
      </c>
      <c r="V542" t="s">
        <v>93</v>
      </c>
      <c r="W542" t="s">
        <v>370</v>
      </c>
      <c r="X542">
        <v>15</v>
      </c>
      <c r="Y542">
        <v>15</v>
      </c>
      <c r="Z542" t="s">
        <v>922</v>
      </c>
      <c r="AA542" t="s">
        <v>923</v>
      </c>
      <c r="AB542" t="s">
        <v>96</v>
      </c>
      <c r="AC542" t="s">
        <v>97</v>
      </c>
      <c r="AD542" t="s">
        <v>725</v>
      </c>
      <c r="AG542" t="s">
        <v>924</v>
      </c>
      <c r="AH542">
        <v>0</v>
      </c>
      <c r="AI542">
        <v>225</v>
      </c>
      <c r="AJ542">
        <v>17</v>
      </c>
      <c r="AK542">
        <v>537</v>
      </c>
      <c r="AL542">
        <v>0.64</v>
      </c>
    </row>
    <row r="543" spans="1:38" x14ac:dyDescent="0.3">
      <c r="A543" t="s">
        <v>721</v>
      </c>
      <c r="B543">
        <v>2439</v>
      </c>
      <c r="C543">
        <v>3</v>
      </c>
      <c r="D543" t="s">
        <v>920</v>
      </c>
      <c r="E543" t="s">
        <v>921</v>
      </c>
      <c r="F543">
        <v>840</v>
      </c>
      <c r="G543">
        <v>30.9</v>
      </c>
      <c r="H543">
        <v>102.18</v>
      </c>
      <c r="I543">
        <v>25.7</v>
      </c>
      <c r="J543">
        <v>84.99</v>
      </c>
      <c r="K543">
        <v>480</v>
      </c>
      <c r="T543">
        <v>3</v>
      </c>
      <c r="U543">
        <v>2</v>
      </c>
      <c r="V543" t="s">
        <v>93</v>
      </c>
      <c r="W543" t="s">
        <v>372</v>
      </c>
      <c r="X543">
        <v>15</v>
      </c>
      <c r="Y543">
        <v>15</v>
      </c>
      <c r="Z543" t="s">
        <v>922</v>
      </c>
      <c r="AA543" t="s">
        <v>923</v>
      </c>
      <c r="AB543" t="s">
        <v>96</v>
      </c>
      <c r="AC543" t="s">
        <v>97</v>
      </c>
      <c r="AD543" t="s">
        <v>725</v>
      </c>
      <c r="AG543" t="s">
        <v>924</v>
      </c>
      <c r="AH543">
        <v>0</v>
      </c>
      <c r="AI543">
        <v>225</v>
      </c>
      <c r="AJ543">
        <v>17</v>
      </c>
      <c r="AK543">
        <v>537</v>
      </c>
      <c r="AL543">
        <v>0.64</v>
      </c>
    </row>
    <row r="544" spans="1:38" x14ac:dyDescent="0.3">
      <c r="A544" t="s">
        <v>721</v>
      </c>
      <c r="B544">
        <v>11780</v>
      </c>
      <c r="C544">
        <v>1</v>
      </c>
      <c r="D544" t="s">
        <v>925</v>
      </c>
      <c r="E544" t="s">
        <v>583</v>
      </c>
      <c r="F544">
        <v>119</v>
      </c>
      <c r="G544">
        <v>32.93</v>
      </c>
      <c r="H544">
        <v>108.86</v>
      </c>
      <c r="I544">
        <v>17.899999999999999</v>
      </c>
      <c r="J544">
        <v>59.18</v>
      </c>
      <c r="K544">
        <v>104</v>
      </c>
      <c r="T544">
        <v>3</v>
      </c>
      <c r="U544">
        <v>1</v>
      </c>
      <c r="V544" t="s">
        <v>93</v>
      </c>
      <c r="W544">
        <v>108</v>
      </c>
      <c r="X544">
        <v>15</v>
      </c>
      <c r="Y544">
        <v>10</v>
      </c>
      <c r="Z544" t="s">
        <v>926</v>
      </c>
      <c r="AA544" t="s">
        <v>927</v>
      </c>
      <c r="AB544" t="s">
        <v>96</v>
      </c>
      <c r="AC544" t="s">
        <v>97</v>
      </c>
      <c r="AD544" t="s">
        <v>725</v>
      </c>
      <c r="AG544" t="s">
        <v>928</v>
      </c>
      <c r="AH544">
        <v>0</v>
      </c>
      <c r="AI544">
        <v>322</v>
      </c>
      <c r="AJ544">
        <v>27</v>
      </c>
      <c r="AK544">
        <v>88</v>
      </c>
      <c r="AL544">
        <v>0.74</v>
      </c>
    </row>
    <row r="545" spans="1:38" x14ac:dyDescent="0.3">
      <c r="A545" t="s">
        <v>721</v>
      </c>
      <c r="B545">
        <v>11780</v>
      </c>
      <c r="C545">
        <v>2</v>
      </c>
      <c r="D545" t="s">
        <v>925</v>
      </c>
      <c r="E545" t="s">
        <v>583</v>
      </c>
      <c r="F545">
        <v>119</v>
      </c>
      <c r="G545">
        <v>36.17</v>
      </c>
      <c r="H545">
        <v>119.59</v>
      </c>
      <c r="I545">
        <v>19.57</v>
      </c>
      <c r="J545">
        <v>64.7</v>
      </c>
      <c r="K545">
        <v>15</v>
      </c>
      <c r="T545">
        <v>3</v>
      </c>
      <c r="U545">
        <v>2</v>
      </c>
      <c r="V545" t="s">
        <v>93</v>
      </c>
      <c r="W545">
        <v>119</v>
      </c>
      <c r="X545">
        <v>15</v>
      </c>
      <c r="Y545">
        <v>10</v>
      </c>
      <c r="Z545" t="s">
        <v>926</v>
      </c>
      <c r="AA545" t="s">
        <v>927</v>
      </c>
      <c r="AB545" t="s">
        <v>96</v>
      </c>
      <c r="AC545" t="s">
        <v>97</v>
      </c>
      <c r="AD545" t="s">
        <v>725</v>
      </c>
      <c r="AG545" t="s">
        <v>928</v>
      </c>
      <c r="AH545">
        <v>0</v>
      </c>
      <c r="AI545">
        <v>322</v>
      </c>
      <c r="AJ545">
        <v>27</v>
      </c>
      <c r="AK545">
        <v>88</v>
      </c>
      <c r="AL545">
        <v>0.74</v>
      </c>
    </row>
    <row r="546" spans="1:38" x14ac:dyDescent="0.3">
      <c r="A546" t="s">
        <v>721</v>
      </c>
      <c r="B546">
        <v>12004</v>
      </c>
      <c r="C546">
        <v>1</v>
      </c>
      <c r="D546" t="s">
        <v>929</v>
      </c>
      <c r="E546" t="s">
        <v>930</v>
      </c>
      <c r="F546">
        <v>32</v>
      </c>
      <c r="G546">
        <v>24.75</v>
      </c>
      <c r="H546">
        <v>81.819999999999993</v>
      </c>
      <c r="I546">
        <v>20.12</v>
      </c>
      <c r="J546">
        <v>66.52</v>
      </c>
      <c r="K546">
        <v>4</v>
      </c>
      <c r="T546">
        <v>3</v>
      </c>
      <c r="U546">
        <v>2</v>
      </c>
      <c r="V546" t="s">
        <v>93</v>
      </c>
      <c r="W546">
        <v>81</v>
      </c>
      <c r="X546">
        <v>8</v>
      </c>
      <c r="Y546">
        <v>8</v>
      </c>
      <c r="Z546" t="s">
        <v>931</v>
      </c>
      <c r="AA546" t="s">
        <v>932</v>
      </c>
      <c r="AB546" t="s">
        <v>96</v>
      </c>
      <c r="AC546" t="s">
        <v>97</v>
      </c>
      <c r="AD546" t="s">
        <v>725</v>
      </c>
      <c r="AG546" t="s">
        <v>933</v>
      </c>
      <c r="AH546">
        <v>0</v>
      </c>
      <c r="AI546">
        <v>235</v>
      </c>
      <c r="AJ546">
        <v>30</v>
      </c>
      <c r="AK546">
        <v>28</v>
      </c>
      <c r="AL546">
        <v>0.88</v>
      </c>
    </row>
    <row r="547" spans="1:38" x14ac:dyDescent="0.3">
      <c r="A547" t="s">
        <v>721</v>
      </c>
      <c r="B547">
        <v>12004</v>
      </c>
      <c r="C547">
        <v>2</v>
      </c>
      <c r="D547" t="s">
        <v>929</v>
      </c>
      <c r="E547" t="s">
        <v>930</v>
      </c>
      <c r="F547">
        <v>32</v>
      </c>
      <c r="G547">
        <v>29.7</v>
      </c>
      <c r="H547">
        <v>98.21</v>
      </c>
      <c r="I547">
        <v>24.24</v>
      </c>
      <c r="J547">
        <v>80.16</v>
      </c>
      <c r="K547">
        <v>4</v>
      </c>
      <c r="T547">
        <v>3</v>
      </c>
      <c r="U547">
        <v>2</v>
      </c>
      <c r="V547" t="s">
        <v>93</v>
      </c>
      <c r="W547">
        <v>98</v>
      </c>
      <c r="X547">
        <v>8</v>
      </c>
      <c r="Y547">
        <v>8</v>
      </c>
      <c r="Z547" t="s">
        <v>931</v>
      </c>
      <c r="AA547" t="s">
        <v>932</v>
      </c>
      <c r="AB547" t="s">
        <v>96</v>
      </c>
      <c r="AC547" t="s">
        <v>97</v>
      </c>
      <c r="AD547" t="s">
        <v>725</v>
      </c>
      <c r="AG547" t="s">
        <v>933</v>
      </c>
      <c r="AH547">
        <v>0</v>
      </c>
      <c r="AI547">
        <v>235</v>
      </c>
      <c r="AJ547">
        <v>30</v>
      </c>
      <c r="AK547">
        <v>28</v>
      </c>
      <c r="AL547">
        <v>0.88</v>
      </c>
    </row>
    <row r="548" spans="1:38" x14ac:dyDescent="0.3">
      <c r="A548" t="s">
        <v>721</v>
      </c>
      <c r="B548">
        <v>12004</v>
      </c>
      <c r="C548">
        <v>3</v>
      </c>
      <c r="D548" t="s">
        <v>929</v>
      </c>
      <c r="E548" t="s">
        <v>930</v>
      </c>
      <c r="F548">
        <v>32</v>
      </c>
      <c r="G548">
        <v>31.19</v>
      </c>
      <c r="H548">
        <v>103.13</v>
      </c>
      <c r="I548">
        <v>25.44</v>
      </c>
      <c r="J548">
        <v>84.12</v>
      </c>
      <c r="K548">
        <v>24</v>
      </c>
      <c r="T548">
        <v>3</v>
      </c>
      <c r="U548">
        <v>2</v>
      </c>
      <c r="V548" t="s">
        <v>93</v>
      </c>
      <c r="W548">
        <v>103</v>
      </c>
      <c r="X548">
        <v>8</v>
      </c>
      <c r="Y548">
        <v>8</v>
      </c>
      <c r="Z548" t="s">
        <v>931</v>
      </c>
      <c r="AA548" t="s">
        <v>932</v>
      </c>
      <c r="AB548" t="s">
        <v>96</v>
      </c>
      <c r="AC548" t="s">
        <v>97</v>
      </c>
      <c r="AD548" t="s">
        <v>725</v>
      </c>
      <c r="AG548" t="s">
        <v>933</v>
      </c>
      <c r="AH548">
        <v>0</v>
      </c>
      <c r="AI548">
        <v>235</v>
      </c>
      <c r="AJ548">
        <v>30</v>
      </c>
      <c r="AK548">
        <v>28</v>
      </c>
      <c r="AL548">
        <v>0.88</v>
      </c>
    </row>
    <row r="549" spans="1:38" x14ac:dyDescent="0.3">
      <c r="A549" t="s">
        <v>721</v>
      </c>
      <c r="B549">
        <v>2429</v>
      </c>
      <c r="C549">
        <v>1</v>
      </c>
      <c r="D549" t="s">
        <v>934</v>
      </c>
      <c r="E549" t="s">
        <v>935</v>
      </c>
      <c r="F549">
        <v>454</v>
      </c>
      <c r="G549">
        <v>25.44</v>
      </c>
      <c r="H549">
        <v>84.11</v>
      </c>
      <c r="I549">
        <v>18.11</v>
      </c>
      <c r="J549">
        <v>59.88</v>
      </c>
      <c r="K549">
        <v>216</v>
      </c>
      <c r="T549">
        <v>2</v>
      </c>
      <c r="U549">
        <v>1</v>
      </c>
      <c r="V549" t="s">
        <v>138</v>
      </c>
      <c r="W549">
        <v>84</v>
      </c>
      <c r="X549">
        <v>15</v>
      </c>
      <c r="Y549">
        <v>9</v>
      </c>
      <c r="Z549" t="s">
        <v>936</v>
      </c>
      <c r="AA549" t="s">
        <v>937</v>
      </c>
      <c r="AB549" t="s">
        <v>96</v>
      </c>
      <c r="AC549" t="s">
        <v>97</v>
      </c>
      <c r="AD549" t="s">
        <v>725</v>
      </c>
      <c r="AG549" t="s">
        <v>938</v>
      </c>
      <c r="AH549">
        <v>0</v>
      </c>
      <c r="AI549">
        <v>256</v>
      </c>
      <c r="AJ549">
        <v>23</v>
      </c>
      <c r="AK549">
        <v>292</v>
      </c>
      <c r="AL549">
        <v>0.64</v>
      </c>
    </row>
    <row r="550" spans="1:38" x14ac:dyDescent="0.3">
      <c r="A550" t="s">
        <v>721</v>
      </c>
      <c r="B550">
        <v>2429</v>
      </c>
      <c r="C550">
        <v>2</v>
      </c>
      <c r="D550" t="s">
        <v>934</v>
      </c>
      <c r="E550" t="s">
        <v>935</v>
      </c>
      <c r="F550">
        <v>454</v>
      </c>
      <c r="G550">
        <v>30.97</v>
      </c>
      <c r="H550">
        <v>102.41</v>
      </c>
      <c r="I550">
        <v>25.65</v>
      </c>
      <c r="J550">
        <v>84.81</v>
      </c>
      <c r="K550">
        <v>30</v>
      </c>
      <c r="T550">
        <v>3</v>
      </c>
      <c r="U550">
        <v>2</v>
      </c>
      <c r="V550" t="s">
        <v>93</v>
      </c>
      <c r="W550">
        <v>102</v>
      </c>
      <c r="X550">
        <v>15</v>
      </c>
      <c r="Y550">
        <v>9</v>
      </c>
      <c r="Z550" t="s">
        <v>936</v>
      </c>
      <c r="AA550" t="s">
        <v>937</v>
      </c>
      <c r="AB550" t="s">
        <v>96</v>
      </c>
      <c r="AC550" t="s">
        <v>97</v>
      </c>
      <c r="AD550" t="s">
        <v>725</v>
      </c>
      <c r="AG550" t="s">
        <v>938</v>
      </c>
      <c r="AH550">
        <v>0</v>
      </c>
      <c r="AI550">
        <v>256</v>
      </c>
      <c r="AJ550">
        <v>23</v>
      </c>
      <c r="AK550">
        <v>292</v>
      </c>
      <c r="AL550">
        <v>0.64</v>
      </c>
    </row>
    <row r="551" spans="1:38" x14ac:dyDescent="0.3">
      <c r="A551" t="s">
        <v>721</v>
      </c>
      <c r="B551">
        <v>2429</v>
      </c>
      <c r="C551">
        <v>3</v>
      </c>
      <c r="D551" t="s">
        <v>934</v>
      </c>
      <c r="E551" t="s">
        <v>935</v>
      </c>
      <c r="F551">
        <v>454</v>
      </c>
      <c r="G551">
        <v>31.77</v>
      </c>
      <c r="H551">
        <v>105.04</v>
      </c>
      <c r="I551">
        <v>25.65</v>
      </c>
      <c r="J551">
        <v>84.81</v>
      </c>
      <c r="K551">
        <v>182</v>
      </c>
      <c r="T551">
        <v>3</v>
      </c>
      <c r="U551">
        <v>2</v>
      </c>
      <c r="V551" t="s">
        <v>93</v>
      </c>
      <c r="W551" t="s">
        <v>939</v>
      </c>
      <c r="X551">
        <v>15</v>
      </c>
      <c r="Y551">
        <v>9</v>
      </c>
      <c r="Z551" t="s">
        <v>936</v>
      </c>
      <c r="AA551" t="s">
        <v>937</v>
      </c>
      <c r="AB551" t="s">
        <v>96</v>
      </c>
      <c r="AC551" t="s">
        <v>97</v>
      </c>
      <c r="AD551" t="s">
        <v>725</v>
      </c>
      <c r="AG551" t="s">
        <v>938</v>
      </c>
      <c r="AH551">
        <v>0</v>
      </c>
      <c r="AI551">
        <v>256</v>
      </c>
      <c r="AJ551">
        <v>23</v>
      </c>
      <c r="AK551">
        <v>292</v>
      </c>
      <c r="AL551">
        <v>0.64</v>
      </c>
    </row>
    <row r="552" spans="1:38" x14ac:dyDescent="0.3">
      <c r="A552" t="s">
        <v>721</v>
      </c>
      <c r="B552">
        <v>2429</v>
      </c>
      <c r="C552">
        <v>4</v>
      </c>
      <c r="D552" t="s">
        <v>934</v>
      </c>
      <c r="E552" t="s">
        <v>935</v>
      </c>
      <c r="F552">
        <v>454</v>
      </c>
      <c r="G552">
        <v>31.85</v>
      </c>
      <c r="H552">
        <v>105.3</v>
      </c>
      <c r="I552">
        <v>25.7</v>
      </c>
      <c r="J552">
        <v>84.96</v>
      </c>
      <c r="K552">
        <v>26</v>
      </c>
      <c r="T552">
        <v>3</v>
      </c>
      <c r="U552">
        <v>2</v>
      </c>
      <c r="V552" t="s">
        <v>93</v>
      </c>
      <c r="W552" t="s">
        <v>862</v>
      </c>
      <c r="X552">
        <v>15</v>
      </c>
      <c r="Y552">
        <v>9</v>
      </c>
      <c r="Z552" t="s">
        <v>936</v>
      </c>
      <c r="AA552" t="s">
        <v>937</v>
      </c>
      <c r="AB552" t="s">
        <v>96</v>
      </c>
      <c r="AC552" t="s">
        <v>97</v>
      </c>
      <c r="AD552" t="s">
        <v>725</v>
      </c>
      <c r="AG552" t="s">
        <v>938</v>
      </c>
      <c r="AH552">
        <v>0</v>
      </c>
      <c r="AI552">
        <v>256</v>
      </c>
      <c r="AJ552">
        <v>23</v>
      </c>
      <c r="AK552">
        <v>292</v>
      </c>
      <c r="AL552">
        <v>0.64</v>
      </c>
    </row>
    <row r="553" spans="1:38" x14ac:dyDescent="0.3">
      <c r="A553" t="s">
        <v>721</v>
      </c>
      <c r="B553">
        <v>13834</v>
      </c>
      <c r="C553">
        <v>1</v>
      </c>
      <c r="D553" t="s">
        <v>940</v>
      </c>
      <c r="E553" t="s">
        <v>941</v>
      </c>
      <c r="F553">
        <v>10</v>
      </c>
      <c r="G553">
        <v>21.24</v>
      </c>
      <c r="H553">
        <v>70.22</v>
      </c>
      <c r="I553">
        <v>18</v>
      </c>
      <c r="J553">
        <v>59.53</v>
      </c>
      <c r="K553">
        <v>10</v>
      </c>
      <c r="T553">
        <v>2</v>
      </c>
      <c r="U553">
        <v>1</v>
      </c>
      <c r="V553" t="s">
        <v>93</v>
      </c>
      <c r="W553">
        <v>70</v>
      </c>
      <c r="X553">
        <v>5</v>
      </c>
      <c r="Y553">
        <v>5</v>
      </c>
      <c r="Z553" t="s">
        <v>942</v>
      </c>
      <c r="AA553" t="s">
        <v>943</v>
      </c>
      <c r="AB553" t="s">
        <v>96</v>
      </c>
      <c r="AC553" t="s">
        <v>97</v>
      </c>
      <c r="AD553" t="s">
        <v>725</v>
      </c>
      <c r="AG553" t="s">
        <v>944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721</v>
      </c>
      <c r="B554">
        <v>8231</v>
      </c>
      <c r="C554">
        <v>1</v>
      </c>
      <c r="D554" t="s">
        <v>945</v>
      </c>
      <c r="E554" t="s">
        <v>946</v>
      </c>
      <c r="F554">
        <v>240</v>
      </c>
      <c r="G554">
        <v>15.72</v>
      </c>
      <c r="H554">
        <v>51.98</v>
      </c>
      <c r="I554">
        <v>11.85</v>
      </c>
      <c r="J554">
        <v>39.200000000000003</v>
      </c>
      <c r="K554">
        <v>60</v>
      </c>
      <c r="T554">
        <v>2</v>
      </c>
      <c r="U554">
        <v>1</v>
      </c>
      <c r="V554" t="s">
        <v>138</v>
      </c>
      <c r="W554">
        <v>51</v>
      </c>
      <c r="X554">
        <v>15</v>
      </c>
      <c r="Y554">
        <v>15</v>
      </c>
      <c r="Z554" t="s">
        <v>947</v>
      </c>
      <c r="AA554" t="s">
        <v>948</v>
      </c>
      <c r="AB554" t="s">
        <v>96</v>
      </c>
      <c r="AC554" t="s">
        <v>97</v>
      </c>
      <c r="AD554" t="s">
        <v>725</v>
      </c>
      <c r="AG554" t="s">
        <v>949</v>
      </c>
      <c r="AH554">
        <v>0</v>
      </c>
      <c r="AI554">
        <v>293</v>
      </c>
      <c r="AJ554">
        <v>19</v>
      </c>
      <c r="AK554">
        <v>120</v>
      </c>
      <c r="AL554">
        <v>0.5</v>
      </c>
    </row>
    <row r="555" spans="1:38" x14ac:dyDescent="0.3">
      <c r="A555" t="s">
        <v>721</v>
      </c>
      <c r="B555">
        <v>8231</v>
      </c>
      <c r="C555">
        <v>2</v>
      </c>
      <c r="D555" t="s">
        <v>945</v>
      </c>
      <c r="E555" t="s">
        <v>946</v>
      </c>
      <c r="F555">
        <v>240</v>
      </c>
      <c r="G555">
        <v>17.07</v>
      </c>
      <c r="H555">
        <v>56.46</v>
      </c>
      <c r="I555">
        <v>13.05</v>
      </c>
      <c r="J555">
        <v>43.16</v>
      </c>
      <c r="K555">
        <v>135</v>
      </c>
      <c r="T555">
        <v>2</v>
      </c>
      <c r="U555">
        <v>1</v>
      </c>
      <c r="V555" t="s">
        <v>138</v>
      </c>
      <c r="W555">
        <v>56</v>
      </c>
      <c r="X555">
        <v>15</v>
      </c>
      <c r="Y555">
        <v>15</v>
      </c>
      <c r="Z555" t="s">
        <v>947</v>
      </c>
      <c r="AA555" t="s">
        <v>948</v>
      </c>
      <c r="AB555" t="s">
        <v>96</v>
      </c>
      <c r="AC555" t="s">
        <v>97</v>
      </c>
      <c r="AD555" t="s">
        <v>725</v>
      </c>
      <c r="AG555" t="s">
        <v>949</v>
      </c>
      <c r="AH555">
        <v>0</v>
      </c>
      <c r="AI555">
        <v>293</v>
      </c>
      <c r="AJ555">
        <v>19</v>
      </c>
      <c r="AK555">
        <v>120</v>
      </c>
      <c r="AL555">
        <v>0.5</v>
      </c>
    </row>
    <row r="556" spans="1:38" x14ac:dyDescent="0.3">
      <c r="A556" t="s">
        <v>721</v>
      </c>
      <c r="B556">
        <v>8231</v>
      </c>
      <c r="C556">
        <v>3</v>
      </c>
      <c r="D556" t="s">
        <v>945</v>
      </c>
      <c r="E556" t="s">
        <v>946</v>
      </c>
      <c r="F556">
        <v>240</v>
      </c>
      <c r="G556">
        <v>23.78</v>
      </c>
      <c r="H556">
        <v>78.62</v>
      </c>
      <c r="I556">
        <v>18.02</v>
      </c>
      <c r="J556">
        <v>59.58</v>
      </c>
      <c r="K556">
        <v>45</v>
      </c>
      <c r="T556">
        <v>3</v>
      </c>
      <c r="U556">
        <v>1</v>
      </c>
      <c r="V556" t="s">
        <v>138</v>
      </c>
      <c r="W556">
        <v>78</v>
      </c>
      <c r="X556">
        <v>15</v>
      </c>
      <c r="Y556">
        <v>15</v>
      </c>
      <c r="Z556" t="s">
        <v>947</v>
      </c>
      <c r="AA556" t="s">
        <v>948</v>
      </c>
      <c r="AB556" t="s">
        <v>96</v>
      </c>
      <c r="AC556" t="s">
        <v>97</v>
      </c>
      <c r="AD556" t="s">
        <v>725</v>
      </c>
      <c r="AG556" t="s">
        <v>949</v>
      </c>
      <c r="AH556">
        <v>0</v>
      </c>
      <c r="AI556">
        <v>293</v>
      </c>
      <c r="AJ556">
        <v>19</v>
      </c>
      <c r="AK556">
        <v>120</v>
      </c>
      <c r="AL556">
        <v>0.5</v>
      </c>
    </row>
    <row r="557" spans="1:38" x14ac:dyDescent="0.3">
      <c r="A557" t="s">
        <v>721</v>
      </c>
      <c r="B557">
        <v>11083</v>
      </c>
      <c r="C557">
        <v>1</v>
      </c>
      <c r="D557" t="s">
        <v>950</v>
      </c>
      <c r="E557" t="s">
        <v>916</v>
      </c>
      <c r="F557">
        <v>30</v>
      </c>
      <c r="G557">
        <v>19.2</v>
      </c>
      <c r="H557">
        <v>63.5</v>
      </c>
      <c r="I557">
        <v>14.37</v>
      </c>
      <c r="J557">
        <v>47.52</v>
      </c>
      <c r="K557">
        <v>25</v>
      </c>
      <c r="T557">
        <v>2</v>
      </c>
      <c r="U557">
        <v>1</v>
      </c>
      <c r="V557" t="s">
        <v>93</v>
      </c>
      <c r="W557">
        <v>63</v>
      </c>
      <c r="X557">
        <v>5</v>
      </c>
      <c r="Y557">
        <v>5</v>
      </c>
      <c r="Z557" t="s">
        <v>951</v>
      </c>
      <c r="AA557" t="s">
        <v>952</v>
      </c>
      <c r="AB557" t="s">
        <v>96</v>
      </c>
      <c r="AC557" t="s">
        <v>97</v>
      </c>
      <c r="AD557" t="s">
        <v>725</v>
      </c>
      <c r="AG557" t="s">
        <v>953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721</v>
      </c>
      <c r="B558">
        <v>11083</v>
      </c>
      <c r="C558">
        <v>2</v>
      </c>
      <c r="D558" t="s">
        <v>950</v>
      </c>
      <c r="E558" t="s">
        <v>916</v>
      </c>
      <c r="F558">
        <v>30</v>
      </c>
      <c r="G558">
        <v>21.93</v>
      </c>
      <c r="H558">
        <v>72.5</v>
      </c>
      <c r="I558">
        <v>16.64</v>
      </c>
      <c r="J558">
        <v>55.02</v>
      </c>
      <c r="K558">
        <v>5</v>
      </c>
      <c r="T558">
        <v>3</v>
      </c>
      <c r="U558">
        <v>1</v>
      </c>
      <c r="V558" t="s">
        <v>93</v>
      </c>
      <c r="W558">
        <v>72</v>
      </c>
      <c r="X558">
        <v>5</v>
      </c>
      <c r="Y558">
        <v>5</v>
      </c>
      <c r="Z558" t="s">
        <v>951</v>
      </c>
      <c r="AA558" t="s">
        <v>952</v>
      </c>
      <c r="AB558" t="s">
        <v>96</v>
      </c>
      <c r="AC558" t="s">
        <v>97</v>
      </c>
      <c r="AD558" t="s">
        <v>725</v>
      </c>
      <c r="AG558" t="s">
        <v>953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721</v>
      </c>
      <c r="B559">
        <v>134823</v>
      </c>
      <c r="C559">
        <v>1</v>
      </c>
      <c r="D559" t="s">
        <v>954</v>
      </c>
      <c r="E559" t="s">
        <v>955</v>
      </c>
      <c r="F559">
        <v>24</v>
      </c>
      <c r="G559">
        <v>18.850000000000001</v>
      </c>
      <c r="H559">
        <v>62.34</v>
      </c>
      <c r="I559">
        <v>15.35</v>
      </c>
      <c r="J559">
        <v>50.76</v>
      </c>
      <c r="K559">
        <v>12</v>
      </c>
      <c r="T559">
        <v>3</v>
      </c>
      <c r="U559">
        <v>2</v>
      </c>
      <c r="V559" t="s">
        <v>93</v>
      </c>
      <c r="W559" t="s">
        <v>522</v>
      </c>
      <c r="X559">
        <v>15</v>
      </c>
      <c r="Y559">
        <v>15</v>
      </c>
      <c r="Z559" t="s">
        <v>956</v>
      </c>
      <c r="AA559" t="s">
        <v>957</v>
      </c>
      <c r="AB559" t="s">
        <v>96</v>
      </c>
      <c r="AC559" t="s">
        <v>97</v>
      </c>
      <c r="AD559" t="s">
        <v>725</v>
      </c>
      <c r="AG559" t="s">
        <v>958</v>
      </c>
      <c r="AH559">
        <v>0</v>
      </c>
      <c r="AI559">
        <v>429</v>
      </c>
      <c r="AJ559">
        <v>50</v>
      </c>
      <c r="AK559">
        <v>24</v>
      </c>
      <c r="AL559">
        <v>1</v>
      </c>
    </row>
    <row r="560" spans="1:38" x14ac:dyDescent="0.3">
      <c r="A560" t="s">
        <v>721</v>
      </c>
      <c r="B560">
        <v>134823</v>
      </c>
      <c r="C560">
        <v>2</v>
      </c>
      <c r="D560" t="s">
        <v>954</v>
      </c>
      <c r="E560" t="s">
        <v>955</v>
      </c>
      <c r="F560">
        <v>24</v>
      </c>
      <c r="G560">
        <v>19.010000000000002</v>
      </c>
      <c r="H560">
        <v>62.86</v>
      </c>
      <c r="I560">
        <v>15.07</v>
      </c>
      <c r="J560">
        <v>49.85</v>
      </c>
      <c r="K560">
        <v>6</v>
      </c>
      <c r="T560">
        <v>3</v>
      </c>
      <c r="U560">
        <v>2</v>
      </c>
      <c r="V560" t="s">
        <v>93</v>
      </c>
      <c r="W560" t="s">
        <v>285</v>
      </c>
      <c r="X560">
        <v>15</v>
      </c>
      <c r="Y560">
        <v>15</v>
      </c>
      <c r="Z560" t="s">
        <v>956</v>
      </c>
      <c r="AA560" t="s">
        <v>957</v>
      </c>
      <c r="AB560" t="s">
        <v>96</v>
      </c>
      <c r="AC560" t="s">
        <v>97</v>
      </c>
      <c r="AD560" t="s">
        <v>725</v>
      </c>
      <c r="AG560" t="s">
        <v>958</v>
      </c>
      <c r="AH560">
        <v>0</v>
      </c>
      <c r="AI560">
        <v>429</v>
      </c>
      <c r="AJ560">
        <v>50</v>
      </c>
      <c r="AK560">
        <v>24</v>
      </c>
      <c r="AL560">
        <v>1</v>
      </c>
    </row>
    <row r="561" spans="1:38" x14ac:dyDescent="0.3">
      <c r="A561" t="s">
        <v>721</v>
      </c>
      <c r="B561">
        <v>134823</v>
      </c>
      <c r="C561">
        <v>3</v>
      </c>
      <c r="D561" t="s">
        <v>954</v>
      </c>
      <c r="E561" t="s">
        <v>955</v>
      </c>
      <c r="F561">
        <v>24</v>
      </c>
      <c r="G561">
        <v>19.8</v>
      </c>
      <c r="H561">
        <v>65.47</v>
      </c>
      <c r="I561">
        <v>15.75</v>
      </c>
      <c r="J561">
        <v>52.08</v>
      </c>
      <c r="K561">
        <v>6</v>
      </c>
      <c r="T561">
        <v>3</v>
      </c>
      <c r="U561">
        <v>2</v>
      </c>
      <c r="V561" t="s">
        <v>93</v>
      </c>
      <c r="W561">
        <v>65</v>
      </c>
      <c r="X561">
        <v>15</v>
      </c>
      <c r="Y561">
        <v>15</v>
      </c>
      <c r="Z561" t="s">
        <v>956</v>
      </c>
      <c r="AA561" t="s">
        <v>957</v>
      </c>
      <c r="AB561" t="s">
        <v>96</v>
      </c>
      <c r="AC561" t="s">
        <v>97</v>
      </c>
      <c r="AD561" t="s">
        <v>725</v>
      </c>
      <c r="AG561" t="s">
        <v>958</v>
      </c>
      <c r="AH561">
        <v>0</v>
      </c>
      <c r="AI561">
        <v>429</v>
      </c>
      <c r="AJ561">
        <v>50</v>
      </c>
      <c r="AK561">
        <v>24</v>
      </c>
      <c r="AL561">
        <v>1</v>
      </c>
    </row>
    <row r="562" spans="1:38" x14ac:dyDescent="0.3">
      <c r="A562" t="s">
        <v>721</v>
      </c>
      <c r="B562">
        <v>11058</v>
      </c>
      <c r="C562">
        <v>1</v>
      </c>
      <c r="D562" t="s">
        <v>198</v>
      </c>
      <c r="E562" t="s">
        <v>379</v>
      </c>
      <c r="F562">
        <v>264</v>
      </c>
      <c r="G562">
        <v>15.49</v>
      </c>
      <c r="H562">
        <v>51.22</v>
      </c>
      <c r="I562">
        <v>11.77</v>
      </c>
      <c r="J562">
        <v>38.909999999999997</v>
      </c>
      <c r="K562">
        <v>156</v>
      </c>
      <c r="T562">
        <v>2</v>
      </c>
      <c r="U562">
        <v>1</v>
      </c>
      <c r="V562" t="s">
        <v>93</v>
      </c>
      <c r="W562" t="s">
        <v>959</v>
      </c>
      <c r="X562">
        <v>6</v>
      </c>
      <c r="Y562">
        <v>6</v>
      </c>
      <c r="Z562" t="s">
        <v>960</v>
      </c>
      <c r="AA562" t="s">
        <v>961</v>
      </c>
      <c r="AB562" t="s">
        <v>96</v>
      </c>
      <c r="AC562" t="s">
        <v>97</v>
      </c>
      <c r="AD562" t="s">
        <v>725</v>
      </c>
      <c r="AG562" t="s">
        <v>962</v>
      </c>
      <c r="AH562">
        <v>0</v>
      </c>
      <c r="AI562">
        <v>168</v>
      </c>
      <c r="AJ562">
        <v>28</v>
      </c>
      <c r="AK562">
        <v>0</v>
      </c>
      <c r="AL562">
        <v>0</v>
      </c>
    </row>
    <row r="563" spans="1:38" x14ac:dyDescent="0.3">
      <c r="A563" t="s">
        <v>721</v>
      </c>
      <c r="B563">
        <v>11058</v>
      </c>
      <c r="C563">
        <v>2</v>
      </c>
      <c r="D563" t="s">
        <v>198</v>
      </c>
      <c r="E563" t="s">
        <v>379</v>
      </c>
      <c r="F563">
        <v>264</v>
      </c>
      <c r="G563">
        <v>15.81</v>
      </c>
      <c r="H563">
        <v>52.27</v>
      </c>
      <c r="I563">
        <v>12.04</v>
      </c>
      <c r="J563">
        <v>39.81</v>
      </c>
      <c r="K563">
        <v>12</v>
      </c>
      <c r="T563">
        <v>2</v>
      </c>
      <c r="U563">
        <v>1</v>
      </c>
      <c r="V563" t="s">
        <v>93</v>
      </c>
      <c r="W563" t="s">
        <v>400</v>
      </c>
      <c r="X563">
        <v>6</v>
      </c>
      <c r="Y563">
        <v>6</v>
      </c>
      <c r="Z563" t="s">
        <v>960</v>
      </c>
      <c r="AA563" t="s">
        <v>961</v>
      </c>
      <c r="AB563" t="s">
        <v>96</v>
      </c>
      <c r="AC563" t="s">
        <v>97</v>
      </c>
      <c r="AD563" t="s">
        <v>725</v>
      </c>
      <c r="AG563" t="s">
        <v>962</v>
      </c>
      <c r="AH563">
        <v>0</v>
      </c>
      <c r="AI563">
        <v>168</v>
      </c>
      <c r="AJ563">
        <v>28</v>
      </c>
      <c r="AK563">
        <v>0</v>
      </c>
      <c r="AL563">
        <v>0</v>
      </c>
    </row>
    <row r="564" spans="1:38" x14ac:dyDescent="0.3">
      <c r="A564" t="s">
        <v>721</v>
      </c>
      <c r="B564">
        <v>11058</v>
      </c>
      <c r="C564">
        <v>3</v>
      </c>
      <c r="D564" t="s">
        <v>198</v>
      </c>
      <c r="E564" t="s">
        <v>379</v>
      </c>
      <c r="F564">
        <v>264</v>
      </c>
      <c r="G564">
        <v>17.64</v>
      </c>
      <c r="H564">
        <v>58.32</v>
      </c>
      <c r="I564">
        <v>13.61</v>
      </c>
      <c r="J564">
        <v>45</v>
      </c>
      <c r="K564">
        <v>96</v>
      </c>
      <c r="T564">
        <v>3</v>
      </c>
      <c r="U564">
        <v>1</v>
      </c>
      <c r="V564" t="s">
        <v>93</v>
      </c>
      <c r="W564">
        <v>58</v>
      </c>
      <c r="X564">
        <v>6</v>
      </c>
      <c r="Y564">
        <v>6</v>
      </c>
      <c r="Z564" t="s">
        <v>960</v>
      </c>
      <c r="AA564" t="s">
        <v>961</v>
      </c>
      <c r="AB564" t="s">
        <v>96</v>
      </c>
      <c r="AC564" t="s">
        <v>97</v>
      </c>
      <c r="AD564" t="s">
        <v>725</v>
      </c>
      <c r="AG564" t="s">
        <v>962</v>
      </c>
      <c r="AH564">
        <v>0</v>
      </c>
      <c r="AI564">
        <v>168</v>
      </c>
      <c r="AJ564">
        <v>28</v>
      </c>
      <c r="AK564">
        <v>0</v>
      </c>
      <c r="AL564">
        <v>0</v>
      </c>
    </row>
    <row r="565" spans="1:38" x14ac:dyDescent="0.3">
      <c r="A565" t="s">
        <v>721</v>
      </c>
      <c r="B565">
        <v>9620</v>
      </c>
      <c r="C565">
        <v>1</v>
      </c>
      <c r="D565" t="s">
        <v>963</v>
      </c>
      <c r="E565" t="s">
        <v>101</v>
      </c>
      <c r="F565">
        <v>70</v>
      </c>
      <c r="G565">
        <v>21.58</v>
      </c>
      <c r="H565">
        <v>71.36</v>
      </c>
      <c r="I565">
        <v>16.47</v>
      </c>
      <c r="J565">
        <v>54.45</v>
      </c>
      <c r="K565">
        <v>20</v>
      </c>
      <c r="T565">
        <v>3</v>
      </c>
      <c r="U565">
        <v>1</v>
      </c>
      <c r="V565" t="s">
        <v>93</v>
      </c>
      <c r="W565" t="s">
        <v>127</v>
      </c>
      <c r="X565">
        <v>5</v>
      </c>
      <c r="Y565">
        <v>5</v>
      </c>
      <c r="Z565" t="s">
        <v>964</v>
      </c>
      <c r="AA565" t="s">
        <v>965</v>
      </c>
      <c r="AB565" t="s">
        <v>96</v>
      </c>
      <c r="AC565" t="s">
        <v>97</v>
      </c>
      <c r="AD565" t="s">
        <v>725</v>
      </c>
      <c r="AG565" t="s">
        <v>966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721</v>
      </c>
      <c r="B566">
        <v>9620</v>
      </c>
      <c r="C566">
        <v>2</v>
      </c>
      <c r="D566" t="s">
        <v>963</v>
      </c>
      <c r="E566" t="s">
        <v>101</v>
      </c>
      <c r="F566">
        <v>70</v>
      </c>
      <c r="G566">
        <v>22.46</v>
      </c>
      <c r="H566">
        <v>74.260000000000005</v>
      </c>
      <c r="I566">
        <v>17.2</v>
      </c>
      <c r="J566">
        <v>56.88</v>
      </c>
      <c r="K566">
        <v>45</v>
      </c>
      <c r="T566">
        <v>3</v>
      </c>
      <c r="U566">
        <v>1</v>
      </c>
      <c r="V566" t="s">
        <v>93</v>
      </c>
      <c r="W566" t="s">
        <v>353</v>
      </c>
      <c r="X566">
        <v>5</v>
      </c>
      <c r="Y566">
        <v>5</v>
      </c>
      <c r="Z566" t="s">
        <v>964</v>
      </c>
      <c r="AA566" t="s">
        <v>965</v>
      </c>
      <c r="AB566" t="s">
        <v>96</v>
      </c>
      <c r="AC566" t="s">
        <v>97</v>
      </c>
      <c r="AD566" t="s">
        <v>725</v>
      </c>
      <c r="AG566" t="s">
        <v>966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721</v>
      </c>
      <c r="B567">
        <v>9620</v>
      </c>
      <c r="C567">
        <v>3</v>
      </c>
      <c r="D567" t="s">
        <v>963</v>
      </c>
      <c r="E567" t="s">
        <v>101</v>
      </c>
      <c r="F567">
        <v>70</v>
      </c>
      <c r="G567">
        <v>26.32</v>
      </c>
      <c r="H567">
        <v>87.02</v>
      </c>
      <c r="I567">
        <v>20.440000000000001</v>
      </c>
      <c r="J567">
        <v>67.59</v>
      </c>
      <c r="K567">
        <v>5</v>
      </c>
      <c r="T567">
        <v>3</v>
      </c>
      <c r="U567">
        <v>1</v>
      </c>
      <c r="V567" t="s">
        <v>93</v>
      </c>
      <c r="W567">
        <v>87</v>
      </c>
      <c r="X567">
        <v>5</v>
      </c>
      <c r="Y567">
        <v>5</v>
      </c>
      <c r="Z567" t="s">
        <v>964</v>
      </c>
      <c r="AA567" t="s">
        <v>965</v>
      </c>
      <c r="AB567" t="s">
        <v>96</v>
      </c>
      <c r="AC567" t="s">
        <v>97</v>
      </c>
      <c r="AD567" t="s">
        <v>725</v>
      </c>
      <c r="AG567" t="s">
        <v>966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721</v>
      </c>
      <c r="B568">
        <v>9783</v>
      </c>
      <c r="C568">
        <v>1</v>
      </c>
      <c r="D568" t="s">
        <v>122</v>
      </c>
      <c r="E568" t="s">
        <v>967</v>
      </c>
      <c r="F568">
        <v>100</v>
      </c>
      <c r="G568">
        <v>19.3</v>
      </c>
      <c r="H568">
        <v>63.83</v>
      </c>
      <c r="I568">
        <v>14.6</v>
      </c>
      <c r="J568">
        <v>48.28</v>
      </c>
      <c r="K568">
        <v>100</v>
      </c>
      <c r="T568">
        <v>3</v>
      </c>
      <c r="U568">
        <v>1</v>
      </c>
      <c r="V568" t="s">
        <v>93</v>
      </c>
      <c r="W568">
        <v>63</v>
      </c>
      <c r="X568">
        <v>5</v>
      </c>
      <c r="Y568">
        <v>5</v>
      </c>
      <c r="Z568" t="s">
        <v>968</v>
      </c>
      <c r="AA568" t="s">
        <v>969</v>
      </c>
      <c r="AB568" t="s">
        <v>96</v>
      </c>
      <c r="AC568" t="s">
        <v>97</v>
      </c>
      <c r="AD568" t="s">
        <v>725</v>
      </c>
      <c r="AG568" t="s">
        <v>970</v>
      </c>
      <c r="AH568">
        <v>0</v>
      </c>
      <c r="AI568">
        <v>132</v>
      </c>
      <c r="AJ568">
        <v>27</v>
      </c>
      <c r="AK568">
        <v>0</v>
      </c>
      <c r="AL568">
        <v>0</v>
      </c>
    </row>
    <row r="569" spans="1:38" x14ac:dyDescent="0.3">
      <c r="A569" t="s">
        <v>721</v>
      </c>
      <c r="B569">
        <v>8300</v>
      </c>
      <c r="C569">
        <v>1</v>
      </c>
      <c r="D569" t="s">
        <v>971</v>
      </c>
      <c r="E569" t="s">
        <v>234</v>
      </c>
      <c r="F569">
        <v>791</v>
      </c>
      <c r="G569">
        <v>15.88</v>
      </c>
      <c r="H569">
        <v>52.5</v>
      </c>
      <c r="I569">
        <v>11.97</v>
      </c>
      <c r="J569">
        <v>39.6</v>
      </c>
      <c r="K569">
        <v>288</v>
      </c>
      <c r="T569">
        <v>2</v>
      </c>
      <c r="U569">
        <v>1</v>
      </c>
      <c r="V569" t="s">
        <v>138</v>
      </c>
      <c r="W569" t="s">
        <v>400</v>
      </c>
      <c r="X569">
        <v>14</v>
      </c>
      <c r="Y569">
        <v>6</v>
      </c>
      <c r="Z569" t="s">
        <v>972</v>
      </c>
      <c r="AA569" t="s">
        <v>973</v>
      </c>
      <c r="AB569" t="s">
        <v>96</v>
      </c>
      <c r="AC569" t="s">
        <v>97</v>
      </c>
      <c r="AD569" t="s">
        <v>725</v>
      </c>
      <c r="AG569" t="s">
        <v>974</v>
      </c>
      <c r="AH569">
        <v>0</v>
      </c>
      <c r="AI569">
        <v>274</v>
      </c>
      <c r="AJ569">
        <v>32</v>
      </c>
      <c r="AK569">
        <v>176</v>
      </c>
      <c r="AL569">
        <v>0.22</v>
      </c>
    </row>
    <row r="570" spans="1:38" x14ac:dyDescent="0.3">
      <c r="A570" t="s">
        <v>721</v>
      </c>
      <c r="B570">
        <v>8300</v>
      </c>
      <c r="C570">
        <v>2</v>
      </c>
      <c r="D570" t="s">
        <v>971</v>
      </c>
      <c r="E570" t="s">
        <v>234</v>
      </c>
      <c r="F570">
        <v>791</v>
      </c>
      <c r="G570">
        <v>17.260000000000002</v>
      </c>
      <c r="H570">
        <v>57.08</v>
      </c>
      <c r="I570">
        <v>11.87</v>
      </c>
      <c r="J570">
        <v>39.24</v>
      </c>
      <c r="K570">
        <v>503</v>
      </c>
      <c r="T570">
        <v>2</v>
      </c>
      <c r="U570">
        <v>1</v>
      </c>
      <c r="V570" t="s">
        <v>138</v>
      </c>
      <c r="W570" t="s">
        <v>326</v>
      </c>
      <c r="X570">
        <v>14</v>
      </c>
      <c r="Y570">
        <v>6</v>
      </c>
      <c r="Z570" t="s">
        <v>972</v>
      </c>
      <c r="AA570" t="s">
        <v>973</v>
      </c>
      <c r="AB570" t="s">
        <v>96</v>
      </c>
      <c r="AC570" t="s">
        <v>97</v>
      </c>
      <c r="AD570" t="s">
        <v>725</v>
      </c>
      <c r="AG570" t="s">
        <v>974</v>
      </c>
      <c r="AH570">
        <v>0</v>
      </c>
      <c r="AI570">
        <v>274</v>
      </c>
      <c r="AJ570">
        <v>32</v>
      </c>
      <c r="AK570">
        <v>176</v>
      </c>
      <c r="AL570">
        <v>0.22</v>
      </c>
    </row>
    <row r="571" spans="1:38" x14ac:dyDescent="0.3">
      <c r="A571" t="s">
        <v>721</v>
      </c>
      <c r="B571">
        <v>2441</v>
      </c>
      <c r="C571">
        <v>1</v>
      </c>
      <c r="D571" t="s">
        <v>975</v>
      </c>
      <c r="E571" t="s">
        <v>976</v>
      </c>
      <c r="F571">
        <v>904</v>
      </c>
      <c r="G571">
        <v>31.6</v>
      </c>
      <c r="H571">
        <v>104.47</v>
      </c>
      <c r="I571">
        <v>25.69</v>
      </c>
      <c r="J571">
        <v>84.93</v>
      </c>
      <c r="K571">
        <v>648</v>
      </c>
      <c r="T571">
        <v>3</v>
      </c>
      <c r="U571">
        <v>2</v>
      </c>
      <c r="V571" t="s">
        <v>93</v>
      </c>
      <c r="W571">
        <v>104</v>
      </c>
      <c r="X571">
        <v>20</v>
      </c>
      <c r="Y571">
        <v>16</v>
      </c>
      <c r="Z571" t="s">
        <v>977</v>
      </c>
      <c r="AA571" t="s">
        <v>978</v>
      </c>
      <c r="AB571" t="s">
        <v>96</v>
      </c>
      <c r="AC571" t="s">
        <v>97</v>
      </c>
      <c r="AD571" t="s">
        <v>725</v>
      </c>
      <c r="AG571" t="s">
        <v>924</v>
      </c>
      <c r="AH571">
        <v>0</v>
      </c>
      <c r="AI571">
        <v>257</v>
      </c>
      <c r="AJ571">
        <v>20</v>
      </c>
      <c r="AK571">
        <v>1000</v>
      </c>
      <c r="AL571">
        <v>1.1100000000000001</v>
      </c>
    </row>
    <row r="572" spans="1:38" x14ac:dyDescent="0.3">
      <c r="A572" t="s">
        <v>721</v>
      </c>
      <c r="B572">
        <v>2441</v>
      </c>
      <c r="C572">
        <v>2</v>
      </c>
      <c r="D572" t="s">
        <v>975</v>
      </c>
      <c r="E572" t="s">
        <v>976</v>
      </c>
      <c r="F572">
        <v>904</v>
      </c>
      <c r="G572">
        <v>50.89</v>
      </c>
      <c r="H572">
        <v>168.24</v>
      </c>
      <c r="I572">
        <v>41.37</v>
      </c>
      <c r="J572">
        <v>136.77000000000001</v>
      </c>
      <c r="K572">
        <v>128</v>
      </c>
      <c r="T572">
        <v>4</v>
      </c>
      <c r="U572">
        <v>2</v>
      </c>
      <c r="V572" t="s">
        <v>93</v>
      </c>
      <c r="W572">
        <v>168</v>
      </c>
      <c r="X572">
        <v>20</v>
      </c>
      <c r="Y572">
        <v>16</v>
      </c>
      <c r="Z572" t="s">
        <v>977</v>
      </c>
      <c r="AA572" t="s">
        <v>978</v>
      </c>
      <c r="AB572" t="s">
        <v>96</v>
      </c>
      <c r="AC572" t="s">
        <v>97</v>
      </c>
      <c r="AD572" t="s">
        <v>725</v>
      </c>
      <c r="AG572" t="s">
        <v>924</v>
      </c>
      <c r="AH572">
        <v>0</v>
      </c>
      <c r="AI572">
        <v>257</v>
      </c>
      <c r="AJ572">
        <v>20</v>
      </c>
      <c r="AK572">
        <v>1000</v>
      </c>
      <c r="AL572">
        <v>1.1100000000000001</v>
      </c>
    </row>
    <row r="573" spans="1:38" x14ac:dyDescent="0.3">
      <c r="A573" t="s">
        <v>721</v>
      </c>
      <c r="B573">
        <v>2441</v>
      </c>
      <c r="C573">
        <v>3</v>
      </c>
      <c r="D573" t="s">
        <v>975</v>
      </c>
      <c r="E573" t="s">
        <v>976</v>
      </c>
      <c r="F573">
        <v>904</v>
      </c>
      <c r="G573">
        <v>55.44</v>
      </c>
      <c r="H573">
        <v>183.3</v>
      </c>
      <c r="I573">
        <v>45.07</v>
      </c>
      <c r="J573">
        <v>149.01</v>
      </c>
      <c r="K573">
        <v>128</v>
      </c>
      <c r="T573">
        <v>4</v>
      </c>
      <c r="U573">
        <v>2</v>
      </c>
      <c r="V573" t="s">
        <v>93</v>
      </c>
      <c r="W573">
        <v>183</v>
      </c>
      <c r="X573">
        <v>20</v>
      </c>
      <c r="Y573">
        <v>16</v>
      </c>
      <c r="Z573" t="s">
        <v>977</v>
      </c>
      <c r="AA573" t="s">
        <v>978</v>
      </c>
      <c r="AB573" t="s">
        <v>96</v>
      </c>
      <c r="AC573" t="s">
        <v>97</v>
      </c>
      <c r="AD573" t="s">
        <v>725</v>
      </c>
      <c r="AG573" t="s">
        <v>924</v>
      </c>
      <c r="AH573">
        <v>0</v>
      </c>
      <c r="AI573">
        <v>257</v>
      </c>
      <c r="AJ573">
        <v>20</v>
      </c>
      <c r="AK573">
        <v>1000</v>
      </c>
      <c r="AL573">
        <v>1.1100000000000001</v>
      </c>
    </row>
    <row r="574" spans="1:38" x14ac:dyDescent="0.3">
      <c r="A574" t="s">
        <v>721</v>
      </c>
      <c r="B574">
        <v>10807</v>
      </c>
      <c r="C574">
        <v>1</v>
      </c>
      <c r="D574" t="s">
        <v>979</v>
      </c>
      <c r="E574" t="s">
        <v>980</v>
      </c>
      <c r="F574">
        <v>41</v>
      </c>
      <c r="G574">
        <v>21.16</v>
      </c>
      <c r="H574">
        <v>69.98</v>
      </c>
      <c r="I574">
        <v>18.43</v>
      </c>
      <c r="J574">
        <v>60.93</v>
      </c>
      <c r="K574">
        <v>2</v>
      </c>
      <c r="T574">
        <v>2</v>
      </c>
      <c r="U574">
        <v>1</v>
      </c>
      <c r="V574" t="s">
        <v>93</v>
      </c>
      <c r="W574" t="s">
        <v>107</v>
      </c>
      <c r="X574">
        <v>5</v>
      </c>
      <c r="Y574">
        <v>5</v>
      </c>
      <c r="Z574" t="s">
        <v>981</v>
      </c>
      <c r="AA574" t="s">
        <v>982</v>
      </c>
      <c r="AB574" t="s">
        <v>96</v>
      </c>
      <c r="AC574" t="s">
        <v>97</v>
      </c>
      <c r="AD574" t="s">
        <v>725</v>
      </c>
      <c r="AG574" t="s">
        <v>983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721</v>
      </c>
      <c r="B575">
        <v>10807</v>
      </c>
      <c r="C575">
        <v>2</v>
      </c>
      <c r="D575" t="s">
        <v>979</v>
      </c>
      <c r="E575" t="s">
        <v>980</v>
      </c>
      <c r="F575">
        <v>41</v>
      </c>
      <c r="G575">
        <v>21.17</v>
      </c>
      <c r="H575">
        <v>70.010000000000005</v>
      </c>
      <c r="I575">
        <v>18.440000000000001</v>
      </c>
      <c r="J575">
        <v>60.96</v>
      </c>
      <c r="K575">
        <v>5</v>
      </c>
      <c r="T575">
        <v>2</v>
      </c>
      <c r="U575">
        <v>1</v>
      </c>
      <c r="V575" t="s">
        <v>93</v>
      </c>
      <c r="W575" t="s">
        <v>984</v>
      </c>
      <c r="X575">
        <v>5</v>
      </c>
      <c r="Y575">
        <v>5</v>
      </c>
      <c r="Z575" t="s">
        <v>981</v>
      </c>
      <c r="AA575" t="s">
        <v>982</v>
      </c>
      <c r="AB575" t="s">
        <v>96</v>
      </c>
      <c r="AC575" t="s">
        <v>97</v>
      </c>
      <c r="AD575" t="s">
        <v>725</v>
      </c>
      <c r="AG575" t="s">
        <v>983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721</v>
      </c>
      <c r="B576">
        <v>10807</v>
      </c>
      <c r="C576">
        <v>3</v>
      </c>
      <c r="D576" t="s">
        <v>979</v>
      </c>
      <c r="E576" t="s">
        <v>980</v>
      </c>
      <c r="F576">
        <v>41</v>
      </c>
      <c r="G576">
        <v>21.28</v>
      </c>
      <c r="H576">
        <v>70.37</v>
      </c>
      <c r="I576">
        <v>18.54</v>
      </c>
      <c r="J576">
        <v>61.32</v>
      </c>
      <c r="K576">
        <v>4</v>
      </c>
      <c r="T576">
        <v>2</v>
      </c>
      <c r="U576">
        <v>1</v>
      </c>
      <c r="V576" t="s">
        <v>93</v>
      </c>
      <c r="W576" t="s">
        <v>985</v>
      </c>
      <c r="X576">
        <v>5</v>
      </c>
      <c r="Y576">
        <v>5</v>
      </c>
      <c r="Z576" t="s">
        <v>981</v>
      </c>
      <c r="AA576" t="s">
        <v>982</v>
      </c>
      <c r="AB576" t="s">
        <v>96</v>
      </c>
      <c r="AC576" t="s">
        <v>97</v>
      </c>
      <c r="AD576" t="s">
        <v>725</v>
      </c>
      <c r="AG576" t="s">
        <v>983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721</v>
      </c>
      <c r="B577">
        <v>10807</v>
      </c>
      <c r="C577">
        <v>4</v>
      </c>
      <c r="D577" t="s">
        <v>979</v>
      </c>
      <c r="E577" t="s">
        <v>980</v>
      </c>
      <c r="F577">
        <v>41</v>
      </c>
      <c r="G577">
        <v>21.29</v>
      </c>
      <c r="H577">
        <v>70.41</v>
      </c>
      <c r="I577">
        <v>18.559999999999999</v>
      </c>
      <c r="J577">
        <v>61.36</v>
      </c>
      <c r="K577">
        <v>1</v>
      </c>
      <c r="T577">
        <v>2</v>
      </c>
      <c r="U577">
        <v>1</v>
      </c>
      <c r="V577" t="s">
        <v>93</v>
      </c>
      <c r="W577" t="s">
        <v>986</v>
      </c>
      <c r="X577">
        <v>5</v>
      </c>
      <c r="Y577">
        <v>5</v>
      </c>
      <c r="Z577" t="s">
        <v>981</v>
      </c>
      <c r="AA577" t="s">
        <v>982</v>
      </c>
      <c r="AB577" t="s">
        <v>96</v>
      </c>
      <c r="AC577" t="s">
        <v>97</v>
      </c>
      <c r="AD577" t="s">
        <v>725</v>
      </c>
      <c r="AG577" t="s">
        <v>983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721</v>
      </c>
      <c r="B578">
        <v>10807</v>
      </c>
      <c r="C578">
        <v>5</v>
      </c>
      <c r="D578" t="s">
        <v>979</v>
      </c>
      <c r="E578" t="s">
        <v>980</v>
      </c>
      <c r="F578">
        <v>41</v>
      </c>
      <c r="G578">
        <v>21.58</v>
      </c>
      <c r="H578">
        <v>71.36</v>
      </c>
      <c r="I578">
        <v>18.84</v>
      </c>
      <c r="J578">
        <v>62.31</v>
      </c>
      <c r="K578">
        <v>8</v>
      </c>
      <c r="T578">
        <v>3</v>
      </c>
      <c r="U578">
        <v>1</v>
      </c>
      <c r="V578" t="s">
        <v>93</v>
      </c>
      <c r="W578" t="s">
        <v>127</v>
      </c>
      <c r="X578">
        <v>5</v>
      </c>
      <c r="Y578">
        <v>5</v>
      </c>
      <c r="Z578" t="s">
        <v>981</v>
      </c>
      <c r="AA578" t="s">
        <v>982</v>
      </c>
      <c r="AB578" t="s">
        <v>96</v>
      </c>
      <c r="AC578" t="s">
        <v>97</v>
      </c>
      <c r="AD578" t="s">
        <v>725</v>
      </c>
      <c r="AG578" t="s">
        <v>983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721</v>
      </c>
      <c r="B579">
        <v>10807</v>
      </c>
      <c r="C579">
        <v>6</v>
      </c>
      <c r="D579" t="s">
        <v>979</v>
      </c>
      <c r="E579" t="s">
        <v>980</v>
      </c>
      <c r="F579">
        <v>41</v>
      </c>
      <c r="G579">
        <v>21.59</v>
      </c>
      <c r="H579">
        <v>71.400000000000006</v>
      </c>
      <c r="I579">
        <v>18.86</v>
      </c>
      <c r="J579">
        <v>62.35</v>
      </c>
      <c r="K579">
        <v>4</v>
      </c>
      <c r="T579">
        <v>3</v>
      </c>
      <c r="U579">
        <v>1</v>
      </c>
      <c r="V579" t="s">
        <v>93</v>
      </c>
      <c r="W579" t="s">
        <v>987</v>
      </c>
      <c r="X579">
        <v>5</v>
      </c>
      <c r="Y579">
        <v>5</v>
      </c>
      <c r="Z579" t="s">
        <v>981</v>
      </c>
      <c r="AA579" t="s">
        <v>982</v>
      </c>
      <c r="AB579" t="s">
        <v>96</v>
      </c>
      <c r="AC579" t="s">
        <v>97</v>
      </c>
      <c r="AD579" t="s">
        <v>725</v>
      </c>
      <c r="AG579" t="s">
        <v>983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721</v>
      </c>
      <c r="B580">
        <v>10807</v>
      </c>
      <c r="C580">
        <v>7</v>
      </c>
      <c r="D580" t="s">
        <v>979</v>
      </c>
      <c r="E580" t="s">
        <v>980</v>
      </c>
      <c r="F580">
        <v>41</v>
      </c>
      <c r="G580">
        <v>21.93</v>
      </c>
      <c r="H580">
        <v>72.52</v>
      </c>
      <c r="I580">
        <v>19.190000000000001</v>
      </c>
      <c r="J580">
        <v>63.47</v>
      </c>
      <c r="K580">
        <v>7</v>
      </c>
      <c r="T580">
        <v>3</v>
      </c>
      <c r="U580">
        <v>1</v>
      </c>
      <c r="V580" t="s">
        <v>93</v>
      </c>
      <c r="W580" t="s">
        <v>301</v>
      </c>
      <c r="X580">
        <v>5</v>
      </c>
      <c r="Y580">
        <v>5</v>
      </c>
      <c r="Z580" t="s">
        <v>981</v>
      </c>
      <c r="AA580" t="s">
        <v>982</v>
      </c>
      <c r="AB580" t="s">
        <v>96</v>
      </c>
      <c r="AC580" t="s">
        <v>97</v>
      </c>
      <c r="AD580" t="s">
        <v>725</v>
      </c>
      <c r="AG580" t="s">
        <v>983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721</v>
      </c>
      <c r="B581">
        <v>10807</v>
      </c>
      <c r="C581">
        <v>8</v>
      </c>
      <c r="D581" t="s">
        <v>979</v>
      </c>
      <c r="E581" t="s">
        <v>980</v>
      </c>
      <c r="F581">
        <v>41</v>
      </c>
      <c r="G581">
        <v>21.92</v>
      </c>
      <c r="H581">
        <v>72.48</v>
      </c>
      <c r="I581">
        <v>19.18</v>
      </c>
      <c r="J581">
        <v>63.43</v>
      </c>
      <c r="K581">
        <v>1</v>
      </c>
      <c r="T581">
        <v>3</v>
      </c>
      <c r="U581">
        <v>1</v>
      </c>
      <c r="V581" t="s">
        <v>93</v>
      </c>
      <c r="W581" t="s">
        <v>300</v>
      </c>
      <c r="X581">
        <v>5</v>
      </c>
      <c r="Y581">
        <v>5</v>
      </c>
      <c r="Z581" t="s">
        <v>981</v>
      </c>
      <c r="AA581" t="s">
        <v>982</v>
      </c>
      <c r="AB581" t="s">
        <v>96</v>
      </c>
      <c r="AC581" t="s">
        <v>97</v>
      </c>
      <c r="AD581" t="s">
        <v>725</v>
      </c>
      <c r="AG581" t="s">
        <v>983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721</v>
      </c>
      <c r="B582">
        <v>10807</v>
      </c>
      <c r="C582">
        <v>9</v>
      </c>
      <c r="D582" t="s">
        <v>979</v>
      </c>
      <c r="E582" t="s">
        <v>980</v>
      </c>
      <c r="F582">
        <v>41</v>
      </c>
      <c r="G582">
        <v>25.35</v>
      </c>
      <c r="H582">
        <v>83.83</v>
      </c>
      <c r="I582">
        <v>22.04</v>
      </c>
      <c r="J582">
        <v>72.86</v>
      </c>
      <c r="K582">
        <v>5</v>
      </c>
      <c r="T582">
        <v>3</v>
      </c>
      <c r="U582">
        <v>1</v>
      </c>
      <c r="V582" t="s">
        <v>93</v>
      </c>
      <c r="W582">
        <v>83</v>
      </c>
      <c r="X582">
        <v>5</v>
      </c>
      <c r="Y582">
        <v>5</v>
      </c>
      <c r="Z582" t="s">
        <v>981</v>
      </c>
      <c r="AA582" t="s">
        <v>982</v>
      </c>
      <c r="AB582" t="s">
        <v>96</v>
      </c>
      <c r="AC582" t="s">
        <v>97</v>
      </c>
      <c r="AD582" t="s">
        <v>725</v>
      </c>
      <c r="AG582" t="s">
        <v>983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721</v>
      </c>
      <c r="B583">
        <v>10807</v>
      </c>
      <c r="C583">
        <v>10</v>
      </c>
      <c r="D583" t="s">
        <v>979</v>
      </c>
      <c r="E583" t="s">
        <v>980</v>
      </c>
      <c r="F583">
        <v>41</v>
      </c>
      <c r="G583">
        <v>30.87</v>
      </c>
      <c r="H583">
        <v>102.08</v>
      </c>
      <c r="I583">
        <v>28.19</v>
      </c>
      <c r="J583">
        <v>93.22</v>
      </c>
      <c r="K583">
        <v>4</v>
      </c>
      <c r="T583">
        <v>3</v>
      </c>
      <c r="U583">
        <v>2</v>
      </c>
      <c r="V583" t="s">
        <v>93</v>
      </c>
      <c r="W583">
        <v>102</v>
      </c>
      <c r="X583">
        <v>5</v>
      </c>
      <c r="Y583">
        <v>5</v>
      </c>
      <c r="Z583" t="s">
        <v>981</v>
      </c>
      <c r="AA583" t="s">
        <v>982</v>
      </c>
      <c r="AB583" t="s">
        <v>96</v>
      </c>
      <c r="AC583" t="s">
        <v>97</v>
      </c>
      <c r="AD583" t="s">
        <v>725</v>
      </c>
      <c r="AG583" t="s">
        <v>983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721</v>
      </c>
      <c r="B584">
        <v>123398</v>
      </c>
      <c r="C584">
        <v>1</v>
      </c>
      <c r="D584" t="s">
        <v>988</v>
      </c>
      <c r="E584" t="s">
        <v>989</v>
      </c>
      <c r="F584">
        <v>280</v>
      </c>
      <c r="G584">
        <v>19.95</v>
      </c>
      <c r="H584">
        <v>65.97</v>
      </c>
      <c r="I584">
        <v>14.99</v>
      </c>
      <c r="J584">
        <v>49.58</v>
      </c>
      <c r="K584">
        <v>32</v>
      </c>
      <c r="T584">
        <v>2</v>
      </c>
      <c r="U584">
        <v>1</v>
      </c>
      <c r="V584" t="s">
        <v>93</v>
      </c>
      <c r="W584">
        <v>65</v>
      </c>
      <c r="X584">
        <v>20</v>
      </c>
      <c r="Y584">
        <v>15</v>
      </c>
      <c r="Z584" t="s">
        <v>990</v>
      </c>
      <c r="AA584" t="s">
        <v>991</v>
      </c>
      <c r="AB584" t="s">
        <v>96</v>
      </c>
      <c r="AC584" t="s">
        <v>97</v>
      </c>
      <c r="AD584" t="s">
        <v>725</v>
      </c>
      <c r="AG584" t="s">
        <v>992</v>
      </c>
      <c r="AH584">
        <v>0</v>
      </c>
      <c r="AI584">
        <v>237</v>
      </c>
      <c r="AJ584">
        <v>24</v>
      </c>
      <c r="AK584">
        <v>280</v>
      </c>
      <c r="AL584">
        <v>1</v>
      </c>
    </row>
    <row r="585" spans="1:38" x14ac:dyDescent="0.3">
      <c r="A585" t="s">
        <v>721</v>
      </c>
      <c r="B585">
        <v>123398</v>
      </c>
      <c r="C585">
        <v>2</v>
      </c>
      <c r="D585" t="s">
        <v>988</v>
      </c>
      <c r="E585" t="s">
        <v>989</v>
      </c>
      <c r="F585">
        <v>280</v>
      </c>
      <c r="G585">
        <v>24.22</v>
      </c>
      <c r="H585">
        <v>80.08</v>
      </c>
      <c r="I585">
        <v>18.14</v>
      </c>
      <c r="J585">
        <v>59.98</v>
      </c>
      <c r="K585">
        <v>180</v>
      </c>
      <c r="T585">
        <v>3</v>
      </c>
      <c r="U585">
        <v>2</v>
      </c>
      <c r="V585" t="s">
        <v>93</v>
      </c>
      <c r="W585" t="s">
        <v>511</v>
      </c>
      <c r="X585">
        <v>20</v>
      </c>
      <c r="Y585">
        <v>15</v>
      </c>
      <c r="Z585" t="s">
        <v>990</v>
      </c>
      <c r="AA585" t="s">
        <v>991</v>
      </c>
      <c r="AB585" t="s">
        <v>96</v>
      </c>
      <c r="AC585" t="s">
        <v>97</v>
      </c>
      <c r="AD585" t="s">
        <v>725</v>
      </c>
      <c r="AG585" t="s">
        <v>992</v>
      </c>
      <c r="AH585">
        <v>0</v>
      </c>
      <c r="AI585">
        <v>237</v>
      </c>
      <c r="AJ585">
        <v>24</v>
      </c>
      <c r="AK585">
        <v>280</v>
      </c>
      <c r="AL585">
        <v>1</v>
      </c>
    </row>
    <row r="586" spans="1:38" x14ac:dyDescent="0.3">
      <c r="A586" t="s">
        <v>721</v>
      </c>
      <c r="B586">
        <v>123398</v>
      </c>
      <c r="C586">
        <v>3</v>
      </c>
      <c r="D586" t="s">
        <v>988</v>
      </c>
      <c r="E586" t="s">
        <v>989</v>
      </c>
      <c r="F586">
        <v>280</v>
      </c>
      <c r="G586">
        <v>24.22</v>
      </c>
      <c r="H586">
        <v>80.08</v>
      </c>
      <c r="I586">
        <v>18.14</v>
      </c>
      <c r="J586">
        <v>59.99</v>
      </c>
      <c r="K586">
        <v>33</v>
      </c>
      <c r="T586">
        <v>3</v>
      </c>
      <c r="U586">
        <v>2</v>
      </c>
      <c r="V586" t="s">
        <v>93</v>
      </c>
      <c r="W586" t="s">
        <v>516</v>
      </c>
      <c r="X586">
        <v>20</v>
      </c>
      <c r="Y586">
        <v>15</v>
      </c>
      <c r="Z586" t="s">
        <v>990</v>
      </c>
      <c r="AA586" t="s">
        <v>991</v>
      </c>
      <c r="AB586" t="s">
        <v>96</v>
      </c>
      <c r="AC586" t="s">
        <v>97</v>
      </c>
      <c r="AD586" t="s">
        <v>725</v>
      </c>
      <c r="AG586" t="s">
        <v>992</v>
      </c>
      <c r="AH586">
        <v>0</v>
      </c>
      <c r="AI586">
        <v>237</v>
      </c>
      <c r="AJ586">
        <v>24</v>
      </c>
      <c r="AK586">
        <v>280</v>
      </c>
      <c r="AL586">
        <v>1</v>
      </c>
    </row>
    <row r="587" spans="1:38" x14ac:dyDescent="0.3">
      <c r="A587" t="s">
        <v>721</v>
      </c>
      <c r="B587">
        <v>123398</v>
      </c>
      <c r="C587">
        <v>4</v>
      </c>
      <c r="D587" t="s">
        <v>988</v>
      </c>
      <c r="E587" t="s">
        <v>989</v>
      </c>
      <c r="F587">
        <v>280</v>
      </c>
      <c r="G587">
        <v>29.97</v>
      </c>
      <c r="H587">
        <v>99.09</v>
      </c>
      <c r="I587">
        <v>22.67</v>
      </c>
      <c r="J587">
        <v>74.95</v>
      </c>
      <c r="K587">
        <v>31</v>
      </c>
      <c r="T587">
        <v>3</v>
      </c>
      <c r="U587">
        <v>2</v>
      </c>
      <c r="V587" t="s">
        <v>93</v>
      </c>
      <c r="W587">
        <v>99</v>
      </c>
      <c r="X587">
        <v>20</v>
      </c>
      <c r="Y587">
        <v>15</v>
      </c>
      <c r="Z587" t="s">
        <v>990</v>
      </c>
      <c r="AA587" t="s">
        <v>991</v>
      </c>
      <c r="AB587" t="s">
        <v>96</v>
      </c>
      <c r="AC587" t="s">
        <v>97</v>
      </c>
      <c r="AD587" t="s">
        <v>725</v>
      </c>
      <c r="AG587" t="s">
        <v>992</v>
      </c>
      <c r="AH587">
        <v>0</v>
      </c>
      <c r="AI587">
        <v>237</v>
      </c>
      <c r="AJ587">
        <v>24</v>
      </c>
      <c r="AK587">
        <v>280</v>
      </c>
      <c r="AL587">
        <v>1</v>
      </c>
    </row>
    <row r="588" spans="1:38" x14ac:dyDescent="0.3">
      <c r="A588" t="s">
        <v>721</v>
      </c>
      <c r="B588">
        <v>123398</v>
      </c>
      <c r="C588">
        <v>5</v>
      </c>
      <c r="D588" t="s">
        <v>988</v>
      </c>
      <c r="E588" t="s">
        <v>989</v>
      </c>
      <c r="F588">
        <v>280</v>
      </c>
      <c r="G588">
        <v>35.049999999999997</v>
      </c>
      <c r="H588">
        <v>115.87</v>
      </c>
      <c r="I588">
        <v>25.7</v>
      </c>
      <c r="J588">
        <v>84.99</v>
      </c>
      <c r="K588">
        <v>3</v>
      </c>
      <c r="T588">
        <v>4</v>
      </c>
      <c r="U588">
        <v>2</v>
      </c>
      <c r="V588" t="s">
        <v>93</v>
      </c>
      <c r="W588" t="s">
        <v>601</v>
      </c>
      <c r="X588">
        <v>20</v>
      </c>
      <c r="Y588">
        <v>15</v>
      </c>
      <c r="Z588" t="s">
        <v>990</v>
      </c>
      <c r="AA588" t="s">
        <v>991</v>
      </c>
      <c r="AB588" t="s">
        <v>96</v>
      </c>
      <c r="AC588" t="s">
        <v>97</v>
      </c>
      <c r="AD588" t="s">
        <v>725</v>
      </c>
      <c r="AG588" t="s">
        <v>992</v>
      </c>
      <c r="AH588">
        <v>0</v>
      </c>
      <c r="AI588">
        <v>237</v>
      </c>
      <c r="AJ588">
        <v>24</v>
      </c>
      <c r="AK588">
        <v>280</v>
      </c>
      <c r="AL588">
        <v>1</v>
      </c>
    </row>
    <row r="589" spans="1:38" x14ac:dyDescent="0.3">
      <c r="A589" t="s">
        <v>721</v>
      </c>
      <c r="B589">
        <v>123398</v>
      </c>
      <c r="C589">
        <v>6</v>
      </c>
      <c r="D589" t="s">
        <v>988</v>
      </c>
      <c r="E589" t="s">
        <v>989</v>
      </c>
      <c r="F589">
        <v>280</v>
      </c>
      <c r="G589">
        <v>34.83</v>
      </c>
      <c r="H589">
        <v>115.17</v>
      </c>
      <c r="I589">
        <v>25.7</v>
      </c>
      <c r="J589">
        <v>84.98</v>
      </c>
      <c r="K589">
        <v>1</v>
      </c>
      <c r="T589">
        <v>4</v>
      </c>
      <c r="U589">
        <v>2</v>
      </c>
      <c r="V589" t="s">
        <v>93</v>
      </c>
      <c r="W589" t="s">
        <v>993</v>
      </c>
      <c r="X589">
        <v>20</v>
      </c>
      <c r="Y589">
        <v>15</v>
      </c>
      <c r="Z589" t="s">
        <v>990</v>
      </c>
      <c r="AA589" t="s">
        <v>991</v>
      </c>
      <c r="AB589" t="s">
        <v>96</v>
      </c>
      <c r="AC589" t="s">
        <v>97</v>
      </c>
      <c r="AD589" t="s">
        <v>725</v>
      </c>
      <c r="AG589" t="s">
        <v>992</v>
      </c>
      <c r="AH589">
        <v>0</v>
      </c>
      <c r="AI589">
        <v>237</v>
      </c>
      <c r="AJ589">
        <v>24</v>
      </c>
      <c r="AK589">
        <v>280</v>
      </c>
      <c r="AL589">
        <v>1</v>
      </c>
    </row>
    <row r="590" spans="1:38" x14ac:dyDescent="0.3">
      <c r="A590" t="s">
        <v>721</v>
      </c>
      <c r="B590">
        <v>122466</v>
      </c>
      <c r="C590">
        <v>1</v>
      </c>
      <c r="D590" t="s">
        <v>994</v>
      </c>
      <c r="E590" t="s">
        <v>995</v>
      </c>
      <c r="F590">
        <v>282</v>
      </c>
      <c r="G590">
        <v>25.96</v>
      </c>
      <c r="H590">
        <v>85.82</v>
      </c>
      <c r="I590">
        <v>18.12</v>
      </c>
      <c r="J590">
        <v>59.93</v>
      </c>
      <c r="K590">
        <v>61</v>
      </c>
      <c r="T590">
        <v>3</v>
      </c>
      <c r="U590">
        <v>2</v>
      </c>
      <c r="V590" t="s">
        <v>93</v>
      </c>
      <c r="W590" t="s">
        <v>996</v>
      </c>
      <c r="X590">
        <v>33</v>
      </c>
      <c r="Y590">
        <v>10</v>
      </c>
      <c r="Z590" t="s">
        <v>997</v>
      </c>
      <c r="AA590" t="s">
        <v>998</v>
      </c>
      <c r="AB590" t="s">
        <v>96</v>
      </c>
      <c r="AC590" t="s">
        <v>97</v>
      </c>
      <c r="AD590" t="s">
        <v>725</v>
      </c>
      <c r="AG590" t="s">
        <v>999</v>
      </c>
      <c r="AH590">
        <v>0</v>
      </c>
      <c r="AI590">
        <v>299</v>
      </c>
      <c r="AJ590">
        <v>19</v>
      </c>
      <c r="AK590">
        <v>311</v>
      </c>
      <c r="AL590">
        <v>1.1000000000000001</v>
      </c>
    </row>
    <row r="591" spans="1:38" x14ac:dyDescent="0.3">
      <c r="A591" t="s">
        <v>721</v>
      </c>
      <c r="B591">
        <v>122466</v>
      </c>
      <c r="C591">
        <v>2</v>
      </c>
      <c r="D591" t="s">
        <v>994</v>
      </c>
      <c r="E591" t="s">
        <v>995</v>
      </c>
      <c r="F591">
        <v>282</v>
      </c>
      <c r="G591">
        <v>25.79</v>
      </c>
      <c r="H591">
        <v>85.26</v>
      </c>
      <c r="I591">
        <v>18.13</v>
      </c>
      <c r="J591">
        <v>59.94</v>
      </c>
      <c r="K591">
        <v>36</v>
      </c>
      <c r="T591">
        <v>3</v>
      </c>
      <c r="U591">
        <v>2</v>
      </c>
      <c r="V591" t="s">
        <v>93</v>
      </c>
      <c r="W591" t="s">
        <v>1000</v>
      </c>
      <c r="X591">
        <v>33</v>
      </c>
      <c r="Y591">
        <v>10</v>
      </c>
      <c r="Z591" t="s">
        <v>997</v>
      </c>
      <c r="AA591" t="s">
        <v>998</v>
      </c>
      <c r="AB591" t="s">
        <v>96</v>
      </c>
      <c r="AC591" t="s">
        <v>97</v>
      </c>
      <c r="AD591" t="s">
        <v>725</v>
      </c>
      <c r="AG591" t="s">
        <v>999</v>
      </c>
      <c r="AH591">
        <v>0</v>
      </c>
      <c r="AI591">
        <v>299</v>
      </c>
      <c r="AJ591">
        <v>19</v>
      </c>
      <c r="AK591">
        <v>311</v>
      </c>
      <c r="AL591">
        <v>1.1000000000000001</v>
      </c>
    </row>
    <row r="592" spans="1:38" x14ac:dyDescent="0.3">
      <c r="A592" t="s">
        <v>721</v>
      </c>
      <c r="B592">
        <v>122466</v>
      </c>
      <c r="C592">
        <v>3</v>
      </c>
      <c r="D592" t="s">
        <v>994</v>
      </c>
      <c r="E592" t="s">
        <v>995</v>
      </c>
      <c r="F592">
        <v>282</v>
      </c>
      <c r="G592">
        <v>25.87</v>
      </c>
      <c r="H592">
        <v>85.54</v>
      </c>
      <c r="I592">
        <v>18.12</v>
      </c>
      <c r="J592">
        <v>59.91</v>
      </c>
      <c r="K592">
        <v>10</v>
      </c>
      <c r="T592">
        <v>3</v>
      </c>
      <c r="U592">
        <v>2</v>
      </c>
      <c r="V592" t="s">
        <v>93</v>
      </c>
      <c r="W592" t="s">
        <v>1001</v>
      </c>
      <c r="X592">
        <v>33</v>
      </c>
      <c r="Y592">
        <v>10</v>
      </c>
      <c r="Z592" t="s">
        <v>997</v>
      </c>
      <c r="AA592" t="s">
        <v>998</v>
      </c>
      <c r="AB592" t="s">
        <v>96</v>
      </c>
      <c r="AC592" t="s">
        <v>97</v>
      </c>
      <c r="AD592" t="s">
        <v>725</v>
      </c>
      <c r="AG592" t="s">
        <v>999</v>
      </c>
      <c r="AH592">
        <v>0</v>
      </c>
      <c r="AI592">
        <v>299</v>
      </c>
      <c r="AJ592">
        <v>19</v>
      </c>
      <c r="AK592">
        <v>311</v>
      </c>
      <c r="AL592">
        <v>1.1000000000000001</v>
      </c>
    </row>
    <row r="593" spans="1:38" x14ac:dyDescent="0.3">
      <c r="A593" t="s">
        <v>721</v>
      </c>
      <c r="B593">
        <v>122466</v>
      </c>
      <c r="C593">
        <v>4</v>
      </c>
      <c r="D593" t="s">
        <v>994</v>
      </c>
      <c r="E593" t="s">
        <v>995</v>
      </c>
      <c r="F593">
        <v>282</v>
      </c>
      <c r="G593">
        <v>30.4</v>
      </c>
      <c r="H593">
        <v>100.52</v>
      </c>
      <c r="I593">
        <v>22.89</v>
      </c>
      <c r="J593">
        <v>75.680000000000007</v>
      </c>
      <c r="K593">
        <v>54</v>
      </c>
      <c r="T593">
        <v>3</v>
      </c>
      <c r="U593">
        <v>2</v>
      </c>
      <c r="V593" t="s">
        <v>93</v>
      </c>
      <c r="W593" t="s">
        <v>1002</v>
      </c>
      <c r="X593">
        <v>33</v>
      </c>
      <c r="Y593">
        <v>10</v>
      </c>
      <c r="Z593" t="s">
        <v>997</v>
      </c>
      <c r="AA593" t="s">
        <v>998</v>
      </c>
      <c r="AB593" t="s">
        <v>96</v>
      </c>
      <c r="AC593" t="s">
        <v>97</v>
      </c>
      <c r="AD593" t="s">
        <v>725</v>
      </c>
      <c r="AG593" t="s">
        <v>999</v>
      </c>
      <c r="AH593">
        <v>0</v>
      </c>
      <c r="AI593">
        <v>299</v>
      </c>
      <c r="AJ593">
        <v>19</v>
      </c>
      <c r="AK593">
        <v>311</v>
      </c>
      <c r="AL593">
        <v>1.1000000000000001</v>
      </c>
    </row>
    <row r="594" spans="1:38" x14ac:dyDescent="0.3">
      <c r="A594" t="s">
        <v>721</v>
      </c>
      <c r="B594">
        <v>122466</v>
      </c>
      <c r="C594">
        <v>5</v>
      </c>
      <c r="D594" t="s">
        <v>994</v>
      </c>
      <c r="E594" t="s">
        <v>995</v>
      </c>
      <c r="F594">
        <v>282</v>
      </c>
      <c r="G594">
        <v>30.62</v>
      </c>
      <c r="H594">
        <v>101.25</v>
      </c>
      <c r="I594">
        <v>22.82</v>
      </c>
      <c r="J594">
        <v>75.45</v>
      </c>
      <c r="K594">
        <v>57</v>
      </c>
      <c r="T594">
        <v>3</v>
      </c>
      <c r="U594">
        <v>2</v>
      </c>
      <c r="V594" t="s">
        <v>93</v>
      </c>
      <c r="W594" t="s">
        <v>1003</v>
      </c>
      <c r="X594">
        <v>33</v>
      </c>
      <c r="Y594">
        <v>10</v>
      </c>
      <c r="Z594" t="s">
        <v>997</v>
      </c>
      <c r="AA594" t="s">
        <v>998</v>
      </c>
      <c r="AB594" t="s">
        <v>96</v>
      </c>
      <c r="AC594" t="s">
        <v>97</v>
      </c>
      <c r="AD594" t="s">
        <v>725</v>
      </c>
      <c r="AG594" t="s">
        <v>999</v>
      </c>
      <c r="AH594">
        <v>0</v>
      </c>
      <c r="AI594">
        <v>299</v>
      </c>
      <c r="AJ594">
        <v>19</v>
      </c>
      <c r="AK594">
        <v>311</v>
      </c>
      <c r="AL594">
        <v>1.1000000000000001</v>
      </c>
    </row>
    <row r="595" spans="1:38" x14ac:dyDescent="0.3">
      <c r="A595" t="s">
        <v>721</v>
      </c>
      <c r="B595">
        <v>122466</v>
      </c>
      <c r="C595">
        <v>6</v>
      </c>
      <c r="D595" t="s">
        <v>994</v>
      </c>
      <c r="E595" t="s">
        <v>995</v>
      </c>
      <c r="F595">
        <v>282</v>
      </c>
      <c r="G595">
        <v>34.4</v>
      </c>
      <c r="H595">
        <v>113.73</v>
      </c>
      <c r="I595">
        <v>25.7</v>
      </c>
      <c r="J595">
        <v>84.97</v>
      </c>
      <c r="K595">
        <v>64</v>
      </c>
      <c r="T595">
        <v>3</v>
      </c>
      <c r="U595">
        <v>2</v>
      </c>
      <c r="V595" t="s">
        <v>93</v>
      </c>
      <c r="W595">
        <v>113</v>
      </c>
      <c r="X595">
        <v>33</v>
      </c>
      <c r="Y595">
        <v>10</v>
      </c>
      <c r="Z595" t="s">
        <v>997</v>
      </c>
      <c r="AA595" t="s">
        <v>998</v>
      </c>
      <c r="AB595" t="s">
        <v>96</v>
      </c>
      <c r="AC595" t="s">
        <v>97</v>
      </c>
      <c r="AD595" t="s">
        <v>725</v>
      </c>
      <c r="AG595" t="s">
        <v>999</v>
      </c>
      <c r="AH595">
        <v>0</v>
      </c>
      <c r="AI595">
        <v>299</v>
      </c>
      <c r="AJ595">
        <v>19</v>
      </c>
      <c r="AK595">
        <v>311</v>
      </c>
      <c r="AL595">
        <v>1.1000000000000001</v>
      </c>
    </row>
    <row r="596" spans="1:38" x14ac:dyDescent="0.3">
      <c r="A596" t="s">
        <v>721</v>
      </c>
      <c r="B596">
        <v>9761</v>
      </c>
      <c r="C596">
        <v>1</v>
      </c>
      <c r="D596" t="s">
        <v>1004</v>
      </c>
      <c r="E596" t="s">
        <v>1005</v>
      </c>
      <c r="F596">
        <v>150</v>
      </c>
      <c r="G596">
        <v>18.28</v>
      </c>
      <c r="H596">
        <v>60.45</v>
      </c>
      <c r="I596">
        <v>15.18</v>
      </c>
      <c r="J596">
        <v>50.19</v>
      </c>
      <c r="K596">
        <v>24</v>
      </c>
      <c r="T596">
        <v>3</v>
      </c>
      <c r="U596">
        <v>1</v>
      </c>
      <c r="V596" t="s">
        <v>93</v>
      </c>
      <c r="W596" t="s">
        <v>1006</v>
      </c>
      <c r="X596">
        <v>5</v>
      </c>
      <c r="Y596">
        <v>5</v>
      </c>
      <c r="Z596" t="s">
        <v>1007</v>
      </c>
      <c r="AA596" t="s">
        <v>1008</v>
      </c>
      <c r="AB596" t="s">
        <v>96</v>
      </c>
      <c r="AC596" t="s">
        <v>97</v>
      </c>
      <c r="AD596" t="s">
        <v>725</v>
      </c>
      <c r="AG596" t="s">
        <v>1009</v>
      </c>
      <c r="AH596">
        <v>0</v>
      </c>
      <c r="AI596">
        <v>156</v>
      </c>
      <c r="AJ596">
        <v>31</v>
      </c>
      <c r="AK596">
        <v>150</v>
      </c>
      <c r="AL596">
        <v>1</v>
      </c>
    </row>
    <row r="597" spans="1:38" x14ac:dyDescent="0.3">
      <c r="A597" t="s">
        <v>721</v>
      </c>
      <c r="B597">
        <v>9761</v>
      </c>
      <c r="C597">
        <v>2</v>
      </c>
      <c r="D597" t="s">
        <v>1004</v>
      </c>
      <c r="E597" t="s">
        <v>1005</v>
      </c>
      <c r="F597">
        <v>150</v>
      </c>
      <c r="G597">
        <v>18.420000000000002</v>
      </c>
      <c r="H597">
        <v>60.9</v>
      </c>
      <c r="I597">
        <v>15.31</v>
      </c>
      <c r="J597">
        <v>50.64</v>
      </c>
      <c r="K597">
        <v>6</v>
      </c>
      <c r="T597">
        <v>3</v>
      </c>
      <c r="U597">
        <v>1</v>
      </c>
      <c r="V597" t="s">
        <v>93</v>
      </c>
      <c r="W597" t="s">
        <v>1010</v>
      </c>
      <c r="X597">
        <v>5</v>
      </c>
      <c r="Y597">
        <v>5</v>
      </c>
      <c r="Z597" t="s">
        <v>1007</v>
      </c>
      <c r="AA597" t="s">
        <v>1008</v>
      </c>
      <c r="AB597" t="s">
        <v>96</v>
      </c>
      <c r="AC597" t="s">
        <v>97</v>
      </c>
      <c r="AD597" t="s">
        <v>725</v>
      </c>
      <c r="AG597" t="s">
        <v>1009</v>
      </c>
      <c r="AH597">
        <v>0</v>
      </c>
      <c r="AI597">
        <v>156</v>
      </c>
      <c r="AJ597">
        <v>31</v>
      </c>
      <c r="AK597">
        <v>150</v>
      </c>
      <c r="AL597">
        <v>1</v>
      </c>
    </row>
    <row r="598" spans="1:38" x14ac:dyDescent="0.3">
      <c r="A598" t="s">
        <v>721</v>
      </c>
      <c r="B598">
        <v>9761</v>
      </c>
      <c r="C598">
        <v>3</v>
      </c>
      <c r="D598" t="s">
        <v>1004</v>
      </c>
      <c r="E598" t="s">
        <v>1005</v>
      </c>
      <c r="F598">
        <v>150</v>
      </c>
      <c r="G598">
        <v>21.4</v>
      </c>
      <c r="H598">
        <v>70.760000000000005</v>
      </c>
      <c r="I598">
        <v>17.77</v>
      </c>
      <c r="J598">
        <v>58.77</v>
      </c>
      <c r="K598">
        <v>96</v>
      </c>
      <c r="T598">
        <v>3</v>
      </c>
      <c r="U598">
        <v>1</v>
      </c>
      <c r="V598" t="s">
        <v>93</v>
      </c>
      <c r="W598">
        <v>70</v>
      </c>
      <c r="X598">
        <v>5</v>
      </c>
      <c r="Y598">
        <v>5</v>
      </c>
      <c r="Z598" t="s">
        <v>1007</v>
      </c>
      <c r="AA598" t="s">
        <v>1008</v>
      </c>
      <c r="AB598" t="s">
        <v>96</v>
      </c>
      <c r="AC598" t="s">
        <v>97</v>
      </c>
      <c r="AD598" t="s">
        <v>725</v>
      </c>
      <c r="AG598" t="s">
        <v>1009</v>
      </c>
      <c r="AH598">
        <v>0</v>
      </c>
      <c r="AI598">
        <v>156</v>
      </c>
      <c r="AJ598">
        <v>31</v>
      </c>
      <c r="AK598">
        <v>150</v>
      </c>
      <c r="AL598">
        <v>1</v>
      </c>
    </row>
    <row r="599" spans="1:38" x14ac:dyDescent="0.3">
      <c r="A599" t="s">
        <v>721</v>
      </c>
      <c r="B599">
        <v>9761</v>
      </c>
      <c r="C599">
        <v>4</v>
      </c>
      <c r="D599" t="s">
        <v>1004</v>
      </c>
      <c r="E599" t="s">
        <v>1005</v>
      </c>
      <c r="F599">
        <v>150</v>
      </c>
      <c r="G599">
        <v>21.55</v>
      </c>
      <c r="H599">
        <v>71.239999999999995</v>
      </c>
      <c r="I599">
        <v>17.920000000000002</v>
      </c>
      <c r="J599">
        <v>59.25</v>
      </c>
      <c r="K599">
        <v>24</v>
      </c>
      <c r="T599">
        <v>3</v>
      </c>
      <c r="U599">
        <v>1</v>
      </c>
      <c r="V599" t="s">
        <v>93</v>
      </c>
      <c r="W599">
        <v>71</v>
      </c>
      <c r="X599">
        <v>5</v>
      </c>
      <c r="Y599">
        <v>5</v>
      </c>
      <c r="Z599" t="s">
        <v>1007</v>
      </c>
      <c r="AA599" t="s">
        <v>1008</v>
      </c>
      <c r="AB599" t="s">
        <v>96</v>
      </c>
      <c r="AC599" t="s">
        <v>97</v>
      </c>
      <c r="AD599" t="s">
        <v>725</v>
      </c>
      <c r="AG599" t="s">
        <v>1009</v>
      </c>
      <c r="AH599">
        <v>0</v>
      </c>
      <c r="AI599">
        <v>156</v>
      </c>
      <c r="AJ599">
        <v>31</v>
      </c>
      <c r="AK599">
        <v>150</v>
      </c>
      <c r="AL599">
        <v>1</v>
      </c>
    </row>
    <row r="600" spans="1:38" x14ac:dyDescent="0.3">
      <c r="A600" t="s">
        <v>721</v>
      </c>
      <c r="B600">
        <v>2437</v>
      </c>
      <c r="C600">
        <v>1</v>
      </c>
      <c r="D600" t="s">
        <v>1011</v>
      </c>
      <c r="E600" t="s">
        <v>1012</v>
      </c>
      <c r="F600">
        <v>392</v>
      </c>
      <c r="G600">
        <v>22.34</v>
      </c>
      <c r="H600">
        <v>73.86</v>
      </c>
      <c r="I600">
        <v>17.21</v>
      </c>
      <c r="J600">
        <v>56.92</v>
      </c>
      <c r="K600">
        <v>140</v>
      </c>
      <c r="T600">
        <v>3</v>
      </c>
      <c r="U600">
        <v>1</v>
      </c>
      <c r="V600" t="s">
        <v>138</v>
      </c>
      <c r="W600">
        <v>73</v>
      </c>
      <c r="X600">
        <v>20</v>
      </c>
      <c r="Y600">
        <v>10</v>
      </c>
      <c r="Z600" t="s">
        <v>1013</v>
      </c>
      <c r="AA600" t="s">
        <v>1014</v>
      </c>
      <c r="AB600" t="s">
        <v>96</v>
      </c>
      <c r="AC600" t="s">
        <v>97</v>
      </c>
      <c r="AD600" t="s">
        <v>725</v>
      </c>
      <c r="AG600" t="s">
        <v>1015</v>
      </c>
      <c r="AH600">
        <v>0</v>
      </c>
      <c r="AI600">
        <v>299</v>
      </c>
      <c r="AJ600">
        <v>24</v>
      </c>
      <c r="AK600">
        <v>152</v>
      </c>
      <c r="AL600">
        <v>0.39</v>
      </c>
    </row>
    <row r="601" spans="1:38" x14ac:dyDescent="0.3">
      <c r="A601" t="s">
        <v>721</v>
      </c>
      <c r="B601">
        <v>2437</v>
      </c>
      <c r="C601">
        <v>2</v>
      </c>
      <c r="D601" t="s">
        <v>1011</v>
      </c>
      <c r="E601" t="s">
        <v>1012</v>
      </c>
      <c r="F601">
        <v>392</v>
      </c>
      <c r="G601">
        <v>23.54</v>
      </c>
      <c r="H601">
        <v>77.84</v>
      </c>
      <c r="I601">
        <v>18.059999999999999</v>
      </c>
      <c r="J601">
        <v>59.71</v>
      </c>
      <c r="K601">
        <v>203</v>
      </c>
      <c r="T601">
        <v>3</v>
      </c>
      <c r="U601">
        <v>1</v>
      </c>
      <c r="V601" t="s">
        <v>138</v>
      </c>
      <c r="W601">
        <v>77</v>
      </c>
      <c r="X601">
        <v>20</v>
      </c>
      <c r="Y601">
        <v>10</v>
      </c>
      <c r="Z601" t="s">
        <v>1013</v>
      </c>
      <c r="AA601" t="s">
        <v>1014</v>
      </c>
      <c r="AB601" t="s">
        <v>96</v>
      </c>
      <c r="AC601" t="s">
        <v>97</v>
      </c>
      <c r="AD601" t="s">
        <v>725</v>
      </c>
      <c r="AG601" t="s">
        <v>1015</v>
      </c>
      <c r="AH601">
        <v>0</v>
      </c>
      <c r="AI601">
        <v>299</v>
      </c>
      <c r="AJ601">
        <v>24</v>
      </c>
      <c r="AK601">
        <v>152</v>
      </c>
      <c r="AL601">
        <v>0.39</v>
      </c>
    </row>
    <row r="602" spans="1:38" x14ac:dyDescent="0.3">
      <c r="A602" t="s">
        <v>721</v>
      </c>
      <c r="B602">
        <v>2437</v>
      </c>
      <c r="C602">
        <v>3</v>
      </c>
      <c r="D602" t="s">
        <v>1011</v>
      </c>
      <c r="E602" t="s">
        <v>1012</v>
      </c>
      <c r="F602">
        <v>392</v>
      </c>
      <c r="G602">
        <v>25.95</v>
      </c>
      <c r="H602">
        <v>85.8</v>
      </c>
      <c r="I602">
        <v>19.75</v>
      </c>
      <c r="J602">
        <v>65.290000000000006</v>
      </c>
      <c r="K602">
        <v>49</v>
      </c>
      <c r="T602">
        <v>3</v>
      </c>
      <c r="U602">
        <v>1</v>
      </c>
      <c r="V602" t="s">
        <v>138</v>
      </c>
      <c r="W602">
        <v>85</v>
      </c>
      <c r="X602">
        <v>20</v>
      </c>
      <c r="Y602">
        <v>10</v>
      </c>
      <c r="Z602" t="s">
        <v>1013</v>
      </c>
      <c r="AA602" t="s">
        <v>1014</v>
      </c>
      <c r="AB602" t="s">
        <v>96</v>
      </c>
      <c r="AC602" t="s">
        <v>97</v>
      </c>
      <c r="AD602" t="s">
        <v>725</v>
      </c>
      <c r="AG602" t="s">
        <v>1015</v>
      </c>
      <c r="AH602">
        <v>0</v>
      </c>
      <c r="AI602">
        <v>299</v>
      </c>
      <c r="AJ602">
        <v>24</v>
      </c>
      <c r="AK602">
        <v>152</v>
      </c>
      <c r="AL602">
        <v>0.39</v>
      </c>
    </row>
    <row r="603" spans="1:38" x14ac:dyDescent="0.3">
      <c r="A603" t="s">
        <v>721</v>
      </c>
      <c r="B603">
        <v>9940</v>
      </c>
      <c r="C603">
        <v>1</v>
      </c>
      <c r="D603" t="s">
        <v>1016</v>
      </c>
      <c r="E603" t="s">
        <v>1017</v>
      </c>
      <c r="F603">
        <v>84</v>
      </c>
      <c r="G603">
        <v>17.82</v>
      </c>
      <c r="H603">
        <v>58.93</v>
      </c>
      <c r="I603">
        <v>13.62</v>
      </c>
      <c r="J603">
        <v>45.04</v>
      </c>
      <c r="K603">
        <v>78</v>
      </c>
      <c r="T603">
        <v>3</v>
      </c>
      <c r="U603">
        <v>1</v>
      </c>
      <c r="V603" t="s">
        <v>93</v>
      </c>
      <c r="W603">
        <v>58</v>
      </c>
      <c r="X603">
        <v>6</v>
      </c>
      <c r="Y603">
        <v>6</v>
      </c>
      <c r="Z603" t="s">
        <v>1018</v>
      </c>
      <c r="AA603" t="s">
        <v>1019</v>
      </c>
      <c r="AB603" t="s">
        <v>96</v>
      </c>
      <c r="AC603" t="s">
        <v>97</v>
      </c>
      <c r="AD603" t="s">
        <v>725</v>
      </c>
      <c r="AG603" t="s">
        <v>1020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721</v>
      </c>
      <c r="B604">
        <v>9940</v>
      </c>
      <c r="C604">
        <v>2</v>
      </c>
      <c r="D604" t="s">
        <v>1016</v>
      </c>
      <c r="E604" t="s">
        <v>1017</v>
      </c>
      <c r="F604">
        <v>84</v>
      </c>
      <c r="G604">
        <v>22.7</v>
      </c>
      <c r="H604">
        <v>75.06</v>
      </c>
      <c r="I604">
        <v>17.75</v>
      </c>
      <c r="J604">
        <v>58.7</v>
      </c>
      <c r="K604">
        <v>6</v>
      </c>
      <c r="T604">
        <v>3</v>
      </c>
      <c r="U604">
        <v>1</v>
      </c>
      <c r="V604" t="s">
        <v>93</v>
      </c>
      <c r="W604">
        <v>75</v>
      </c>
      <c r="X604">
        <v>6</v>
      </c>
      <c r="Y604">
        <v>6</v>
      </c>
      <c r="Z604" t="s">
        <v>1018</v>
      </c>
      <c r="AA604" t="s">
        <v>1019</v>
      </c>
      <c r="AB604" t="s">
        <v>96</v>
      </c>
      <c r="AC604" t="s">
        <v>97</v>
      </c>
      <c r="AD604" t="s">
        <v>725</v>
      </c>
      <c r="AG604" t="s">
        <v>1020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721</v>
      </c>
      <c r="B605">
        <v>2433</v>
      </c>
      <c r="C605">
        <v>1</v>
      </c>
      <c r="D605" t="s">
        <v>1021</v>
      </c>
      <c r="E605" t="s">
        <v>1022</v>
      </c>
      <c r="F605">
        <v>1674</v>
      </c>
      <c r="G605">
        <v>16.420000000000002</v>
      </c>
      <c r="H605">
        <v>54.3</v>
      </c>
      <c r="I605">
        <v>11.3</v>
      </c>
      <c r="J605">
        <v>37.380000000000003</v>
      </c>
      <c r="K605">
        <v>712</v>
      </c>
      <c r="T605">
        <v>2</v>
      </c>
      <c r="U605">
        <v>1</v>
      </c>
      <c r="V605" t="s">
        <v>138</v>
      </c>
      <c r="W605">
        <v>54</v>
      </c>
      <c r="X605">
        <v>24</v>
      </c>
      <c r="Y605">
        <v>17</v>
      </c>
      <c r="Z605" t="s">
        <v>1023</v>
      </c>
      <c r="AA605" t="s">
        <v>1024</v>
      </c>
      <c r="AB605" t="s">
        <v>96</v>
      </c>
      <c r="AC605" t="s">
        <v>97</v>
      </c>
      <c r="AD605" t="s">
        <v>725</v>
      </c>
      <c r="AG605" t="s">
        <v>1025</v>
      </c>
      <c r="AH605">
        <v>0</v>
      </c>
      <c r="AI605">
        <v>249</v>
      </c>
      <c r="AJ605">
        <v>19</v>
      </c>
      <c r="AK605">
        <v>1720</v>
      </c>
      <c r="AL605">
        <v>1.03</v>
      </c>
    </row>
    <row r="606" spans="1:38" x14ac:dyDescent="0.3">
      <c r="A606" t="s">
        <v>721</v>
      </c>
      <c r="B606">
        <v>2433</v>
      </c>
      <c r="C606">
        <v>2</v>
      </c>
      <c r="D606" t="s">
        <v>1021</v>
      </c>
      <c r="E606" t="s">
        <v>1022</v>
      </c>
      <c r="F606">
        <v>1674</v>
      </c>
      <c r="G606">
        <v>16.54</v>
      </c>
      <c r="H606">
        <v>54.7</v>
      </c>
      <c r="I606">
        <v>11.42</v>
      </c>
      <c r="J606">
        <v>37.78</v>
      </c>
      <c r="K606">
        <v>2</v>
      </c>
      <c r="T606">
        <v>2</v>
      </c>
      <c r="U606">
        <v>1</v>
      </c>
      <c r="V606" t="s">
        <v>138</v>
      </c>
      <c r="W606">
        <v>54</v>
      </c>
      <c r="X606">
        <v>24</v>
      </c>
      <c r="Y606">
        <v>17</v>
      </c>
      <c r="Z606" t="s">
        <v>1023</v>
      </c>
      <c r="AA606" t="s">
        <v>1024</v>
      </c>
      <c r="AB606" t="s">
        <v>96</v>
      </c>
      <c r="AC606" t="s">
        <v>97</v>
      </c>
      <c r="AD606" t="s">
        <v>725</v>
      </c>
      <c r="AG606" t="s">
        <v>1025</v>
      </c>
      <c r="AH606">
        <v>0</v>
      </c>
      <c r="AI606">
        <v>249</v>
      </c>
      <c r="AJ606">
        <v>19</v>
      </c>
      <c r="AK606">
        <v>1720</v>
      </c>
      <c r="AL606">
        <v>1.03</v>
      </c>
    </row>
    <row r="607" spans="1:38" x14ac:dyDescent="0.3">
      <c r="A607" t="s">
        <v>721</v>
      </c>
      <c r="B607">
        <v>2433</v>
      </c>
      <c r="C607">
        <v>3</v>
      </c>
      <c r="D607" t="s">
        <v>1021</v>
      </c>
      <c r="E607" t="s">
        <v>1022</v>
      </c>
      <c r="F607">
        <v>1674</v>
      </c>
      <c r="G607">
        <v>24.55</v>
      </c>
      <c r="H607">
        <v>81.19</v>
      </c>
      <c r="I607">
        <v>18.12</v>
      </c>
      <c r="J607">
        <v>59.91</v>
      </c>
      <c r="K607">
        <v>960</v>
      </c>
      <c r="T607">
        <v>3</v>
      </c>
      <c r="U607">
        <v>1</v>
      </c>
      <c r="V607" t="s">
        <v>93</v>
      </c>
      <c r="W607">
        <v>81</v>
      </c>
      <c r="X607">
        <v>24</v>
      </c>
      <c r="Y607">
        <v>17</v>
      </c>
      <c r="Z607" t="s">
        <v>1023</v>
      </c>
      <c r="AA607" t="s">
        <v>1024</v>
      </c>
      <c r="AB607" t="s">
        <v>96</v>
      </c>
      <c r="AC607" t="s">
        <v>97</v>
      </c>
      <c r="AD607" t="s">
        <v>725</v>
      </c>
      <c r="AG607" t="s">
        <v>1025</v>
      </c>
      <c r="AH607">
        <v>0</v>
      </c>
      <c r="AI607">
        <v>249</v>
      </c>
      <c r="AJ607">
        <v>19</v>
      </c>
      <c r="AK607">
        <v>1720</v>
      </c>
      <c r="AL607">
        <v>1.03</v>
      </c>
    </row>
    <row r="608" spans="1:38" x14ac:dyDescent="0.3">
      <c r="A608" t="s">
        <v>721</v>
      </c>
      <c r="B608">
        <v>2432</v>
      </c>
      <c r="C608">
        <v>1</v>
      </c>
      <c r="D608" t="s">
        <v>1026</v>
      </c>
      <c r="E608" t="s">
        <v>1027</v>
      </c>
      <c r="F608">
        <v>480</v>
      </c>
      <c r="G608">
        <v>19.63</v>
      </c>
      <c r="H608">
        <v>64.900000000000006</v>
      </c>
      <c r="I608">
        <v>16.04</v>
      </c>
      <c r="J608">
        <v>53.05</v>
      </c>
      <c r="K608">
        <v>180</v>
      </c>
      <c r="T608">
        <v>2</v>
      </c>
      <c r="U608">
        <v>1</v>
      </c>
      <c r="V608" t="s">
        <v>93</v>
      </c>
      <c r="W608">
        <v>64</v>
      </c>
      <c r="X608">
        <v>15</v>
      </c>
      <c r="Y608">
        <v>15</v>
      </c>
      <c r="Z608" t="s">
        <v>1028</v>
      </c>
      <c r="AA608" t="s">
        <v>1029</v>
      </c>
      <c r="AB608" t="s">
        <v>96</v>
      </c>
      <c r="AC608" t="s">
        <v>97</v>
      </c>
      <c r="AD608" t="s">
        <v>725</v>
      </c>
      <c r="AG608" t="s">
        <v>1030</v>
      </c>
      <c r="AH608">
        <v>0</v>
      </c>
      <c r="AI608">
        <v>217</v>
      </c>
      <c r="AJ608">
        <v>16</v>
      </c>
      <c r="AK608">
        <v>204</v>
      </c>
      <c r="AL608">
        <v>0.42</v>
      </c>
    </row>
    <row r="609" spans="1:38" x14ac:dyDescent="0.3">
      <c r="A609" t="s">
        <v>721</v>
      </c>
      <c r="B609">
        <v>2432</v>
      </c>
      <c r="C609">
        <v>2</v>
      </c>
      <c r="D609" t="s">
        <v>1026</v>
      </c>
      <c r="E609" t="s">
        <v>1027</v>
      </c>
      <c r="F609">
        <v>480</v>
      </c>
      <c r="G609">
        <v>22.79</v>
      </c>
      <c r="H609">
        <v>75.349999999999994</v>
      </c>
      <c r="I609">
        <v>18.63</v>
      </c>
      <c r="J609">
        <v>61.6</v>
      </c>
      <c r="K609">
        <v>90</v>
      </c>
      <c r="T609">
        <v>2</v>
      </c>
      <c r="U609">
        <v>1</v>
      </c>
      <c r="V609" t="s">
        <v>93</v>
      </c>
      <c r="W609">
        <v>75</v>
      </c>
      <c r="X609">
        <v>15</v>
      </c>
      <c r="Y609">
        <v>15</v>
      </c>
      <c r="Z609" t="s">
        <v>1028</v>
      </c>
      <c r="AA609" t="s">
        <v>1029</v>
      </c>
      <c r="AB609" t="s">
        <v>96</v>
      </c>
      <c r="AC609" t="s">
        <v>97</v>
      </c>
      <c r="AD609" t="s">
        <v>725</v>
      </c>
      <c r="AG609" t="s">
        <v>1030</v>
      </c>
      <c r="AH609">
        <v>0</v>
      </c>
      <c r="AI609">
        <v>217</v>
      </c>
      <c r="AJ609">
        <v>16</v>
      </c>
      <c r="AK609">
        <v>204</v>
      </c>
      <c r="AL609">
        <v>0.42</v>
      </c>
    </row>
    <row r="610" spans="1:38" x14ac:dyDescent="0.3">
      <c r="A610" t="s">
        <v>721</v>
      </c>
      <c r="B610">
        <v>2432</v>
      </c>
      <c r="C610">
        <v>3</v>
      </c>
      <c r="D610" t="s">
        <v>1026</v>
      </c>
      <c r="E610" t="s">
        <v>1027</v>
      </c>
      <c r="F610">
        <v>480</v>
      </c>
      <c r="G610">
        <v>24.47</v>
      </c>
      <c r="H610">
        <v>80.92</v>
      </c>
      <c r="I610">
        <v>20.239999999999998</v>
      </c>
      <c r="J610">
        <v>66.91</v>
      </c>
      <c r="K610">
        <v>60</v>
      </c>
      <c r="T610">
        <v>3</v>
      </c>
      <c r="U610">
        <v>1</v>
      </c>
      <c r="V610" t="s">
        <v>93</v>
      </c>
      <c r="W610">
        <v>80</v>
      </c>
      <c r="X610">
        <v>15</v>
      </c>
      <c r="Y610">
        <v>15</v>
      </c>
      <c r="Z610" t="s">
        <v>1028</v>
      </c>
      <c r="AA610" t="s">
        <v>1029</v>
      </c>
      <c r="AB610" t="s">
        <v>96</v>
      </c>
      <c r="AC610" t="s">
        <v>97</v>
      </c>
      <c r="AD610" t="s">
        <v>725</v>
      </c>
      <c r="AG610" t="s">
        <v>1030</v>
      </c>
      <c r="AH610">
        <v>0</v>
      </c>
      <c r="AI610">
        <v>217</v>
      </c>
      <c r="AJ610">
        <v>16</v>
      </c>
      <c r="AK610">
        <v>204</v>
      </c>
      <c r="AL610">
        <v>0.42</v>
      </c>
    </row>
    <row r="611" spans="1:38" x14ac:dyDescent="0.3">
      <c r="A611" t="s">
        <v>721</v>
      </c>
      <c r="B611">
        <v>2432</v>
      </c>
      <c r="C611">
        <v>4</v>
      </c>
      <c r="D611" t="s">
        <v>1026</v>
      </c>
      <c r="E611" t="s">
        <v>1027</v>
      </c>
      <c r="F611">
        <v>480</v>
      </c>
      <c r="G611">
        <v>25.14</v>
      </c>
      <c r="H611">
        <v>83.13</v>
      </c>
      <c r="I611">
        <v>20.78</v>
      </c>
      <c r="J611">
        <v>68.7</v>
      </c>
      <c r="K611">
        <v>90</v>
      </c>
      <c r="T611">
        <v>3</v>
      </c>
      <c r="U611">
        <v>1</v>
      </c>
      <c r="V611" t="s">
        <v>93</v>
      </c>
      <c r="W611">
        <v>83</v>
      </c>
      <c r="X611">
        <v>15</v>
      </c>
      <c r="Y611">
        <v>15</v>
      </c>
      <c r="Z611" t="s">
        <v>1028</v>
      </c>
      <c r="AA611" t="s">
        <v>1029</v>
      </c>
      <c r="AB611" t="s">
        <v>96</v>
      </c>
      <c r="AC611" t="s">
        <v>97</v>
      </c>
      <c r="AD611" t="s">
        <v>725</v>
      </c>
      <c r="AG611" t="s">
        <v>1030</v>
      </c>
      <c r="AH611">
        <v>0</v>
      </c>
      <c r="AI611">
        <v>217</v>
      </c>
      <c r="AJ611">
        <v>16</v>
      </c>
      <c r="AK611">
        <v>204</v>
      </c>
      <c r="AL611">
        <v>0.42</v>
      </c>
    </row>
    <row r="612" spans="1:38" x14ac:dyDescent="0.3">
      <c r="A612" t="s">
        <v>721</v>
      </c>
      <c r="B612">
        <v>2432</v>
      </c>
      <c r="C612">
        <v>5</v>
      </c>
      <c r="D612" t="s">
        <v>1026</v>
      </c>
      <c r="E612" t="s">
        <v>1027</v>
      </c>
      <c r="F612">
        <v>480</v>
      </c>
      <c r="G612">
        <v>27.39</v>
      </c>
      <c r="H612">
        <v>90.55</v>
      </c>
      <c r="I612">
        <v>22.65</v>
      </c>
      <c r="J612">
        <v>74.88</v>
      </c>
      <c r="K612">
        <v>60</v>
      </c>
      <c r="T612">
        <v>3</v>
      </c>
      <c r="U612">
        <v>1</v>
      </c>
      <c r="V612" t="s">
        <v>93</v>
      </c>
      <c r="W612">
        <v>90</v>
      </c>
      <c r="X612">
        <v>15</v>
      </c>
      <c r="Y612">
        <v>15</v>
      </c>
      <c r="Z612" t="s">
        <v>1028</v>
      </c>
      <c r="AA612" t="s">
        <v>1029</v>
      </c>
      <c r="AB612" t="s">
        <v>96</v>
      </c>
      <c r="AC612" t="s">
        <v>97</v>
      </c>
      <c r="AD612" t="s">
        <v>725</v>
      </c>
      <c r="AG612" t="s">
        <v>1030</v>
      </c>
      <c r="AH612">
        <v>0</v>
      </c>
      <c r="AI612">
        <v>217</v>
      </c>
      <c r="AJ612">
        <v>16</v>
      </c>
      <c r="AK612">
        <v>204</v>
      </c>
      <c r="AL612">
        <v>0.42</v>
      </c>
    </row>
    <row r="613" spans="1:38" x14ac:dyDescent="0.3">
      <c r="A613" t="s">
        <v>721</v>
      </c>
      <c r="B613">
        <v>143101</v>
      </c>
      <c r="C613">
        <v>1</v>
      </c>
      <c r="D613" t="s">
        <v>1031</v>
      </c>
      <c r="E613" t="s">
        <v>1032</v>
      </c>
      <c r="F613">
        <v>2371</v>
      </c>
      <c r="G613">
        <v>23.07</v>
      </c>
      <c r="H613">
        <v>76.27</v>
      </c>
      <c r="I613">
        <v>16.309999999999999</v>
      </c>
      <c r="J613">
        <v>53.94</v>
      </c>
      <c r="K613">
        <v>256</v>
      </c>
      <c r="T613">
        <v>2</v>
      </c>
      <c r="U613">
        <v>1</v>
      </c>
      <c r="V613" t="s">
        <v>93</v>
      </c>
      <c r="W613" t="s">
        <v>1033</v>
      </c>
      <c r="X613">
        <v>34</v>
      </c>
      <c r="Y613">
        <v>18</v>
      </c>
      <c r="Z613" t="s">
        <v>1034</v>
      </c>
      <c r="AA613" t="s">
        <v>1035</v>
      </c>
      <c r="AB613" t="s">
        <v>96</v>
      </c>
      <c r="AC613" t="s">
        <v>97</v>
      </c>
      <c r="AD613" t="s">
        <v>725</v>
      </c>
      <c r="AG613" t="s">
        <v>515</v>
      </c>
      <c r="AH613">
        <v>133</v>
      </c>
      <c r="AI613">
        <v>0</v>
      </c>
      <c r="AJ613">
        <v>0</v>
      </c>
      <c r="AK613">
        <v>2938</v>
      </c>
      <c r="AL613">
        <v>1.24</v>
      </c>
    </row>
    <row r="614" spans="1:38" x14ac:dyDescent="0.3">
      <c r="A614" t="s">
        <v>721</v>
      </c>
      <c r="B614">
        <v>143101</v>
      </c>
      <c r="C614">
        <v>2</v>
      </c>
      <c r="D614" t="s">
        <v>1031</v>
      </c>
      <c r="E614" t="s">
        <v>1032</v>
      </c>
      <c r="F614">
        <v>2371</v>
      </c>
      <c r="G614">
        <v>23.28</v>
      </c>
      <c r="H614">
        <v>76.959999999999994</v>
      </c>
      <c r="I614">
        <v>16.28</v>
      </c>
      <c r="J614">
        <v>53.83</v>
      </c>
      <c r="K614">
        <v>99</v>
      </c>
      <c r="T614">
        <v>2</v>
      </c>
      <c r="U614">
        <v>1</v>
      </c>
      <c r="V614" t="s">
        <v>93</v>
      </c>
      <c r="W614" t="s">
        <v>1036</v>
      </c>
      <c r="X614">
        <v>34</v>
      </c>
      <c r="Y614">
        <v>18</v>
      </c>
      <c r="Z614" t="s">
        <v>1034</v>
      </c>
      <c r="AA614" t="s">
        <v>1035</v>
      </c>
      <c r="AB614" t="s">
        <v>96</v>
      </c>
      <c r="AC614" t="s">
        <v>97</v>
      </c>
      <c r="AD614" t="s">
        <v>725</v>
      </c>
      <c r="AG614" t="s">
        <v>515</v>
      </c>
      <c r="AH614">
        <v>133</v>
      </c>
      <c r="AI614">
        <v>0</v>
      </c>
      <c r="AJ614">
        <v>0</v>
      </c>
      <c r="AK614">
        <v>2938</v>
      </c>
      <c r="AL614">
        <v>1.24</v>
      </c>
    </row>
    <row r="615" spans="1:38" x14ac:dyDescent="0.3">
      <c r="A615" t="s">
        <v>721</v>
      </c>
      <c r="B615">
        <v>143101</v>
      </c>
      <c r="C615">
        <v>3</v>
      </c>
      <c r="D615" t="s">
        <v>1031</v>
      </c>
      <c r="E615" t="s">
        <v>1032</v>
      </c>
      <c r="F615">
        <v>2371</v>
      </c>
      <c r="G615">
        <v>23.3</v>
      </c>
      <c r="H615">
        <v>77.05</v>
      </c>
      <c r="I615">
        <v>16.27</v>
      </c>
      <c r="J615">
        <v>53.8</v>
      </c>
      <c r="K615">
        <v>95</v>
      </c>
      <c r="T615">
        <v>2</v>
      </c>
      <c r="U615">
        <v>1</v>
      </c>
      <c r="V615" t="s">
        <v>93</v>
      </c>
      <c r="W615" t="s">
        <v>1037</v>
      </c>
      <c r="X615">
        <v>34</v>
      </c>
      <c r="Y615">
        <v>18</v>
      </c>
      <c r="Z615" t="s">
        <v>1034</v>
      </c>
      <c r="AA615" t="s">
        <v>1035</v>
      </c>
      <c r="AB615" t="s">
        <v>96</v>
      </c>
      <c r="AC615" t="s">
        <v>97</v>
      </c>
      <c r="AD615" t="s">
        <v>725</v>
      </c>
      <c r="AG615" t="s">
        <v>515</v>
      </c>
      <c r="AH615">
        <v>133</v>
      </c>
      <c r="AI615">
        <v>0</v>
      </c>
      <c r="AJ615">
        <v>0</v>
      </c>
      <c r="AK615">
        <v>2938</v>
      </c>
      <c r="AL615">
        <v>1.24</v>
      </c>
    </row>
    <row r="616" spans="1:38" x14ac:dyDescent="0.3">
      <c r="A616" t="s">
        <v>721</v>
      </c>
      <c r="B616">
        <v>143101</v>
      </c>
      <c r="C616">
        <v>4</v>
      </c>
      <c r="D616" t="s">
        <v>1031</v>
      </c>
      <c r="E616" t="s">
        <v>1032</v>
      </c>
      <c r="F616">
        <v>2371</v>
      </c>
      <c r="G616">
        <v>26.12</v>
      </c>
      <c r="H616">
        <v>86.37</v>
      </c>
      <c r="I616">
        <v>18.079999999999998</v>
      </c>
      <c r="J616">
        <v>59.79</v>
      </c>
      <c r="K616">
        <v>625</v>
      </c>
      <c r="T616">
        <v>3</v>
      </c>
      <c r="U616">
        <v>2</v>
      </c>
      <c r="V616" t="s">
        <v>93</v>
      </c>
      <c r="W616" t="s">
        <v>1038</v>
      </c>
      <c r="X616">
        <v>34</v>
      </c>
      <c r="Y616">
        <v>18</v>
      </c>
      <c r="Z616" t="s">
        <v>1034</v>
      </c>
      <c r="AA616" t="s">
        <v>1035</v>
      </c>
      <c r="AB616" t="s">
        <v>96</v>
      </c>
      <c r="AC616" t="s">
        <v>97</v>
      </c>
      <c r="AD616" t="s">
        <v>725</v>
      </c>
      <c r="AG616" t="s">
        <v>515</v>
      </c>
      <c r="AH616">
        <v>133</v>
      </c>
      <c r="AI616">
        <v>0</v>
      </c>
      <c r="AJ616">
        <v>0</v>
      </c>
      <c r="AK616">
        <v>2938</v>
      </c>
      <c r="AL616">
        <v>1.24</v>
      </c>
    </row>
    <row r="617" spans="1:38" x14ac:dyDescent="0.3">
      <c r="A617" t="s">
        <v>721</v>
      </c>
      <c r="B617">
        <v>143101</v>
      </c>
      <c r="C617">
        <v>5</v>
      </c>
      <c r="D617" t="s">
        <v>1031</v>
      </c>
      <c r="E617" t="s">
        <v>1032</v>
      </c>
      <c r="F617">
        <v>2371</v>
      </c>
      <c r="G617">
        <v>26.65</v>
      </c>
      <c r="H617">
        <v>88.13</v>
      </c>
      <c r="I617">
        <v>18.100000000000001</v>
      </c>
      <c r="J617">
        <v>59.86</v>
      </c>
      <c r="K617">
        <v>276</v>
      </c>
      <c r="T617">
        <v>3</v>
      </c>
      <c r="U617">
        <v>2</v>
      </c>
      <c r="V617" t="s">
        <v>93</v>
      </c>
      <c r="W617" t="s">
        <v>1039</v>
      </c>
      <c r="X617">
        <v>34</v>
      </c>
      <c r="Y617">
        <v>18</v>
      </c>
      <c r="Z617" t="s">
        <v>1034</v>
      </c>
      <c r="AA617" t="s">
        <v>1035</v>
      </c>
      <c r="AB617" t="s">
        <v>96</v>
      </c>
      <c r="AC617" t="s">
        <v>97</v>
      </c>
      <c r="AD617" t="s">
        <v>725</v>
      </c>
      <c r="AG617" t="s">
        <v>515</v>
      </c>
      <c r="AH617">
        <v>133</v>
      </c>
      <c r="AI617">
        <v>0</v>
      </c>
      <c r="AJ617">
        <v>0</v>
      </c>
      <c r="AK617">
        <v>2938</v>
      </c>
      <c r="AL617">
        <v>1.24</v>
      </c>
    </row>
    <row r="618" spans="1:38" x14ac:dyDescent="0.3">
      <c r="A618" t="s">
        <v>721</v>
      </c>
      <c r="B618">
        <v>143101</v>
      </c>
      <c r="C618">
        <v>6</v>
      </c>
      <c r="D618" t="s">
        <v>1031</v>
      </c>
      <c r="E618" t="s">
        <v>1032</v>
      </c>
      <c r="F618">
        <v>2371</v>
      </c>
      <c r="G618">
        <v>34.549999999999997</v>
      </c>
      <c r="H618">
        <v>114.22</v>
      </c>
      <c r="I618">
        <v>25.57</v>
      </c>
      <c r="J618">
        <v>84.53</v>
      </c>
      <c r="K618">
        <v>366</v>
      </c>
      <c r="T618">
        <v>3</v>
      </c>
      <c r="U618">
        <v>2</v>
      </c>
      <c r="V618" t="s">
        <v>93</v>
      </c>
      <c r="W618" t="s">
        <v>1040</v>
      </c>
      <c r="X618">
        <v>34</v>
      </c>
      <c r="Y618">
        <v>18</v>
      </c>
      <c r="Z618" t="s">
        <v>1034</v>
      </c>
      <c r="AA618" t="s">
        <v>1035</v>
      </c>
      <c r="AB618" t="s">
        <v>96</v>
      </c>
      <c r="AC618" t="s">
        <v>97</v>
      </c>
      <c r="AD618" t="s">
        <v>725</v>
      </c>
      <c r="AG618" t="s">
        <v>515</v>
      </c>
      <c r="AH618">
        <v>133</v>
      </c>
      <c r="AI618">
        <v>0</v>
      </c>
      <c r="AJ618">
        <v>0</v>
      </c>
      <c r="AK618">
        <v>2938</v>
      </c>
      <c r="AL618">
        <v>1.24</v>
      </c>
    </row>
    <row r="619" spans="1:38" x14ac:dyDescent="0.3">
      <c r="A619" t="s">
        <v>721</v>
      </c>
      <c r="B619">
        <v>143101</v>
      </c>
      <c r="C619">
        <v>7</v>
      </c>
      <c r="D619" t="s">
        <v>1031</v>
      </c>
      <c r="E619" t="s">
        <v>1032</v>
      </c>
      <c r="F619">
        <v>2371</v>
      </c>
      <c r="G619">
        <v>34.53</v>
      </c>
      <c r="H619">
        <v>114.16</v>
      </c>
      <c r="I619">
        <v>25.56</v>
      </c>
      <c r="J619">
        <v>84.5</v>
      </c>
      <c r="K619">
        <v>128</v>
      </c>
      <c r="T619">
        <v>3</v>
      </c>
      <c r="U619">
        <v>2</v>
      </c>
      <c r="V619" t="s">
        <v>93</v>
      </c>
      <c r="W619" t="s">
        <v>507</v>
      </c>
      <c r="X619">
        <v>34</v>
      </c>
      <c r="Y619">
        <v>18</v>
      </c>
      <c r="Z619" t="s">
        <v>1034</v>
      </c>
      <c r="AA619" t="s">
        <v>1035</v>
      </c>
      <c r="AB619" t="s">
        <v>96</v>
      </c>
      <c r="AC619" t="s">
        <v>97</v>
      </c>
      <c r="AD619" t="s">
        <v>725</v>
      </c>
      <c r="AG619" t="s">
        <v>515</v>
      </c>
      <c r="AH619">
        <v>133</v>
      </c>
      <c r="AI619">
        <v>0</v>
      </c>
      <c r="AJ619">
        <v>0</v>
      </c>
      <c r="AK619">
        <v>2938</v>
      </c>
      <c r="AL619">
        <v>1.24</v>
      </c>
    </row>
    <row r="620" spans="1:38" x14ac:dyDescent="0.3">
      <c r="A620" t="s">
        <v>721</v>
      </c>
      <c r="B620">
        <v>143101</v>
      </c>
      <c r="C620">
        <v>8</v>
      </c>
      <c r="D620" t="s">
        <v>1031</v>
      </c>
      <c r="E620" t="s">
        <v>1032</v>
      </c>
      <c r="F620">
        <v>2371</v>
      </c>
      <c r="G620">
        <v>34.94</v>
      </c>
      <c r="H620">
        <v>115.53</v>
      </c>
      <c r="I620">
        <v>25.65</v>
      </c>
      <c r="J620">
        <v>84.81</v>
      </c>
      <c r="K620">
        <v>393</v>
      </c>
      <c r="T620">
        <v>3</v>
      </c>
      <c r="U620">
        <v>2</v>
      </c>
      <c r="V620" t="s">
        <v>93</v>
      </c>
      <c r="W620" t="s">
        <v>1041</v>
      </c>
      <c r="X620">
        <v>34</v>
      </c>
      <c r="Y620">
        <v>18</v>
      </c>
      <c r="Z620" t="s">
        <v>1034</v>
      </c>
      <c r="AA620" t="s">
        <v>1035</v>
      </c>
      <c r="AB620" t="s">
        <v>96</v>
      </c>
      <c r="AC620" t="s">
        <v>97</v>
      </c>
      <c r="AD620" t="s">
        <v>725</v>
      </c>
      <c r="AG620" t="s">
        <v>515</v>
      </c>
      <c r="AH620">
        <v>133</v>
      </c>
      <c r="AI620">
        <v>0</v>
      </c>
      <c r="AJ620">
        <v>0</v>
      </c>
      <c r="AK620">
        <v>2938</v>
      </c>
      <c r="AL620">
        <v>1.24</v>
      </c>
    </row>
    <row r="621" spans="1:38" x14ac:dyDescent="0.3">
      <c r="A621" t="s">
        <v>721</v>
      </c>
      <c r="B621">
        <v>8544</v>
      </c>
      <c r="C621">
        <v>1</v>
      </c>
      <c r="D621" t="s">
        <v>1042</v>
      </c>
      <c r="E621" t="s">
        <v>1043</v>
      </c>
      <c r="F621">
        <v>82</v>
      </c>
      <c r="G621">
        <v>14.13</v>
      </c>
      <c r="H621">
        <v>46.73</v>
      </c>
      <c r="I621">
        <v>10.49</v>
      </c>
      <c r="J621">
        <v>34.700000000000003</v>
      </c>
      <c r="K621">
        <v>1</v>
      </c>
      <c r="T621">
        <v>2</v>
      </c>
      <c r="U621">
        <v>1</v>
      </c>
      <c r="V621" t="s">
        <v>338</v>
      </c>
      <c r="W621">
        <v>46</v>
      </c>
      <c r="X621">
        <v>6</v>
      </c>
      <c r="Y621">
        <v>5</v>
      </c>
      <c r="Z621" t="s">
        <v>1044</v>
      </c>
      <c r="AA621" t="s">
        <v>1045</v>
      </c>
      <c r="AB621" t="s">
        <v>96</v>
      </c>
      <c r="AC621" t="s">
        <v>97</v>
      </c>
      <c r="AD621" t="s">
        <v>725</v>
      </c>
      <c r="AG621" t="s">
        <v>1046</v>
      </c>
      <c r="AH621">
        <v>0</v>
      </c>
      <c r="AI621">
        <v>187</v>
      </c>
      <c r="AJ621">
        <v>32</v>
      </c>
      <c r="AK621">
        <v>17</v>
      </c>
      <c r="AL621">
        <v>0.21</v>
      </c>
    </row>
    <row r="622" spans="1:38" x14ac:dyDescent="0.3">
      <c r="A622" t="s">
        <v>721</v>
      </c>
      <c r="B622">
        <v>8544</v>
      </c>
      <c r="C622">
        <v>2</v>
      </c>
      <c r="D622" t="s">
        <v>1042</v>
      </c>
      <c r="E622" t="s">
        <v>1043</v>
      </c>
      <c r="F622">
        <v>82</v>
      </c>
      <c r="G622">
        <v>16.600000000000001</v>
      </c>
      <c r="H622">
        <v>54.9</v>
      </c>
      <c r="I622">
        <v>12.66</v>
      </c>
      <c r="J622">
        <v>41.88</v>
      </c>
      <c r="K622">
        <v>4</v>
      </c>
      <c r="T622">
        <v>2</v>
      </c>
      <c r="U622">
        <v>1</v>
      </c>
      <c r="V622" t="s">
        <v>338</v>
      </c>
      <c r="W622">
        <v>54</v>
      </c>
      <c r="X622">
        <v>6</v>
      </c>
      <c r="Y622">
        <v>5</v>
      </c>
      <c r="Z622" t="s">
        <v>1044</v>
      </c>
      <c r="AA622" t="s">
        <v>1045</v>
      </c>
      <c r="AB622" t="s">
        <v>96</v>
      </c>
      <c r="AC622" t="s">
        <v>97</v>
      </c>
      <c r="AD622" t="s">
        <v>725</v>
      </c>
      <c r="AG622" t="s">
        <v>1046</v>
      </c>
      <c r="AH622">
        <v>0</v>
      </c>
      <c r="AI622">
        <v>187</v>
      </c>
      <c r="AJ622">
        <v>32</v>
      </c>
      <c r="AK622">
        <v>17</v>
      </c>
      <c r="AL622">
        <v>0.21</v>
      </c>
    </row>
    <row r="623" spans="1:38" x14ac:dyDescent="0.3">
      <c r="A623" t="s">
        <v>721</v>
      </c>
      <c r="B623">
        <v>8544</v>
      </c>
      <c r="C623">
        <v>3</v>
      </c>
      <c r="D623" t="s">
        <v>1042</v>
      </c>
      <c r="E623" t="s">
        <v>1043</v>
      </c>
      <c r="F623">
        <v>82</v>
      </c>
      <c r="G623">
        <v>19.7</v>
      </c>
      <c r="H623">
        <v>65.150000000000006</v>
      </c>
      <c r="I623">
        <v>15.33</v>
      </c>
      <c r="J623">
        <v>50.68</v>
      </c>
      <c r="K623">
        <v>40</v>
      </c>
      <c r="T623">
        <v>3</v>
      </c>
      <c r="U623">
        <v>1</v>
      </c>
      <c r="V623" t="s">
        <v>93</v>
      </c>
      <c r="W623">
        <v>65</v>
      </c>
      <c r="X623">
        <v>6</v>
      </c>
      <c r="Y623">
        <v>5</v>
      </c>
      <c r="Z623" t="s">
        <v>1044</v>
      </c>
      <c r="AA623" t="s">
        <v>1045</v>
      </c>
      <c r="AB623" t="s">
        <v>96</v>
      </c>
      <c r="AC623" t="s">
        <v>97</v>
      </c>
      <c r="AD623" t="s">
        <v>725</v>
      </c>
      <c r="AG623" t="s">
        <v>1046</v>
      </c>
      <c r="AH623">
        <v>0</v>
      </c>
      <c r="AI623">
        <v>187</v>
      </c>
      <c r="AJ623">
        <v>32</v>
      </c>
      <c r="AK623">
        <v>17</v>
      </c>
      <c r="AL623">
        <v>0.21</v>
      </c>
    </row>
    <row r="624" spans="1:38" x14ac:dyDescent="0.3">
      <c r="A624" t="s">
        <v>721</v>
      </c>
      <c r="B624">
        <v>8544</v>
      </c>
      <c r="C624">
        <v>4</v>
      </c>
      <c r="D624" t="s">
        <v>1042</v>
      </c>
      <c r="E624" t="s">
        <v>1043</v>
      </c>
      <c r="F624">
        <v>82</v>
      </c>
      <c r="G624">
        <v>20.67</v>
      </c>
      <c r="H624">
        <v>68.36</v>
      </c>
      <c r="I624">
        <v>14.61</v>
      </c>
      <c r="J624">
        <v>48.3</v>
      </c>
      <c r="K624">
        <v>2</v>
      </c>
      <c r="T624">
        <v>3</v>
      </c>
      <c r="U624">
        <v>1</v>
      </c>
      <c r="V624" t="s">
        <v>93</v>
      </c>
      <c r="W624" t="s">
        <v>1047</v>
      </c>
      <c r="X624">
        <v>6</v>
      </c>
      <c r="Y624">
        <v>5</v>
      </c>
      <c r="Z624" t="s">
        <v>1044</v>
      </c>
      <c r="AA624" t="s">
        <v>1045</v>
      </c>
      <c r="AB624" t="s">
        <v>96</v>
      </c>
      <c r="AC624" t="s">
        <v>97</v>
      </c>
      <c r="AD624" t="s">
        <v>725</v>
      </c>
      <c r="AG624" t="s">
        <v>1046</v>
      </c>
      <c r="AH624">
        <v>0</v>
      </c>
      <c r="AI624">
        <v>187</v>
      </c>
      <c r="AJ624">
        <v>32</v>
      </c>
      <c r="AK624">
        <v>17</v>
      </c>
      <c r="AL624">
        <v>0.21</v>
      </c>
    </row>
    <row r="625" spans="1:38" x14ac:dyDescent="0.3">
      <c r="A625" t="s">
        <v>721</v>
      </c>
      <c r="B625">
        <v>8544</v>
      </c>
      <c r="C625">
        <v>5</v>
      </c>
      <c r="D625" t="s">
        <v>1042</v>
      </c>
      <c r="E625" t="s">
        <v>1043</v>
      </c>
      <c r="F625">
        <v>82</v>
      </c>
      <c r="G625">
        <v>21.24</v>
      </c>
      <c r="H625">
        <v>70.239999999999995</v>
      </c>
      <c r="I625">
        <v>16.55</v>
      </c>
      <c r="J625">
        <v>54.74</v>
      </c>
      <c r="K625">
        <v>35</v>
      </c>
      <c r="T625">
        <v>3</v>
      </c>
      <c r="U625">
        <v>1</v>
      </c>
      <c r="V625" t="s">
        <v>93</v>
      </c>
      <c r="W625" t="s">
        <v>984</v>
      </c>
      <c r="X625">
        <v>6</v>
      </c>
      <c r="Y625">
        <v>5</v>
      </c>
      <c r="Z625" t="s">
        <v>1044</v>
      </c>
      <c r="AA625" t="s">
        <v>1045</v>
      </c>
      <c r="AB625" t="s">
        <v>96</v>
      </c>
      <c r="AC625" t="s">
        <v>97</v>
      </c>
      <c r="AD625" t="s">
        <v>725</v>
      </c>
      <c r="AG625" t="s">
        <v>1046</v>
      </c>
      <c r="AH625">
        <v>0</v>
      </c>
      <c r="AI625">
        <v>187</v>
      </c>
      <c r="AJ625">
        <v>32</v>
      </c>
      <c r="AK625">
        <v>17</v>
      </c>
      <c r="AL625">
        <v>0.21</v>
      </c>
    </row>
    <row r="626" spans="1:38" x14ac:dyDescent="0.3">
      <c r="A626" t="s">
        <v>721</v>
      </c>
      <c r="B626">
        <v>104931</v>
      </c>
      <c r="C626">
        <v>1</v>
      </c>
      <c r="D626" t="s">
        <v>582</v>
      </c>
      <c r="E626" t="s">
        <v>1048</v>
      </c>
      <c r="F626">
        <v>102</v>
      </c>
      <c r="G626">
        <v>22.78</v>
      </c>
      <c r="H626">
        <v>75.33</v>
      </c>
      <c r="I626">
        <v>17.760000000000002</v>
      </c>
      <c r="J626">
        <v>58.73</v>
      </c>
      <c r="K626">
        <v>23</v>
      </c>
      <c r="T626">
        <v>2</v>
      </c>
      <c r="U626">
        <v>2</v>
      </c>
      <c r="V626" t="s">
        <v>93</v>
      </c>
      <c r="W626">
        <v>75</v>
      </c>
      <c r="X626">
        <v>15</v>
      </c>
      <c r="Y626">
        <v>9</v>
      </c>
      <c r="Z626" t="s">
        <v>1049</v>
      </c>
      <c r="AA626" t="s">
        <v>1050</v>
      </c>
      <c r="AB626" t="s">
        <v>96</v>
      </c>
      <c r="AC626" t="s">
        <v>97</v>
      </c>
      <c r="AD626" t="s">
        <v>725</v>
      </c>
      <c r="AG626" t="s">
        <v>1051</v>
      </c>
      <c r="AH626">
        <v>0</v>
      </c>
      <c r="AI626">
        <v>236</v>
      </c>
      <c r="AJ626">
        <v>29</v>
      </c>
      <c r="AK626">
        <v>105</v>
      </c>
      <c r="AL626">
        <v>1.03</v>
      </c>
    </row>
    <row r="627" spans="1:38" x14ac:dyDescent="0.3">
      <c r="A627" t="s">
        <v>721</v>
      </c>
      <c r="B627">
        <v>104931</v>
      </c>
      <c r="C627">
        <v>2</v>
      </c>
      <c r="D627" t="s">
        <v>582</v>
      </c>
      <c r="E627" t="s">
        <v>1048</v>
      </c>
      <c r="F627">
        <v>102</v>
      </c>
      <c r="G627">
        <v>27.69</v>
      </c>
      <c r="H627">
        <v>91.57</v>
      </c>
      <c r="I627">
        <v>21.86</v>
      </c>
      <c r="J627">
        <v>72.28</v>
      </c>
      <c r="K627">
        <v>49</v>
      </c>
      <c r="T627">
        <v>3</v>
      </c>
      <c r="U627">
        <v>2</v>
      </c>
      <c r="V627" t="s">
        <v>93</v>
      </c>
      <c r="W627" t="s">
        <v>1052</v>
      </c>
      <c r="X627">
        <v>15</v>
      </c>
      <c r="Y627">
        <v>9</v>
      </c>
      <c r="Z627" t="s">
        <v>1049</v>
      </c>
      <c r="AA627" t="s">
        <v>1050</v>
      </c>
      <c r="AB627" t="s">
        <v>96</v>
      </c>
      <c r="AC627" t="s">
        <v>97</v>
      </c>
      <c r="AD627" t="s">
        <v>725</v>
      </c>
      <c r="AG627" t="s">
        <v>1051</v>
      </c>
      <c r="AH627">
        <v>0</v>
      </c>
      <c r="AI627">
        <v>236</v>
      </c>
      <c r="AJ627">
        <v>29</v>
      </c>
      <c r="AK627">
        <v>105</v>
      </c>
      <c r="AL627">
        <v>1.03</v>
      </c>
    </row>
    <row r="628" spans="1:38" x14ac:dyDescent="0.3">
      <c r="A628" t="s">
        <v>721</v>
      </c>
      <c r="B628">
        <v>104931</v>
      </c>
      <c r="C628">
        <v>3</v>
      </c>
      <c r="D628" t="s">
        <v>582</v>
      </c>
      <c r="E628" t="s">
        <v>1048</v>
      </c>
      <c r="F628">
        <v>102</v>
      </c>
      <c r="G628">
        <v>28.39</v>
      </c>
      <c r="H628">
        <v>93.87</v>
      </c>
      <c r="I628">
        <v>22.4</v>
      </c>
      <c r="J628">
        <v>74.08</v>
      </c>
      <c r="K628">
        <v>24</v>
      </c>
      <c r="T628">
        <v>3</v>
      </c>
      <c r="U628">
        <v>2</v>
      </c>
      <c r="V628" t="s">
        <v>93</v>
      </c>
      <c r="W628" t="s">
        <v>1053</v>
      </c>
      <c r="X628">
        <v>15</v>
      </c>
      <c r="Y628">
        <v>9</v>
      </c>
      <c r="Z628" t="s">
        <v>1049</v>
      </c>
      <c r="AA628" t="s">
        <v>1050</v>
      </c>
      <c r="AB628" t="s">
        <v>96</v>
      </c>
      <c r="AC628" t="s">
        <v>97</v>
      </c>
      <c r="AD628" t="s">
        <v>725</v>
      </c>
      <c r="AG628" t="s">
        <v>1051</v>
      </c>
      <c r="AH628">
        <v>0</v>
      </c>
      <c r="AI628">
        <v>236</v>
      </c>
      <c r="AJ628">
        <v>29</v>
      </c>
      <c r="AK628">
        <v>105</v>
      </c>
      <c r="AL628">
        <v>1.03</v>
      </c>
    </row>
    <row r="629" spans="1:38" x14ac:dyDescent="0.3">
      <c r="A629" t="s">
        <v>721</v>
      </c>
      <c r="B629">
        <v>104931</v>
      </c>
      <c r="C629">
        <v>4</v>
      </c>
      <c r="D629" t="s">
        <v>582</v>
      </c>
      <c r="E629" t="s">
        <v>1048</v>
      </c>
      <c r="F629">
        <v>102</v>
      </c>
      <c r="G629">
        <v>34.590000000000003</v>
      </c>
      <c r="H629">
        <v>114.37</v>
      </c>
      <c r="I629">
        <v>26.67</v>
      </c>
      <c r="J629">
        <v>88.18</v>
      </c>
      <c r="K629">
        <v>2</v>
      </c>
      <c r="T629">
        <v>3</v>
      </c>
      <c r="U629">
        <v>2</v>
      </c>
      <c r="V629" t="s">
        <v>93</v>
      </c>
      <c r="W629">
        <v>114</v>
      </c>
      <c r="X629">
        <v>15</v>
      </c>
      <c r="Y629">
        <v>9</v>
      </c>
      <c r="Z629" t="s">
        <v>1049</v>
      </c>
      <c r="AA629" t="s">
        <v>1050</v>
      </c>
      <c r="AB629" t="s">
        <v>96</v>
      </c>
      <c r="AC629" t="s">
        <v>97</v>
      </c>
      <c r="AD629" t="s">
        <v>725</v>
      </c>
      <c r="AG629" t="s">
        <v>1051</v>
      </c>
      <c r="AH629">
        <v>0</v>
      </c>
      <c r="AI629">
        <v>236</v>
      </c>
      <c r="AJ629">
        <v>29</v>
      </c>
      <c r="AK629">
        <v>105</v>
      </c>
      <c r="AL629">
        <v>1.03</v>
      </c>
    </row>
    <row r="630" spans="1:38" x14ac:dyDescent="0.3">
      <c r="A630" t="s">
        <v>721</v>
      </c>
      <c r="B630">
        <v>104931</v>
      </c>
      <c r="C630">
        <v>5</v>
      </c>
      <c r="D630" t="s">
        <v>582</v>
      </c>
      <c r="E630" t="s">
        <v>1048</v>
      </c>
      <c r="F630">
        <v>102</v>
      </c>
      <c r="G630">
        <v>42.02</v>
      </c>
      <c r="H630">
        <v>138.94</v>
      </c>
      <c r="I630">
        <v>32.86</v>
      </c>
      <c r="J630">
        <v>108.63</v>
      </c>
      <c r="K630">
        <v>1</v>
      </c>
      <c r="T630">
        <v>3</v>
      </c>
      <c r="U630">
        <v>2</v>
      </c>
      <c r="V630" t="s">
        <v>93</v>
      </c>
      <c r="W630">
        <v>138</v>
      </c>
      <c r="X630">
        <v>15</v>
      </c>
      <c r="Y630">
        <v>9</v>
      </c>
      <c r="Z630" t="s">
        <v>1049</v>
      </c>
      <c r="AA630" t="s">
        <v>1050</v>
      </c>
      <c r="AB630" t="s">
        <v>96</v>
      </c>
      <c r="AC630" t="s">
        <v>97</v>
      </c>
      <c r="AD630" t="s">
        <v>725</v>
      </c>
      <c r="AG630" t="s">
        <v>1051</v>
      </c>
      <c r="AH630">
        <v>0</v>
      </c>
      <c r="AI630">
        <v>236</v>
      </c>
      <c r="AJ630">
        <v>29</v>
      </c>
      <c r="AK630">
        <v>105</v>
      </c>
      <c r="AL630">
        <v>1.03</v>
      </c>
    </row>
    <row r="631" spans="1:38" x14ac:dyDescent="0.3">
      <c r="A631" t="s">
        <v>721</v>
      </c>
      <c r="B631">
        <v>104931</v>
      </c>
      <c r="C631">
        <v>6</v>
      </c>
      <c r="D631" t="s">
        <v>582</v>
      </c>
      <c r="E631" t="s">
        <v>1048</v>
      </c>
      <c r="F631">
        <v>102</v>
      </c>
      <c r="G631">
        <v>42.77</v>
      </c>
      <c r="H631">
        <v>141.4</v>
      </c>
      <c r="I631">
        <v>33.6</v>
      </c>
      <c r="J631">
        <v>111.08</v>
      </c>
      <c r="K631">
        <v>1</v>
      </c>
      <c r="T631">
        <v>4</v>
      </c>
      <c r="U631">
        <v>2</v>
      </c>
      <c r="V631" t="s">
        <v>93</v>
      </c>
      <c r="W631">
        <v>141</v>
      </c>
      <c r="X631">
        <v>15</v>
      </c>
      <c r="Y631">
        <v>9</v>
      </c>
      <c r="Z631" t="s">
        <v>1049</v>
      </c>
      <c r="AA631" t="s">
        <v>1050</v>
      </c>
      <c r="AB631" t="s">
        <v>96</v>
      </c>
      <c r="AC631" t="s">
        <v>97</v>
      </c>
      <c r="AD631" t="s">
        <v>725</v>
      </c>
      <c r="AG631" t="s">
        <v>1051</v>
      </c>
      <c r="AH631">
        <v>0</v>
      </c>
      <c r="AI631">
        <v>236</v>
      </c>
      <c r="AJ631">
        <v>29</v>
      </c>
      <c r="AK631">
        <v>105</v>
      </c>
      <c r="AL631">
        <v>1.03</v>
      </c>
    </row>
    <row r="632" spans="1:38" x14ac:dyDescent="0.3">
      <c r="A632" t="s">
        <v>721</v>
      </c>
      <c r="B632">
        <v>104931</v>
      </c>
      <c r="C632">
        <v>7</v>
      </c>
      <c r="D632" t="s">
        <v>582</v>
      </c>
      <c r="E632" t="s">
        <v>1048</v>
      </c>
      <c r="F632">
        <v>102</v>
      </c>
      <c r="G632">
        <v>43.76</v>
      </c>
      <c r="H632">
        <v>144.68</v>
      </c>
      <c r="I632">
        <v>34.369999999999997</v>
      </c>
      <c r="J632">
        <v>113.63</v>
      </c>
      <c r="K632">
        <v>2</v>
      </c>
      <c r="T632">
        <v>3</v>
      </c>
      <c r="U632">
        <v>2</v>
      </c>
      <c r="V632" t="s">
        <v>93</v>
      </c>
      <c r="W632">
        <v>144</v>
      </c>
      <c r="X632">
        <v>15</v>
      </c>
      <c r="Y632">
        <v>9</v>
      </c>
      <c r="Z632" t="s">
        <v>1049</v>
      </c>
      <c r="AA632" t="s">
        <v>1050</v>
      </c>
      <c r="AB632" t="s">
        <v>96</v>
      </c>
      <c r="AC632" t="s">
        <v>97</v>
      </c>
      <c r="AD632" t="s">
        <v>725</v>
      </c>
      <c r="AG632" t="s">
        <v>1051</v>
      </c>
      <c r="AH632">
        <v>0</v>
      </c>
      <c r="AI632">
        <v>236</v>
      </c>
      <c r="AJ632">
        <v>29</v>
      </c>
      <c r="AK632">
        <v>105</v>
      </c>
      <c r="AL632">
        <v>1.03</v>
      </c>
    </row>
    <row r="633" spans="1:38" x14ac:dyDescent="0.3">
      <c r="A633" t="s">
        <v>721</v>
      </c>
      <c r="B633">
        <v>11350</v>
      </c>
      <c r="C633">
        <v>1</v>
      </c>
      <c r="D633" t="s">
        <v>1054</v>
      </c>
      <c r="E633" t="s">
        <v>1055</v>
      </c>
      <c r="F633">
        <v>105</v>
      </c>
      <c r="G633">
        <v>21.28</v>
      </c>
      <c r="H633">
        <v>70.37</v>
      </c>
      <c r="I633">
        <v>18.399999999999999</v>
      </c>
      <c r="J633">
        <v>60.84</v>
      </c>
      <c r="K633">
        <v>30</v>
      </c>
      <c r="T633">
        <v>2</v>
      </c>
      <c r="U633">
        <v>1</v>
      </c>
      <c r="V633" t="s">
        <v>93</v>
      </c>
      <c r="W633" t="s">
        <v>1056</v>
      </c>
      <c r="X633">
        <v>5</v>
      </c>
      <c r="Y633">
        <v>5</v>
      </c>
      <c r="Z633" t="s">
        <v>1057</v>
      </c>
      <c r="AA633" t="s">
        <v>1058</v>
      </c>
      <c r="AB633" t="s">
        <v>96</v>
      </c>
      <c r="AC633" t="s">
        <v>97</v>
      </c>
      <c r="AD633" t="s">
        <v>725</v>
      </c>
      <c r="AG633" t="s">
        <v>1059</v>
      </c>
      <c r="AH633">
        <v>0</v>
      </c>
      <c r="AI633">
        <v>238</v>
      </c>
      <c r="AJ633">
        <v>47</v>
      </c>
      <c r="AK633">
        <v>0</v>
      </c>
      <c r="AL633">
        <v>0</v>
      </c>
    </row>
    <row r="634" spans="1:38" x14ac:dyDescent="0.3">
      <c r="A634" t="s">
        <v>721</v>
      </c>
      <c r="B634">
        <v>11350</v>
      </c>
      <c r="C634">
        <v>2</v>
      </c>
      <c r="D634" t="s">
        <v>1054</v>
      </c>
      <c r="E634" t="s">
        <v>1055</v>
      </c>
      <c r="F634">
        <v>105</v>
      </c>
      <c r="G634">
        <v>21.39</v>
      </c>
      <c r="H634">
        <v>70.739999999999995</v>
      </c>
      <c r="I634">
        <v>18.98</v>
      </c>
      <c r="J634">
        <v>62.76</v>
      </c>
      <c r="K634">
        <v>30</v>
      </c>
      <c r="T634">
        <v>2</v>
      </c>
      <c r="U634">
        <v>1</v>
      </c>
      <c r="V634" t="s">
        <v>93</v>
      </c>
      <c r="W634" t="s">
        <v>984</v>
      </c>
      <c r="X634">
        <v>5</v>
      </c>
      <c r="Y634">
        <v>5</v>
      </c>
      <c r="Z634" t="s">
        <v>1057</v>
      </c>
      <c r="AA634" t="s">
        <v>1058</v>
      </c>
      <c r="AB634" t="s">
        <v>96</v>
      </c>
      <c r="AC634" t="s">
        <v>97</v>
      </c>
      <c r="AD634" t="s">
        <v>725</v>
      </c>
      <c r="AG634" t="s">
        <v>1059</v>
      </c>
      <c r="AH634">
        <v>0</v>
      </c>
      <c r="AI634">
        <v>238</v>
      </c>
      <c r="AJ634">
        <v>47</v>
      </c>
      <c r="AK634">
        <v>0</v>
      </c>
      <c r="AL634">
        <v>0</v>
      </c>
    </row>
    <row r="635" spans="1:38" x14ac:dyDescent="0.3">
      <c r="A635" t="s">
        <v>721</v>
      </c>
      <c r="B635">
        <v>11350</v>
      </c>
      <c r="C635">
        <v>3</v>
      </c>
      <c r="D635" t="s">
        <v>1054</v>
      </c>
      <c r="E635" t="s">
        <v>1055</v>
      </c>
      <c r="F635">
        <v>105</v>
      </c>
      <c r="G635">
        <v>21.91</v>
      </c>
      <c r="H635">
        <v>72.45</v>
      </c>
      <c r="I635">
        <v>18.37</v>
      </c>
      <c r="J635">
        <v>60.75</v>
      </c>
      <c r="K635">
        <v>40</v>
      </c>
      <c r="T635">
        <v>2</v>
      </c>
      <c r="U635">
        <v>1</v>
      </c>
      <c r="V635" t="s">
        <v>93</v>
      </c>
      <c r="W635">
        <v>72</v>
      </c>
      <c r="X635">
        <v>5</v>
      </c>
      <c r="Y635">
        <v>5</v>
      </c>
      <c r="Z635" t="s">
        <v>1057</v>
      </c>
      <c r="AA635" t="s">
        <v>1058</v>
      </c>
      <c r="AB635" t="s">
        <v>96</v>
      </c>
      <c r="AC635" t="s">
        <v>97</v>
      </c>
      <c r="AD635" t="s">
        <v>725</v>
      </c>
      <c r="AG635" t="s">
        <v>1059</v>
      </c>
      <c r="AH635">
        <v>0</v>
      </c>
      <c r="AI635">
        <v>238</v>
      </c>
      <c r="AJ635">
        <v>47</v>
      </c>
      <c r="AK635">
        <v>0</v>
      </c>
      <c r="AL635">
        <v>0</v>
      </c>
    </row>
    <row r="636" spans="1:38" x14ac:dyDescent="0.3">
      <c r="A636" t="s">
        <v>721</v>
      </c>
      <c r="B636">
        <v>11350</v>
      </c>
      <c r="C636">
        <v>4</v>
      </c>
      <c r="D636" t="s">
        <v>1054</v>
      </c>
      <c r="E636" t="s">
        <v>1055</v>
      </c>
      <c r="F636">
        <v>105</v>
      </c>
      <c r="G636">
        <v>24.07</v>
      </c>
      <c r="H636">
        <v>79.599999999999994</v>
      </c>
      <c r="I636">
        <v>21.23</v>
      </c>
      <c r="J636">
        <v>70.2</v>
      </c>
      <c r="K636">
        <v>5</v>
      </c>
      <c r="T636">
        <v>3</v>
      </c>
      <c r="U636">
        <v>1</v>
      </c>
      <c r="V636" t="s">
        <v>338</v>
      </c>
      <c r="W636">
        <v>79</v>
      </c>
      <c r="X636">
        <v>5</v>
      </c>
      <c r="Y636">
        <v>5</v>
      </c>
      <c r="Z636" t="s">
        <v>1057</v>
      </c>
      <c r="AA636" t="s">
        <v>1058</v>
      </c>
      <c r="AB636" t="s">
        <v>96</v>
      </c>
      <c r="AC636" t="s">
        <v>97</v>
      </c>
      <c r="AD636" t="s">
        <v>725</v>
      </c>
      <c r="AG636" t="s">
        <v>1059</v>
      </c>
      <c r="AH636">
        <v>0</v>
      </c>
      <c r="AI636">
        <v>238</v>
      </c>
      <c r="AJ636">
        <v>47</v>
      </c>
      <c r="AK636">
        <v>0</v>
      </c>
      <c r="AL636">
        <v>0</v>
      </c>
    </row>
    <row r="637" spans="1:38" x14ac:dyDescent="0.3">
      <c r="A637" t="s">
        <v>721</v>
      </c>
      <c r="B637">
        <v>2436</v>
      </c>
      <c r="C637">
        <v>1</v>
      </c>
      <c r="D637" t="s">
        <v>676</v>
      </c>
      <c r="E637" t="s">
        <v>305</v>
      </c>
      <c r="F637">
        <v>168</v>
      </c>
      <c r="G637">
        <v>24.01</v>
      </c>
      <c r="H637">
        <v>79.39</v>
      </c>
      <c r="I637">
        <v>19.05</v>
      </c>
      <c r="J637">
        <v>63</v>
      </c>
      <c r="K637">
        <v>36</v>
      </c>
      <c r="T637">
        <v>2</v>
      </c>
      <c r="U637">
        <v>1</v>
      </c>
      <c r="V637" t="s">
        <v>138</v>
      </c>
      <c r="W637">
        <v>79</v>
      </c>
      <c r="X637">
        <v>12</v>
      </c>
      <c r="Y637">
        <v>12</v>
      </c>
      <c r="Z637" t="s">
        <v>1060</v>
      </c>
      <c r="AA637" t="s">
        <v>1061</v>
      </c>
      <c r="AB637" t="s">
        <v>96</v>
      </c>
      <c r="AC637" t="s">
        <v>97</v>
      </c>
      <c r="AD637" t="s">
        <v>725</v>
      </c>
      <c r="AG637" t="s">
        <v>1062</v>
      </c>
      <c r="AH637">
        <v>0</v>
      </c>
      <c r="AI637">
        <v>314</v>
      </c>
      <c r="AJ637">
        <v>45</v>
      </c>
      <c r="AK637">
        <v>0</v>
      </c>
      <c r="AL637">
        <v>0</v>
      </c>
    </row>
    <row r="638" spans="1:38" x14ac:dyDescent="0.3">
      <c r="A638" t="s">
        <v>721</v>
      </c>
      <c r="B638">
        <v>2436</v>
      </c>
      <c r="C638">
        <v>2</v>
      </c>
      <c r="D638" t="s">
        <v>676</v>
      </c>
      <c r="E638" t="s">
        <v>305</v>
      </c>
      <c r="F638">
        <v>168</v>
      </c>
      <c r="G638">
        <v>24.85</v>
      </c>
      <c r="H638">
        <v>82.18</v>
      </c>
      <c r="I638">
        <v>19.809999999999999</v>
      </c>
      <c r="J638">
        <v>65.52</v>
      </c>
      <c r="K638">
        <v>36</v>
      </c>
      <c r="T638">
        <v>2</v>
      </c>
      <c r="U638">
        <v>1</v>
      </c>
      <c r="V638" t="s">
        <v>138</v>
      </c>
      <c r="W638" t="s">
        <v>199</v>
      </c>
      <c r="X638">
        <v>12</v>
      </c>
      <c r="Y638">
        <v>12</v>
      </c>
      <c r="Z638" t="s">
        <v>1060</v>
      </c>
      <c r="AA638" t="s">
        <v>1061</v>
      </c>
      <c r="AB638" t="s">
        <v>96</v>
      </c>
      <c r="AC638" t="s">
        <v>97</v>
      </c>
      <c r="AD638" t="s">
        <v>725</v>
      </c>
      <c r="AG638" t="s">
        <v>1062</v>
      </c>
      <c r="AH638">
        <v>0</v>
      </c>
      <c r="AI638">
        <v>314</v>
      </c>
      <c r="AJ638">
        <v>45</v>
      </c>
      <c r="AK638">
        <v>0</v>
      </c>
      <c r="AL638">
        <v>0</v>
      </c>
    </row>
    <row r="639" spans="1:38" x14ac:dyDescent="0.3">
      <c r="A639" t="s">
        <v>721</v>
      </c>
      <c r="B639">
        <v>2436</v>
      </c>
      <c r="C639">
        <v>3</v>
      </c>
      <c r="D639" t="s">
        <v>676</v>
      </c>
      <c r="E639" t="s">
        <v>305</v>
      </c>
      <c r="F639">
        <v>168</v>
      </c>
      <c r="G639">
        <v>25.06</v>
      </c>
      <c r="H639">
        <v>82.85</v>
      </c>
      <c r="I639">
        <v>20.52</v>
      </c>
      <c r="J639">
        <v>67.86</v>
      </c>
      <c r="K639">
        <v>24</v>
      </c>
      <c r="T639">
        <v>2</v>
      </c>
      <c r="U639">
        <v>1</v>
      </c>
      <c r="V639" t="s">
        <v>138</v>
      </c>
      <c r="W639" t="s">
        <v>203</v>
      </c>
      <c r="X639">
        <v>12</v>
      </c>
      <c r="Y639">
        <v>12</v>
      </c>
      <c r="Z639" t="s">
        <v>1060</v>
      </c>
      <c r="AA639" t="s">
        <v>1061</v>
      </c>
      <c r="AB639" t="s">
        <v>96</v>
      </c>
      <c r="AC639" t="s">
        <v>97</v>
      </c>
      <c r="AD639" t="s">
        <v>725</v>
      </c>
      <c r="AG639" t="s">
        <v>1062</v>
      </c>
      <c r="AH639">
        <v>0</v>
      </c>
      <c r="AI639">
        <v>314</v>
      </c>
      <c r="AJ639">
        <v>45</v>
      </c>
      <c r="AK639">
        <v>0</v>
      </c>
      <c r="AL639">
        <v>0</v>
      </c>
    </row>
    <row r="640" spans="1:38" x14ac:dyDescent="0.3">
      <c r="A640" t="s">
        <v>721</v>
      </c>
      <c r="B640">
        <v>2436</v>
      </c>
      <c r="C640">
        <v>4</v>
      </c>
      <c r="D640" t="s">
        <v>676</v>
      </c>
      <c r="E640" t="s">
        <v>305</v>
      </c>
      <c r="F640">
        <v>168</v>
      </c>
      <c r="G640">
        <v>27.51</v>
      </c>
      <c r="H640">
        <v>90.97</v>
      </c>
      <c r="I640">
        <v>21.83</v>
      </c>
      <c r="J640">
        <v>72.180000000000007</v>
      </c>
      <c r="K640">
        <v>48</v>
      </c>
      <c r="T640">
        <v>3</v>
      </c>
      <c r="U640">
        <v>1</v>
      </c>
      <c r="V640" t="s">
        <v>138</v>
      </c>
      <c r="W640" t="s">
        <v>1063</v>
      </c>
      <c r="X640">
        <v>12</v>
      </c>
      <c r="Y640">
        <v>12</v>
      </c>
      <c r="Z640" t="s">
        <v>1060</v>
      </c>
      <c r="AA640" t="s">
        <v>1061</v>
      </c>
      <c r="AB640" t="s">
        <v>96</v>
      </c>
      <c r="AC640" t="s">
        <v>97</v>
      </c>
      <c r="AD640" t="s">
        <v>725</v>
      </c>
      <c r="AG640" t="s">
        <v>1062</v>
      </c>
      <c r="AH640">
        <v>0</v>
      </c>
      <c r="AI640">
        <v>314</v>
      </c>
      <c r="AJ640">
        <v>45</v>
      </c>
      <c r="AK640">
        <v>0</v>
      </c>
      <c r="AL640">
        <v>0</v>
      </c>
    </row>
    <row r="641" spans="1:38" x14ac:dyDescent="0.3">
      <c r="A641" t="s">
        <v>721</v>
      </c>
      <c r="B641">
        <v>2436</v>
      </c>
      <c r="C641">
        <v>5</v>
      </c>
      <c r="D641" t="s">
        <v>676</v>
      </c>
      <c r="E641" t="s">
        <v>305</v>
      </c>
      <c r="F641">
        <v>168</v>
      </c>
      <c r="G641">
        <v>28.45</v>
      </c>
      <c r="H641">
        <v>94.05</v>
      </c>
      <c r="I641">
        <v>22.51</v>
      </c>
      <c r="J641">
        <v>74.430000000000007</v>
      </c>
      <c r="K641">
        <v>24</v>
      </c>
      <c r="T641">
        <v>3</v>
      </c>
      <c r="U641">
        <v>1</v>
      </c>
      <c r="V641" t="s">
        <v>138</v>
      </c>
      <c r="W641" t="s">
        <v>1064</v>
      </c>
      <c r="X641">
        <v>12</v>
      </c>
      <c r="Y641">
        <v>12</v>
      </c>
      <c r="Z641" t="s">
        <v>1060</v>
      </c>
      <c r="AA641" t="s">
        <v>1061</v>
      </c>
      <c r="AB641" t="s">
        <v>96</v>
      </c>
      <c r="AC641" t="s">
        <v>97</v>
      </c>
      <c r="AD641" t="s">
        <v>725</v>
      </c>
      <c r="AG641" t="s">
        <v>1062</v>
      </c>
      <c r="AH641">
        <v>0</v>
      </c>
      <c r="AI641">
        <v>314</v>
      </c>
      <c r="AJ641">
        <v>45</v>
      </c>
      <c r="AK641">
        <v>0</v>
      </c>
      <c r="AL641">
        <v>0</v>
      </c>
    </row>
    <row r="642" spans="1:38" x14ac:dyDescent="0.3">
      <c r="A642" t="s">
        <v>721</v>
      </c>
      <c r="B642">
        <v>9346</v>
      </c>
      <c r="C642">
        <v>1</v>
      </c>
      <c r="D642" t="s">
        <v>1065</v>
      </c>
      <c r="E642" t="s">
        <v>1055</v>
      </c>
      <c r="F642">
        <v>110</v>
      </c>
      <c r="G642">
        <v>24.06</v>
      </c>
      <c r="H642">
        <v>79.56</v>
      </c>
      <c r="I642">
        <v>19.920000000000002</v>
      </c>
      <c r="J642">
        <v>65.88</v>
      </c>
      <c r="K642">
        <v>50</v>
      </c>
      <c r="T642">
        <v>3</v>
      </c>
      <c r="U642">
        <v>1</v>
      </c>
      <c r="V642" t="s">
        <v>93</v>
      </c>
      <c r="W642" t="s">
        <v>134</v>
      </c>
      <c r="X642">
        <v>5</v>
      </c>
      <c r="Y642">
        <v>5</v>
      </c>
      <c r="Z642" t="s">
        <v>1066</v>
      </c>
      <c r="AA642" t="s">
        <v>1067</v>
      </c>
      <c r="AB642" t="s">
        <v>96</v>
      </c>
      <c r="AC642" t="s">
        <v>97</v>
      </c>
      <c r="AD642" t="s">
        <v>725</v>
      </c>
      <c r="AG642" t="s">
        <v>1068</v>
      </c>
      <c r="AH642">
        <v>0</v>
      </c>
      <c r="AI642">
        <v>142</v>
      </c>
      <c r="AJ642">
        <v>30</v>
      </c>
      <c r="AK642">
        <v>0</v>
      </c>
      <c r="AL642">
        <v>0</v>
      </c>
    </row>
    <row r="643" spans="1:38" x14ac:dyDescent="0.3">
      <c r="A643" t="s">
        <v>721</v>
      </c>
      <c r="B643">
        <v>9346</v>
      </c>
      <c r="C643">
        <v>2</v>
      </c>
      <c r="D643" t="s">
        <v>1065</v>
      </c>
      <c r="E643" t="s">
        <v>1055</v>
      </c>
      <c r="F643">
        <v>110</v>
      </c>
      <c r="G643">
        <v>24.37</v>
      </c>
      <c r="H643">
        <v>80.569999999999993</v>
      </c>
      <c r="I643">
        <v>20.03</v>
      </c>
      <c r="J643">
        <v>66.239999999999995</v>
      </c>
      <c r="K643">
        <v>5</v>
      </c>
      <c r="T643">
        <v>3</v>
      </c>
      <c r="U643">
        <v>1</v>
      </c>
      <c r="V643" t="s">
        <v>93</v>
      </c>
      <c r="W643" t="s">
        <v>516</v>
      </c>
      <c r="X643">
        <v>5</v>
      </c>
      <c r="Y643">
        <v>5</v>
      </c>
      <c r="Z643" t="s">
        <v>1066</v>
      </c>
      <c r="AA643" t="s">
        <v>1067</v>
      </c>
      <c r="AB643" t="s">
        <v>96</v>
      </c>
      <c r="AC643" t="s">
        <v>97</v>
      </c>
      <c r="AD643" t="s">
        <v>725</v>
      </c>
      <c r="AG643" t="s">
        <v>1068</v>
      </c>
      <c r="AH643">
        <v>0</v>
      </c>
      <c r="AI643">
        <v>142</v>
      </c>
      <c r="AJ643">
        <v>30</v>
      </c>
      <c r="AK643">
        <v>0</v>
      </c>
      <c r="AL643">
        <v>0</v>
      </c>
    </row>
    <row r="644" spans="1:38" x14ac:dyDescent="0.3">
      <c r="A644" t="s">
        <v>721</v>
      </c>
      <c r="B644">
        <v>9346</v>
      </c>
      <c r="C644">
        <v>3</v>
      </c>
      <c r="D644" t="s">
        <v>1065</v>
      </c>
      <c r="E644" t="s">
        <v>1055</v>
      </c>
      <c r="F644">
        <v>110</v>
      </c>
      <c r="G644">
        <v>24.76</v>
      </c>
      <c r="H644">
        <v>81.86</v>
      </c>
      <c r="I644">
        <v>20.52</v>
      </c>
      <c r="J644">
        <v>67.86</v>
      </c>
      <c r="K644">
        <v>5</v>
      </c>
      <c r="T644">
        <v>3</v>
      </c>
      <c r="U644">
        <v>1</v>
      </c>
      <c r="V644" t="s">
        <v>93</v>
      </c>
      <c r="W644" t="s">
        <v>517</v>
      </c>
      <c r="X644">
        <v>5</v>
      </c>
      <c r="Y644">
        <v>5</v>
      </c>
      <c r="Z644" t="s">
        <v>1066</v>
      </c>
      <c r="AA644" t="s">
        <v>1067</v>
      </c>
      <c r="AB644" t="s">
        <v>96</v>
      </c>
      <c r="AC644" t="s">
        <v>97</v>
      </c>
      <c r="AD644" t="s">
        <v>725</v>
      </c>
      <c r="AG644" t="s">
        <v>1068</v>
      </c>
      <c r="AH644">
        <v>0</v>
      </c>
      <c r="AI644">
        <v>142</v>
      </c>
      <c r="AJ644">
        <v>30</v>
      </c>
      <c r="AK644">
        <v>0</v>
      </c>
      <c r="AL644">
        <v>0</v>
      </c>
    </row>
    <row r="645" spans="1:38" x14ac:dyDescent="0.3">
      <c r="A645" t="s">
        <v>721</v>
      </c>
      <c r="B645">
        <v>9346</v>
      </c>
      <c r="C645">
        <v>4</v>
      </c>
      <c r="D645" t="s">
        <v>1065</v>
      </c>
      <c r="E645" t="s">
        <v>1055</v>
      </c>
      <c r="F645">
        <v>110</v>
      </c>
      <c r="G645">
        <v>25.21</v>
      </c>
      <c r="H645">
        <v>83.37</v>
      </c>
      <c r="I645">
        <v>20.74</v>
      </c>
      <c r="J645">
        <v>68.58</v>
      </c>
      <c r="K645">
        <v>30</v>
      </c>
      <c r="T645">
        <v>3</v>
      </c>
      <c r="U645">
        <v>1</v>
      </c>
      <c r="V645" t="s">
        <v>93</v>
      </c>
      <c r="W645" t="s">
        <v>116</v>
      </c>
      <c r="X645">
        <v>5</v>
      </c>
      <c r="Y645">
        <v>5</v>
      </c>
      <c r="Z645" t="s">
        <v>1066</v>
      </c>
      <c r="AA645" t="s">
        <v>1067</v>
      </c>
      <c r="AB645" t="s">
        <v>96</v>
      </c>
      <c r="AC645" t="s">
        <v>97</v>
      </c>
      <c r="AD645" t="s">
        <v>725</v>
      </c>
      <c r="AG645" t="s">
        <v>1068</v>
      </c>
      <c r="AH645">
        <v>0</v>
      </c>
      <c r="AI645">
        <v>142</v>
      </c>
      <c r="AJ645">
        <v>30</v>
      </c>
      <c r="AK645">
        <v>0</v>
      </c>
      <c r="AL645">
        <v>0</v>
      </c>
    </row>
    <row r="646" spans="1:38" x14ac:dyDescent="0.3">
      <c r="A646" t="s">
        <v>721</v>
      </c>
      <c r="B646">
        <v>9346</v>
      </c>
      <c r="C646">
        <v>5</v>
      </c>
      <c r="D646" t="s">
        <v>1065</v>
      </c>
      <c r="E646" t="s">
        <v>1055</v>
      </c>
      <c r="F646">
        <v>110</v>
      </c>
      <c r="G646">
        <v>25.21</v>
      </c>
      <c r="H646">
        <v>83.37</v>
      </c>
      <c r="I646">
        <v>20.9</v>
      </c>
      <c r="J646">
        <v>69.12</v>
      </c>
      <c r="K646">
        <v>20</v>
      </c>
      <c r="T646">
        <v>3</v>
      </c>
      <c r="U646">
        <v>1</v>
      </c>
      <c r="V646" t="s">
        <v>93</v>
      </c>
      <c r="W646" t="s">
        <v>115</v>
      </c>
      <c r="X646">
        <v>5</v>
      </c>
      <c r="Y646">
        <v>5</v>
      </c>
      <c r="Z646" t="s">
        <v>1066</v>
      </c>
      <c r="AA646" t="s">
        <v>1067</v>
      </c>
      <c r="AB646" t="s">
        <v>96</v>
      </c>
      <c r="AC646" t="s">
        <v>97</v>
      </c>
      <c r="AD646" t="s">
        <v>725</v>
      </c>
      <c r="AG646" t="s">
        <v>1068</v>
      </c>
      <c r="AH646">
        <v>0</v>
      </c>
      <c r="AI646">
        <v>142</v>
      </c>
      <c r="AJ646">
        <v>30</v>
      </c>
      <c r="AK646">
        <v>0</v>
      </c>
      <c r="AL646">
        <v>0</v>
      </c>
    </row>
    <row r="647" spans="1:38" x14ac:dyDescent="0.3">
      <c r="A647" t="s">
        <v>721</v>
      </c>
      <c r="B647">
        <v>2435</v>
      </c>
      <c r="C647">
        <v>1</v>
      </c>
      <c r="D647" t="s">
        <v>1069</v>
      </c>
      <c r="E647" t="s">
        <v>1070</v>
      </c>
      <c r="F647">
        <v>280</v>
      </c>
      <c r="G647">
        <v>23.72</v>
      </c>
      <c r="H647">
        <v>78.430000000000007</v>
      </c>
      <c r="I647">
        <v>17.690000000000001</v>
      </c>
      <c r="J647">
        <v>58.5</v>
      </c>
      <c r="K647">
        <v>196</v>
      </c>
      <c r="T647">
        <v>2</v>
      </c>
      <c r="U647">
        <v>1</v>
      </c>
      <c r="V647" t="s">
        <v>138</v>
      </c>
      <c r="W647">
        <v>78</v>
      </c>
      <c r="X647">
        <v>14</v>
      </c>
      <c r="Y647">
        <v>14</v>
      </c>
      <c r="Z647" t="s">
        <v>1071</v>
      </c>
      <c r="AA647" t="s">
        <v>1072</v>
      </c>
      <c r="AB647" t="s">
        <v>96</v>
      </c>
      <c r="AC647" t="s">
        <v>97</v>
      </c>
      <c r="AD647" t="s">
        <v>725</v>
      </c>
      <c r="AG647" t="s">
        <v>1073</v>
      </c>
      <c r="AH647">
        <v>0</v>
      </c>
      <c r="AI647">
        <v>243</v>
      </c>
      <c r="AJ647">
        <v>20</v>
      </c>
      <c r="AK647">
        <v>167</v>
      </c>
      <c r="AL647">
        <v>0.6</v>
      </c>
    </row>
    <row r="648" spans="1:38" x14ac:dyDescent="0.3">
      <c r="A648" t="s">
        <v>721</v>
      </c>
      <c r="B648">
        <v>2435</v>
      </c>
      <c r="C648">
        <v>2</v>
      </c>
      <c r="D648" t="s">
        <v>1069</v>
      </c>
      <c r="E648" t="s">
        <v>1070</v>
      </c>
      <c r="F648">
        <v>280</v>
      </c>
      <c r="G648">
        <v>32.32</v>
      </c>
      <c r="H648">
        <v>106.86</v>
      </c>
      <c r="I648">
        <v>23.19</v>
      </c>
      <c r="J648">
        <v>76.680000000000007</v>
      </c>
      <c r="K648">
        <v>84</v>
      </c>
      <c r="T648">
        <v>3</v>
      </c>
      <c r="U648">
        <v>1</v>
      </c>
      <c r="V648" t="s">
        <v>138</v>
      </c>
      <c r="W648">
        <v>106</v>
      </c>
      <c r="X648">
        <v>14</v>
      </c>
      <c r="Y648">
        <v>14</v>
      </c>
      <c r="Z648" t="s">
        <v>1071</v>
      </c>
      <c r="AA648" t="s">
        <v>1072</v>
      </c>
      <c r="AB648" t="s">
        <v>96</v>
      </c>
      <c r="AC648" t="s">
        <v>97</v>
      </c>
      <c r="AD648" t="s">
        <v>725</v>
      </c>
      <c r="AG648" t="s">
        <v>1073</v>
      </c>
      <c r="AH648">
        <v>0</v>
      </c>
      <c r="AI648">
        <v>243</v>
      </c>
      <c r="AJ648">
        <v>20</v>
      </c>
      <c r="AK648">
        <v>167</v>
      </c>
      <c r="AL648">
        <v>0.6</v>
      </c>
    </row>
    <row r="649" spans="1:38" x14ac:dyDescent="0.3">
      <c r="A649" t="s">
        <v>721</v>
      </c>
      <c r="B649">
        <v>2434</v>
      </c>
      <c r="C649">
        <v>1</v>
      </c>
      <c r="D649" t="s">
        <v>1074</v>
      </c>
      <c r="E649" t="s">
        <v>921</v>
      </c>
      <c r="F649">
        <v>259</v>
      </c>
      <c r="G649">
        <v>25.01</v>
      </c>
      <c r="H649">
        <v>82.69</v>
      </c>
      <c r="I649">
        <v>18.29</v>
      </c>
      <c r="J649">
        <v>60.48</v>
      </c>
      <c r="K649">
        <v>88</v>
      </c>
      <c r="T649">
        <v>3</v>
      </c>
      <c r="U649">
        <v>1</v>
      </c>
      <c r="V649" t="s">
        <v>138</v>
      </c>
      <c r="W649">
        <v>82</v>
      </c>
      <c r="X649">
        <v>11</v>
      </c>
      <c r="Y649">
        <v>6</v>
      </c>
      <c r="Z649" t="s">
        <v>1075</v>
      </c>
      <c r="AA649" t="s">
        <v>1076</v>
      </c>
      <c r="AB649" t="s">
        <v>96</v>
      </c>
      <c r="AC649" t="s">
        <v>97</v>
      </c>
      <c r="AD649" t="s">
        <v>725</v>
      </c>
      <c r="AG649" t="s">
        <v>1077</v>
      </c>
      <c r="AH649">
        <v>0</v>
      </c>
      <c r="AI649">
        <v>217</v>
      </c>
      <c r="AJ649">
        <v>25</v>
      </c>
      <c r="AK649">
        <v>132</v>
      </c>
      <c r="AL649">
        <v>0.51</v>
      </c>
    </row>
    <row r="650" spans="1:38" x14ac:dyDescent="0.3">
      <c r="A650" t="s">
        <v>721</v>
      </c>
      <c r="B650">
        <v>2434</v>
      </c>
      <c r="C650">
        <v>2</v>
      </c>
      <c r="D650" t="s">
        <v>1074</v>
      </c>
      <c r="E650" t="s">
        <v>921</v>
      </c>
      <c r="F650">
        <v>259</v>
      </c>
      <c r="G650">
        <v>31.21</v>
      </c>
      <c r="H650">
        <v>103.2</v>
      </c>
      <c r="I650">
        <v>25.7</v>
      </c>
      <c r="J650">
        <v>84.97</v>
      </c>
      <c r="K650">
        <v>171</v>
      </c>
      <c r="T650">
        <v>3</v>
      </c>
      <c r="U650">
        <v>2</v>
      </c>
      <c r="V650" t="s">
        <v>138</v>
      </c>
      <c r="W650">
        <v>103</v>
      </c>
      <c r="X650">
        <v>11</v>
      </c>
      <c r="Y650">
        <v>6</v>
      </c>
      <c r="Z650" t="s">
        <v>1075</v>
      </c>
      <c r="AA650" t="s">
        <v>1076</v>
      </c>
      <c r="AB650" t="s">
        <v>96</v>
      </c>
      <c r="AC650" t="s">
        <v>97</v>
      </c>
      <c r="AD650" t="s">
        <v>725</v>
      </c>
      <c r="AG650" t="s">
        <v>1077</v>
      </c>
      <c r="AH650">
        <v>0</v>
      </c>
      <c r="AI650">
        <v>217</v>
      </c>
      <c r="AJ650">
        <v>25</v>
      </c>
      <c r="AK650">
        <v>132</v>
      </c>
      <c r="AL650">
        <v>0.51</v>
      </c>
    </row>
    <row r="651" spans="1:38" x14ac:dyDescent="0.3">
      <c r="A651" t="s">
        <v>721</v>
      </c>
      <c r="B651">
        <v>8332</v>
      </c>
      <c r="C651">
        <v>1</v>
      </c>
      <c r="D651" t="s">
        <v>1078</v>
      </c>
      <c r="E651" t="s">
        <v>1005</v>
      </c>
      <c r="F651">
        <v>85</v>
      </c>
      <c r="G651">
        <v>23.83</v>
      </c>
      <c r="H651">
        <v>78.8</v>
      </c>
      <c r="I651">
        <v>20.12</v>
      </c>
      <c r="J651">
        <v>66.540000000000006</v>
      </c>
      <c r="K651">
        <v>20</v>
      </c>
      <c r="T651">
        <v>3</v>
      </c>
      <c r="U651">
        <v>1</v>
      </c>
      <c r="V651" t="s">
        <v>93</v>
      </c>
      <c r="W651">
        <v>78</v>
      </c>
      <c r="X651">
        <v>5</v>
      </c>
      <c r="Y651">
        <v>5</v>
      </c>
      <c r="Z651" t="s">
        <v>1079</v>
      </c>
      <c r="AA651" t="s">
        <v>1080</v>
      </c>
      <c r="AB651" t="s">
        <v>96</v>
      </c>
      <c r="AC651" t="s">
        <v>97</v>
      </c>
      <c r="AD651" t="s">
        <v>725</v>
      </c>
      <c r="AG651" t="s">
        <v>1081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721</v>
      </c>
      <c r="B652">
        <v>8332</v>
      </c>
      <c r="C652">
        <v>2</v>
      </c>
      <c r="D652" t="s">
        <v>1078</v>
      </c>
      <c r="E652" t="s">
        <v>1005</v>
      </c>
      <c r="F652">
        <v>85</v>
      </c>
      <c r="G652">
        <v>24.73</v>
      </c>
      <c r="H652">
        <v>81.78</v>
      </c>
      <c r="I652">
        <v>21.01</v>
      </c>
      <c r="J652">
        <v>69.48</v>
      </c>
      <c r="K652">
        <v>30</v>
      </c>
      <c r="T652">
        <v>3</v>
      </c>
      <c r="U652">
        <v>1</v>
      </c>
      <c r="V652" t="s">
        <v>93</v>
      </c>
      <c r="W652">
        <v>81</v>
      </c>
      <c r="X652">
        <v>5</v>
      </c>
      <c r="Y652">
        <v>5</v>
      </c>
      <c r="Z652" t="s">
        <v>1079</v>
      </c>
      <c r="AA652" t="s">
        <v>1080</v>
      </c>
      <c r="AB652" t="s">
        <v>96</v>
      </c>
      <c r="AC652" t="s">
        <v>97</v>
      </c>
      <c r="AD652" t="s">
        <v>725</v>
      </c>
      <c r="AG652" t="s">
        <v>1081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721</v>
      </c>
      <c r="B653">
        <v>8332</v>
      </c>
      <c r="C653">
        <v>3</v>
      </c>
      <c r="D653" t="s">
        <v>1078</v>
      </c>
      <c r="E653" t="s">
        <v>1005</v>
      </c>
      <c r="F653">
        <v>85</v>
      </c>
      <c r="G653">
        <v>26.3</v>
      </c>
      <c r="H653">
        <v>86.97</v>
      </c>
      <c r="I653">
        <v>22.28</v>
      </c>
      <c r="J653">
        <v>73.680000000000007</v>
      </c>
      <c r="K653">
        <v>20</v>
      </c>
      <c r="T653">
        <v>3</v>
      </c>
      <c r="U653">
        <v>1</v>
      </c>
      <c r="V653" t="s">
        <v>93</v>
      </c>
      <c r="W653">
        <v>86</v>
      </c>
      <c r="X653">
        <v>5</v>
      </c>
      <c r="Y653">
        <v>5</v>
      </c>
      <c r="Z653" t="s">
        <v>1079</v>
      </c>
      <c r="AA653" t="s">
        <v>1080</v>
      </c>
      <c r="AB653" t="s">
        <v>96</v>
      </c>
      <c r="AC653" t="s">
        <v>97</v>
      </c>
      <c r="AD653" t="s">
        <v>725</v>
      </c>
      <c r="AG653" t="s">
        <v>1081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721</v>
      </c>
      <c r="B654">
        <v>8332</v>
      </c>
      <c r="C654">
        <v>4</v>
      </c>
      <c r="D654" t="s">
        <v>1078</v>
      </c>
      <c r="E654" t="s">
        <v>1005</v>
      </c>
      <c r="F654">
        <v>85</v>
      </c>
      <c r="G654">
        <v>27.44</v>
      </c>
      <c r="H654">
        <v>90.74</v>
      </c>
      <c r="I654">
        <v>23.74</v>
      </c>
      <c r="J654">
        <v>78.48</v>
      </c>
      <c r="K654">
        <v>5</v>
      </c>
      <c r="T654">
        <v>3</v>
      </c>
      <c r="U654">
        <v>2</v>
      </c>
      <c r="V654" t="s">
        <v>93</v>
      </c>
      <c r="W654">
        <v>90</v>
      </c>
      <c r="X654">
        <v>5</v>
      </c>
      <c r="Y654">
        <v>5</v>
      </c>
      <c r="Z654" t="s">
        <v>1079</v>
      </c>
      <c r="AA654" t="s">
        <v>1080</v>
      </c>
      <c r="AB654" t="s">
        <v>96</v>
      </c>
      <c r="AC654" t="s">
        <v>97</v>
      </c>
      <c r="AD654" t="s">
        <v>725</v>
      </c>
      <c r="AG654" t="s">
        <v>1081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721</v>
      </c>
      <c r="B655">
        <v>8332</v>
      </c>
      <c r="C655">
        <v>5</v>
      </c>
      <c r="D655" t="s">
        <v>1078</v>
      </c>
      <c r="E655" t="s">
        <v>1005</v>
      </c>
      <c r="F655">
        <v>85</v>
      </c>
      <c r="G655">
        <v>28.35</v>
      </c>
      <c r="H655">
        <v>93.72</v>
      </c>
      <c r="I655">
        <v>24.62</v>
      </c>
      <c r="J655">
        <v>81.42</v>
      </c>
      <c r="K655">
        <v>5</v>
      </c>
      <c r="T655">
        <v>3</v>
      </c>
      <c r="U655">
        <v>2</v>
      </c>
      <c r="V655" t="s">
        <v>93</v>
      </c>
      <c r="W655">
        <v>93</v>
      </c>
      <c r="X655">
        <v>5</v>
      </c>
      <c r="Y655">
        <v>5</v>
      </c>
      <c r="Z655" t="s">
        <v>1079</v>
      </c>
      <c r="AA655" t="s">
        <v>1080</v>
      </c>
      <c r="AB655" t="s">
        <v>96</v>
      </c>
      <c r="AC655" t="s">
        <v>97</v>
      </c>
      <c r="AD655" t="s">
        <v>725</v>
      </c>
      <c r="AG655" t="s">
        <v>1081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721</v>
      </c>
      <c r="B656">
        <v>8332</v>
      </c>
      <c r="C656">
        <v>6</v>
      </c>
      <c r="D656" t="s">
        <v>1078</v>
      </c>
      <c r="E656" t="s">
        <v>1005</v>
      </c>
      <c r="F656">
        <v>85</v>
      </c>
      <c r="G656">
        <v>30.33</v>
      </c>
      <c r="H656">
        <v>100.29</v>
      </c>
      <c r="I656">
        <v>26.31</v>
      </c>
      <c r="J656">
        <v>87</v>
      </c>
      <c r="K656">
        <v>5</v>
      </c>
      <c r="T656">
        <v>3</v>
      </c>
      <c r="U656">
        <v>2</v>
      </c>
      <c r="V656" t="s">
        <v>93</v>
      </c>
      <c r="W656">
        <v>100</v>
      </c>
      <c r="X656">
        <v>5</v>
      </c>
      <c r="Y656">
        <v>5</v>
      </c>
      <c r="Z656" t="s">
        <v>1079</v>
      </c>
      <c r="AA656" t="s">
        <v>1080</v>
      </c>
      <c r="AB656" t="s">
        <v>96</v>
      </c>
      <c r="AC656" t="s">
        <v>97</v>
      </c>
      <c r="AD656" t="s">
        <v>725</v>
      </c>
      <c r="AG656" t="s">
        <v>1081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721</v>
      </c>
      <c r="B657">
        <v>9672</v>
      </c>
      <c r="C657">
        <v>1</v>
      </c>
      <c r="D657" t="s">
        <v>238</v>
      </c>
      <c r="E657" t="s">
        <v>265</v>
      </c>
      <c r="F657">
        <v>50</v>
      </c>
      <c r="G657">
        <v>24.91</v>
      </c>
      <c r="H657">
        <v>82.35</v>
      </c>
      <c r="I657">
        <v>20.68</v>
      </c>
      <c r="J657">
        <v>68.37</v>
      </c>
      <c r="K657">
        <v>20</v>
      </c>
      <c r="T657">
        <v>3</v>
      </c>
      <c r="U657">
        <v>1</v>
      </c>
      <c r="V657" t="s">
        <v>93</v>
      </c>
      <c r="W657">
        <v>82</v>
      </c>
      <c r="X657">
        <v>5</v>
      </c>
      <c r="Y657">
        <v>5</v>
      </c>
      <c r="Z657" t="s">
        <v>1082</v>
      </c>
      <c r="AA657" t="s">
        <v>1083</v>
      </c>
      <c r="AB657" t="s">
        <v>96</v>
      </c>
      <c r="AC657" t="s">
        <v>97</v>
      </c>
      <c r="AD657" t="s">
        <v>725</v>
      </c>
      <c r="AG657" t="s">
        <v>1084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721</v>
      </c>
      <c r="B658">
        <v>9672</v>
      </c>
      <c r="C658">
        <v>2</v>
      </c>
      <c r="D658" t="s">
        <v>238</v>
      </c>
      <c r="E658" t="s">
        <v>265</v>
      </c>
      <c r="F658">
        <v>50</v>
      </c>
      <c r="G658">
        <v>25.93</v>
      </c>
      <c r="H658">
        <v>85.72</v>
      </c>
      <c r="I658">
        <v>21.59</v>
      </c>
      <c r="J658">
        <v>71.400000000000006</v>
      </c>
      <c r="K658">
        <v>30</v>
      </c>
      <c r="T658">
        <v>3</v>
      </c>
      <c r="U658">
        <v>1</v>
      </c>
      <c r="V658" t="s">
        <v>93</v>
      </c>
      <c r="W658">
        <v>85</v>
      </c>
      <c r="X658">
        <v>5</v>
      </c>
      <c r="Y658">
        <v>5</v>
      </c>
      <c r="Z658" t="s">
        <v>1082</v>
      </c>
      <c r="AA658" t="s">
        <v>1083</v>
      </c>
      <c r="AB658" t="s">
        <v>96</v>
      </c>
      <c r="AC658" t="s">
        <v>97</v>
      </c>
      <c r="AD658" t="s">
        <v>725</v>
      </c>
      <c r="AG658" t="s">
        <v>1084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721</v>
      </c>
      <c r="B659">
        <v>11060</v>
      </c>
      <c r="C659">
        <v>1</v>
      </c>
      <c r="D659" t="s">
        <v>173</v>
      </c>
      <c r="E659" t="s">
        <v>757</v>
      </c>
      <c r="F659">
        <v>108</v>
      </c>
      <c r="G659">
        <v>15.02</v>
      </c>
      <c r="H659">
        <v>49.66</v>
      </c>
      <c r="I659">
        <v>12.87</v>
      </c>
      <c r="J659">
        <v>42.57</v>
      </c>
      <c r="K659">
        <v>48</v>
      </c>
      <c r="T659">
        <v>2</v>
      </c>
      <c r="U659">
        <v>1</v>
      </c>
      <c r="V659" t="s">
        <v>93</v>
      </c>
      <c r="W659">
        <v>49</v>
      </c>
      <c r="X659">
        <v>6</v>
      </c>
      <c r="Y659">
        <v>6</v>
      </c>
      <c r="Z659" t="s">
        <v>1085</v>
      </c>
      <c r="AA659" t="s">
        <v>1086</v>
      </c>
      <c r="AB659" t="s">
        <v>96</v>
      </c>
      <c r="AC659" t="s">
        <v>97</v>
      </c>
      <c r="AD659" t="s">
        <v>725</v>
      </c>
      <c r="AG659" t="s">
        <v>1087</v>
      </c>
      <c r="AH659">
        <v>0</v>
      </c>
      <c r="AI659">
        <v>143</v>
      </c>
      <c r="AJ659">
        <v>23</v>
      </c>
      <c r="AK659">
        <v>0</v>
      </c>
      <c r="AL659">
        <v>0</v>
      </c>
    </row>
    <row r="660" spans="1:38" x14ac:dyDescent="0.3">
      <c r="A660" t="s">
        <v>721</v>
      </c>
      <c r="B660">
        <v>11060</v>
      </c>
      <c r="C660">
        <v>2</v>
      </c>
      <c r="D660" t="s">
        <v>173</v>
      </c>
      <c r="E660" t="s">
        <v>757</v>
      </c>
      <c r="F660">
        <v>108</v>
      </c>
      <c r="G660">
        <v>16.16</v>
      </c>
      <c r="H660">
        <v>53.44</v>
      </c>
      <c r="I660">
        <v>13.85</v>
      </c>
      <c r="J660">
        <v>45.81</v>
      </c>
      <c r="K660">
        <v>60</v>
      </c>
      <c r="T660">
        <v>3</v>
      </c>
      <c r="U660">
        <v>1</v>
      </c>
      <c r="V660" t="s">
        <v>93</v>
      </c>
      <c r="W660">
        <v>53</v>
      </c>
      <c r="X660">
        <v>6</v>
      </c>
      <c r="Y660">
        <v>6</v>
      </c>
      <c r="Z660" t="s">
        <v>1085</v>
      </c>
      <c r="AA660" t="s">
        <v>1086</v>
      </c>
      <c r="AB660" t="s">
        <v>96</v>
      </c>
      <c r="AC660" t="s">
        <v>97</v>
      </c>
      <c r="AD660" t="s">
        <v>725</v>
      </c>
      <c r="AG660" t="s">
        <v>1087</v>
      </c>
      <c r="AH660">
        <v>0</v>
      </c>
      <c r="AI660">
        <v>143</v>
      </c>
      <c r="AJ660">
        <v>23</v>
      </c>
      <c r="AK660">
        <v>0</v>
      </c>
      <c r="AL660">
        <v>0</v>
      </c>
    </row>
    <row r="661" spans="1:38" x14ac:dyDescent="0.3">
      <c r="A661" t="s">
        <v>1088</v>
      </c>
      <c r="B661">
        <v>100556</v>
      </c>
      <c r="C661">
        <v>1</v>
      </c>
      <c r="D661" t="s">
        <v>1089</v>
      </c>
      <c r="E661" t="s">
        <v>589</v>
      </c>
      <c r="F661">
        <v>138</v>
      </c>
      <c r="G661">
        <v>34.24</v>
      </c>
      <c r="H661">
        <v>113.22</v>
      </c>
      <c r="I661">
        <v>25.67</v>
      </c>
      <c r="J661">
        <v>84.88</v>
      </c>
      <c r="K661">
        <v>86</v>
      </c>
      <c r="T661">
        <v>3</v>
      </c>
      <c r="U661">
        <v>2</v>
      </c>
      <c r="V661" t="s">
        <v>93</v>
      </c>
      <c r="W661">
        <v>113</v>
      </c>
      <c r="X661">
        <v>12</v>
      </c>
      <c r="Y661">
        <v>8</v>
      </c>
      <c r="Z661" t="s">
        <v>1090</v>
      </c>
      <c r="AA661" t="s">
        <v>1091</v>
      </c>
      <c r="AB661" t="s">
        <v>96</v>
      </c>
      <c r="AC661" t="s">
        <v>97</v>
      </c>
      <c r="AD661" t="s">
        <v>1092</v>
      </c>
      <c r="AG661" t="s">
        <v>1093</v>
      </c>
      <c r="AH661">
        <v>0</v>
      </c>
      <c r="AI661">
        <v>192</v>
      </c>
      <c r="AJ661">
        <v>24</v>
      </c>
      <c r="AK661">
        <v>167</v>
      </c>
      <c r="AL661">
        <v>1.21</v>
      </c>
    </row>
    <row r="662" spans="1:38" x14ac:dyDescent="0.3">
      <c r="A662" t="s">
        <v>1088</v>
      </c>
      <c r="B662">
        <v>100556</v>
      </c>
      <c r="C662">
        <v>2</v>
      </c>
      <c r="D662" t="s">
        <v>1089</v>
      </c>
      <c r="E662" t="s">
        <v>589</v>
      </c>
      <c r="F662">
        <v>138</v>
      </c>
      <c r="G662">
        <v>35.25</v>
      </c>
      <c r="H662">
        <v>116.56</v>
      </c>
      <c r="I662">
        <v>25.68</v>
      </c>
      <c r="J662">
        <v>84.9</v>
      </c>
      <c r="K662">
        <v>12</v>
      </c>
      <c r="T662">
        <v>3</v>
      </c>
      <c r="U662">
        <v>2</v>
      </c>
      <c r="V662" t="s">
        <v>93</v>
      </c>
      <c r="W662">
        <v>116</v>
      </c>
      <c r="X662">
        <v>12</v>
      </c>
      <c r="Y662">
        <v>8</v>
      </c>
      <c r="Z662" t="s">
        <v>1090</v>
      </c>
      <c r="AA662" t="s">
        <v>1091</v>
      </c>
      <c r="AB662" t="s">
        <v>96</v>
      </c>
      <c r="AC662" t="s">
        <v>97</v>
      </c>
      <c r="AD662" t="s">
        <v>1092</v>
      </c>
      <c r="AG662" t="s">
        <v>1093</v>
      </c>
      <c r="AH662">
        <v>0</v>
      </c>
      <c r="AI662">
        <v>192</v>
      </c>
      <c r="AJ662">
        <v>24</v>
      </c>
      <c r="AK662">
        <v>167</v>
      </c>
      <c r="AL662">
        <v>1.21</v>
      </c>
    </row>
    <row r="663" spans="1:38" x14ac:dyDescent="0.3">
      <c r="A663" t="s">
        <v>1088</v>
      </c>
      <c r="B663">
        <v>100556</v>
      </c>
      <c r="C663">
        <v>3</v>
      </c>
      <c r="D663" t="s">
        <v>1089</v>
      </c>
      <c r="E663" t="s">
        <v>589</v>
      </c>
      <c r="F663">
        <v>138</v>
      </c>
      <c r="G663">
        <v>41.51</v>
      </c>
      <c r="H663">
        <v>137.25</v>
      </c>
      <c r="I663">
        <v>33.6</v>
      </c>
      <c r="J663">
        <v>111.08</v>
      </c>
      <c r="K663">
        <v>39</v>
      </c>
      <c r="T663">
        <v>4</v>
      </c>
      <c r="U663">
        <v>2</v>
      </c>
      <c r="V663" t="s">
        <v>93</v>
      </c>
      <c r="W663" t="s">
        <v>1094</v>
      </c>
      <c r="X663">
        <v>12</v>
      </c>
      <c r="Y663">
        <v>8</v>
      </c>
      <c r="Z663" t="s">
        <v>1090</v>
      </c>
      <c r="AA663" t="s">
        <v>1091</v>
      </c>
      <c r="AB663" t="s">
        <v>96</v>
      </c>
      <c r="AC663" t="s">
        <v>97</v>
      </c>
      <c r="AD663" t="s">
        <v>1092</v>
      </c>
      <c r="AG663" t="s">
        <v>1093</v>
      </c>
      <c r="AH663">
        <v>0</v>
      </c>
      <c r="AI663">
        <v>192</v>
      </c>
      <c r="AJ663">
        <v>24</v>
      </c>
      <c r="AK663">
        <v>167</v>
      </c>
      <c r="AL663">
        <v>1.21</v>
      </c>
    </row>
    <row r="664" spans="1:38" x14ac:dyDescent="0.3">
      <c r="A664" t="s">
        <v>1088</v>
      </c>
      <c r="B664">
        <v>100556</v>
      </c>
      <c r="C664">
        <v>4</v>
      </c>
      <c r="D664" t="s">
        <v>1089</v>
      </c>
      <c r="E664" t="s">
        <v>589</v>
      </c>
      <c r="F664">
        <v>138</v>
      </c>
      <c r="G664">
        <v>41.84</v>
      </c>
      <c r="H664">
        <v>138.34</v>
      </c>
      <c r="I664">
        <v>31.16</v>
      </c>
      <c r="J664">
        <v>103.03</v>
      </c>
      <c r="K664">
        <v>1</v>
      </c>
      <c r="T664">
        <v>4</v>
      </c>
      <c r="U664">
        <v>2</v>
      </c>
      <c r="V664" t="s">
        <v>93</v>
      </c>
      <c r="W664" t="s">
        <v>1095</v>
      </c>
      <c r="X664">
        <v>12</v>
      </c>
      <c r="Y664">
        <v>8</v>
      </c>
      <c r="Z664" t="s">
        <v>1090</v>
      </c>
      <c r="AA664" t="s">
        <v>1091</v>
      </c>
      <c r="AB664" t="s">
        <v>96</v>
      </c>
      <c r="AC664" t="s">
        <v>97</v>
      </c>
      <c r="AD664" t="s">
        <v>1092</v>
      </c>
      <c r="AG664" t="s">
        <v>1093</v>
      </c>
      <c r="AH664">
        <v>0</v>
      </c>
      <c r="AI664">
        <v>192</v>
      </c>
      <c r="AJ664">
        <v>24</v>
      </c>
      <c r="AK664">
        <v>167</v>
      </c>
      <c r="AL664">
        <v>1.21</v>
      </c>
    </row>
    <row r="665" spans="1:38" x14ac:dyDescent="0.3">
      <c r="A665" t="s">
        <v>1096</v>
      </c>
      <c r="B665">
        <v>2522</v>
      </c>
      <c r="C665">
        <v>1</v>
      </c>
      <c r="D665" t="s">
        <v>204</v>
      </c>
      <c r="E665" t="s">
        <v>538</v>
      </c>
      <c r="F665">
        <v>1178</v>
      </c>
      <c r="G665">
        <v>23.68</v>
      </c>
      <c r="H665">
        <v>78.31</v>
      </c>
      <c r="I665">
        <v>18.13</v>
      </c>
      <c r="J665">
        <v>59.96</v>
      </c>
      <c r="K665">
        <v>524</v>
      </c>
      <c r="T665">
        <v>3</v>
      </c>
      <c r="U665">
        <v>1</v>
      </c>
      <c r="V665" t="s">
        <v>93</v>
      </c>
      <c r="W665">
        <v>78</v>
      </c>
      <c r="X665">
        <v>24</v>
      </c>
      <c r="Y665">
        <v>7</v>
      </c>
      <c r="Z665" t="s">
        <v>1097</v>
      </c>
      <c r="AA665" t="s">
        <v>1098</v>
      </c>
      <c r="AB665" t="s">
        <v>96</v>
      </c>
      <c r="AC665" t="s">
        <v>97</v>
      </c>
      <c r="AD665" t="s">
        <v>1099</v>
      </c>
      <c r="AG665" t="s">
        <v>1100</v>
      </c>
      <c r="AH665">
        <v>0</v>
      </c>
      <c r="AI665">
        <v>274</v>
      </c>
      <c r="AJ665">
        <v>21</v>
      </c>
      <c r="AK665">
        <v>1211</v>
      </c>
      <c r="AL665">
        <v>1.03</v>
      </c>
    </row>
    <row r="666" spans="1:38" x14ac:dyDescent="0.3">
      <c r="A666" t="s">
        <v>1096</v>
      </c>
      <c r="B666">
        <v>2522</v>
      </c>
      <c r="C666">
        <v>2</v>
      </c>
      <c r="D666" t="s">
        <v>204</v>
      </c>
      <c r="E666" t="s">
        <v>538</v>
      </c>
      <c r="F666">
        <v>1178</v>
      </c>
      <c r="G666">
        <v>33.07</v>
      </c>
      <c r="H666">
        <v>109.35</v>
      </c>
      <c r="I666">
        <v>25.63</v>
      </c>
      <c r="J666">
        <v>84.76</v>
      </c>
      <c r="K666">
        <v>654</v>
      </c>
      <c r="T666">
        <v>3</v>
      </c>
      <c r="U666">
        <v>2</v>
      </c>
      <c r="V666" t="s">
        <v>93</v>
      </c>
      <c r="W666">
        <v>109</v>
      </c>
      <c r="X666">
        <v>24</v>
      </c>
      <c r="Y666">
        <v>7</v>
      </c>
      <c r="Z666" t="s">
        <v>1097</v>
      </c>
      <c r="AA666" t="s">
        <v>1098</v>
      </c>
      <c r="AB666" t="s">
        <v>96</v>
      </c>
      <c r="AC666" t="s">
        <v>97</v>
      </c>
      <c r="AD666" t="s">
        <v>1099</v>
      </c>
      <c r="AG666" t="s">
        <v>1100</v>
      </c>
      <c r="AH666">
        <v>0</v>
      </c>
      <c r="AI666">
        <v>274</v>
      </c>
      <c r="AJ666">
        <v>21</v>
      </c>
      <c r="AK666">
        <v>1211</v>
      </c>
      <c r="AL666">
        <v>1.03</v>
      </c>
    </row>
    <row r="667" spans="1:38" x14ac:dyDescent="0.3">
      <c r="A667" t="s">
        <v>1096</v>
      </c>
      <c r="B667">
        <v>8265</v>
      </c>
      <c r="C667">
        <v>1</v>
      </c>
      <c r="D667" t="s">
        <v>1101</v>
      </c>
      <c r="E667" t="s">
        <v>1102</v>
      </c>
      <c r="F667">
        <v>208</v>
      </c>
      <c r="G667">
        <v>25.83</v>
      </c>
      <c r="H667">
        <v>85.41</v>
      </c>
      <c r="I667">
        <v>18.149999999999999</v>
      </c>
      <c r="J667">
        <v>60</v>
      </c>
      <c r="K667">
        <v>133</v>
      </c>
      <c r="T667">
        <v>3</v>
      </c>
      <c r="U667">
        <v>1</v>
      </c>
      <c r="V667" t="s">
        <v>93</v>
      </c>
      <c r="W667">
        <v>85</v>
      </c>
      <c r="X667">
        <v>19</v>
      </c>
      <c r="Y667">
        <v>18</v>
      </c>
      <c r="Z667" t="s">
        <v>1103</v>
      </c>
      <c r="AA667" t="s">
        <v>1104</v>
      </c>
      <c r="AB667" t="s">
        <v>96</v>
      </c>
      <c r="AC667" t="s">
        <v>97</v>
      </c>
      <c r="AD667" t="s">
        <v>1099</v>
      </c>
      <c r="AG667" t="s">
        <v>1105</v>
      </c>
      <c r="AH667">
        <v>0</v>
      </c>
      <c r="AI667">
        <v>370</v>
      </c>
      <c r="AJ667">
        <v>23</v>
      </c>
      <c r="AK667">
        <v>113</v>
      </c>
      <c r="AL667">
        <v>0.54</v>
      </c>
    </row>
    <row r="668" spans="1:38" x14ac:dyDescent="0.3">
      <c r="A668" t="s">
        <v>1096</v>
      </c>
      <c r="B668">
        <v>8265</v>
      </c>
      <c r="C668">
        <v>2</v>
      </c>
      <c r="D668" t="s">
        <v>1101</v>
      </c>
      <c r="E668" t="s">
        <v>1102</v>
      </c>
      <c r="F668">
        <v>208</v>
      </c>
      <c r="G668">
        <v>26.72</v>
      </c>
      <c r="H668">
        <v>88.34</v>
      </c>
      <c r="I668">
        <v>18.149999999999999</v>
      </c>
      <c r="J668">
        <v>60</v>
      </c>
      <c r="K668">
        <v>75</v>
      </c>
      <c r="T668">
        <v>3</v>
      </c>
      <c r="U668">
        <v>1</v>
      </c>
      <c r="V668" t="s">
        <v>138</v>
      </c>
      <c r="W668">
        <v>88</v>
      </c>
      <c r="X668">
        <v>19</v>
      </c>
      <c r="Y668">
        <v>18</v>
      </c>
      <c r="Z668" t="s">
        <v>1103</v>
      </c>
      <c r="AA668" t="s">
        <v>1104</v>
      </c>
      <c r="AB668" t="s">
        <v>96</v>
      </c>
      <c r="AC668" t="s">
        <v>97</v>
      </c>
      <c r="AD668" t="s">
        <v>1099</v>
      </c>
      <c r="AG668" t="s">
        <v>1105</v>
      </c>
      <c r="AH668">
        <v>0</v>
      </c>
      <c r="AI668">
        <v>370</v>
      </c>
      <c r="AJ668">
        <v>23</v>
      </c>
      <c r="AK668">
        <v>113</v>
      </c>
      <c r="AL668">
        <v>0.54</v>
      </c>
    </row>
    <row r="669" spans="1:38" x14ac:dyDescent="0.3">
      <c r="A669" t="s">
        <v>1096</v>
      </c>
      <c r="B669">
        <v>141997</v>
      </c>
      <c r="C669">
        <v>1</v>
      </c>
      <c r="D669" t="s">
        <v>1106</v>
      </c>
      <c r="E669" t="s">
        <v>1107</v>
      </c>
      <c r="F669">
        <v>26</v>
      </c>
      <c r="G669">
        <v>24.1</v>
      </c>
      <c r="H669">
        <v>79.67</v>
      </c>
      <c r="I669">
        <v>19.18</v>
      </c>
      <c r="J669">
        <v>63.41</v>
      </c>
      <c r="K669">
        <v>9</v>
      </c>
      <c r="T669">
        <v>3</v>
      </c>
      <c r="U669">
        <v>2</v>
      </c>
      <c r="V669" t="s">
        <v>93</v>
      </c>
      <c r="W669">
        <v>79</v>
      </c>
      <c r="X669">
        <v>10</v>
      </c>
      <c r="Y669">
        <v>9</v>
      </c>
      <c r="Z669" t="s">
        <v>1108</v>
      </c>
      <c r="AA669" t="s">
        <v>1109</v>
      </c>
      <c r="AB669" t="s">
        <v>96</v>
      </c>
      <c r="AC669" t="s">
        <v>97</v>
      </c>
      <c r="AD669" t="s">
        <v>1099</v>
      </c>
      <c r="AG669" t="s">
        <v>1110</v>
      </c>
      <c r="AH669">
        <v>0</v>
      </c>
      <c r="AI669">
        <v>249</v>
      </c>
      <c r="AJ669">
        <v>35</v>
      </c>
      <c r="AK669">
        <v>26</v>
      </c>
      <c r="AL669">
        <v>1</v>
      </c>
    </row>
    <row r="670" spans="1:38" x14ac:dyDescent="0.3">
      <c r="A670" t="s">
        <v>1096</v>
      </c>
      <c r="B670">
        <v>141997</v>
      </c>
      <c r="C670">
        <v>2</v>
      </c>
      <c r="D670" t="s">
        <v>1106</v>
      </c>
      <c r="E670" t="s">
        <v>1107</v>
      </c>
      <c r="F670">
        <v>26</v>
      </c>
      <c r="G670">
        <v>25.39</v>
      </c>
      <c r="H670">
        <v>83.96</v>
      </c>
      <c r="I670">
        <v>20.8</v>
      </c>
      <c r="J670">
        <v>68.78</v>
      </c>
      <c r="K670">
        <v>9</v>
      </c>
      <c r="T670">
        <v>3</v>
      </c>
      <c r="U670">
        <v>2</v>
      </c>
      <c r="V670" t="s">
        <v>93</v>
      </c>
      <c r="W670">
        <v>83</v>
      </c>
      <c r="X670">
        <v>10</v>
      </c>
      <c r="Y670">
        <v>9</v>
      </c>
      <c r="Z670" t="s">
        <v>1108</v>
      </c>
      <c r="AA670" t="s">
        <v>1109</v>
      </c>
      <c r="AB670" t="s">
        <v>96</v>
      </c>
      <c r="AC670" t="s">
        <v>97</v>
      </c>
      <c r="AD670" t="s">
        <v>1099</v>
      </c>
      <c r="AG670" t="s">
        <v>1110</v>
      </c>
      <c r="AH670">
        <v>0</v>
      </c>
      <c r="AI670">
        <v>249</v>
      </c>
      <c r="AJ670">
        <v>35</v>
      </c>
      <c r="AK670">
        <v>26</v>
      </c>
      <c r="AL670">
        <v>1</v>
      </c>
    </row>
    <row r="671" spans="1:38" x14ac:dyDescent="0.3">
      <c r="A671" t="s">
        <v>1096</v>
      </c>
      <c r="B671">
        <v>141997</v>
      </c>
      <c r="C671">
        <v>3</v>
      </c>
      <c r="D671" t="s">
        <v>1106</v>
      </c>
      <c r="E671" t="s">
        <v>1107</v>
      </c>
      <c r="F671">
        <v>26</v>
      </c>
      <c r="G671">
        <v>26.24</v>
      </c>
      <c r="H671">
        <v>86.75</v>
      </c>
      <c r="I671">
        <v>20.93</v>
      </c>
      <c r="J671">
        <v>69.22</v>
      </c>
      <c r="K671">
        <v>7</v>
      </c>
      <c r="T671">
        <v>3</v>
      </c>
      <c r="U671">
        <v>2</v>
      </c>
      <c r="V671" t="s">
        <v>93</v>
      </c>
      <c r="W671">
        <v>86</v>
      </c>
      <c r="X671">
        <v>10</v>
      </c>
      <c r="Y671">
        <v>9</v>
      </c>
      <c r="Z671" t="s">
        <v>1108</v>
      </c>
      <c r="AA671" t="s">
        <v>1109</v>
      </c>
      <c r="AB671" t="s">
        <v>96</v>
      </c>
      <c r="AC671" t="s">
        <v>97</v>
      </c>
      <c r="AD671" t="s">
        <v>1099</v>
      </c>
      <c r="AG671" t="s">
        <v>1110</v>
      </c>
      <c r="AH671">
        <v>0</v>
      </c>
      <c r="AI671">
        <v>249</v>
      </c>
      <c r="AJ671">
        <v>35</v>
      </c>
      <c r="AK671">
        <v>26</v>
      </c>
      <c r="AL671">
        <v>1</v>
      </c>
    </row>
    <row r="672" spans="1:38" x14ac:dyDescent="0.3">
      <c r="A672" t="s">
        <v>1096</v>
      </c>
      <c r="B672">
        <v>141997</v>
      </c>
      <c r="C672">
        <v>4</v>
      </c>
      <c r="D672" t="s">
        <v>1106</v>
      </c>
      <c r="E672" t="s">
        <v>1107</v>
      </c>
      <c r="F672">
        <v>26</v>
      </c>
      <c r="G672">
        <v>45.43</v>
      </c>
      <c r="H672">
        <v>150.19999999999999</v>
      </c>
      <c r="I672">
        <v>36.29</v>
      </c>
      <c r="J672">
        <v>119.97</v>
      </c>
      <c r="K672">
        <v>1</v>
      </c>
      <c r="T672">
        <v>3</v>
      </c>
      <c r="U672">
        <v>2</v>
      </c>
      <c r="V672" t="s">
        <v>93</v>
      </c>
      <c r="W672">
        <v>150</v>
      </c>
      <c r="X672">
        <v>10</v>
      </c>
      <c r="Y672">
        <v>9</v>
      </c>
      <c r="Z672" t="s">
        <v>1108</v>
      </c>
      <c r="AA672" t="s">
        <v>1109</v>
      </c>
      <c r="AB672" t="s">
        <v>96</v>
      </c>
      <c r="AC672" t="s">
        <v>97</v>
      </c>
      <c r="AD672" t="s">
        <v>1099</v>
      </c>
      <c r="AG672" t="s">
        <v>1110</v>
      </c>
      <c r="AH672">
        <v>0</v>
      </c>
      <c r="AI672">
        <v>249</v>
      </c>
      <c r="AJ672">
        <v>35</v>
      </c>
      <c r="AK672">
        <v>26</v>
      </c>
      <c r="AL672">
        <v>1</v>
      </c>
    </row>
    <row r="673" spans="1:38" x14ac:dyDescent="0.3">
      <c r="A673" t="s">
        <v>1096</v>
      </c>
      <c r="B673">
        <v>2479</v>
      </c>
      <c r="C673">
        <v>1</v>
      </c>
      <c r="D673" t="s">
        <v>790</v>
      </c>
      <c r="E673" t="s">
        <v>791</v>
      </c>
      <c r="F673">
        <v>374</v>
      </c>
      <c r="G673">
        <v>23.95</v>
      </c>
      <c r="H673">
        <v>79.19</v>
      </c>
      <c r="I673">
        <v>16.71</v>
      </c>
      <c r="J673">
        <v>55.25</v>
      </c>
      <c r="K673">
        <v>36</v>
      </c>
      <c r="T673">
        <v>2</v>
      </c>
      <c r="U673">
        <v>1</v>
      </c>
      <c r="V673" t="s">
        <v>93</v>
      </c>
      <c r="W673">
        <v>79</v>
      </c>
      <c r="X673">
        <v>23</v>
      </c>
      <c r="Y673">
        <v>16</v>
      </c>
      <c r="Z673" t="s">
        <v>1111</v>
      </c>
      <c r="AA673" t="s">
        <v>1112</v>
      </c>
      <c r="AB673" t="s">
        <v>96</v>
      </c>
      <c r="AC673" t="s">
        <v>97</v>
      </c>
      <c r="AD673" t="s">
        <v>1099</v>
      </c>
      <c r="AG673" t="s">
        <v>1113</v>
      </c>
      <c r="AH673">
        <v>0</v>
      </c>
      <c r="AI673">
        <v>295</v>
      </c>
      <c r="AJ673">
        <v>18</v>
      </c>
      <c r="AK673">
        <v>181</v>
      </c>
      <c r="AL673">
        <v>0.48</v>
      </c>
    </row>
    <row r="674" spans="1:38" x14ac:dyDescent="0.3">
      <c r="A674" t="s">
        <v>1096</v>
      </c>
      <c r="B674">
        <v>2479</v>
      </c>
      <c r="C674">
        <v>2</v>
      </c>
      <c r="D674" t="s">
        <v>790</v>
      </c>
      <c r="E674" t="s">
        <v>791</v>
      </c>
      <c r="F674">
        <v>374</v>
      </c>
      <c r="G674">
        <v>26.42</v>
      </c>
      <c r="H674">
        <v>87.35</v>
      </c>
      <c r="I674">
        <v>21.61</v>
      </c>
      <c r="J674">
        <v>71.45</v>
      </c>
      <c r="K674">
        <v>72</v>
      </c>
      <c r="T674">
        <v>3</v>
      </c>
      <c r="U674">
        <v>1</v>
      </c>
      <c r="V674" t="s">
        <v>93</v>
      </c>
      <c r="W674">
        <v>87</v>
      </c>
      <c r="X674">
        <v>23</v>
      </c>
      <c r="Y674">
        <v>16</v>
      </c>
      <c r="Z674" t="s">
        <v>1111</v>
      </c>
      <c r="AA674" t="s">
        <v>1112</v>
      </c>
      <c r="AB674" t="s">
        <v>96</v>
      </c>
      <c r="AC674" t="s">
        <v>97</v>
      </c>
      <c r="AD674" t="s">
        <v>1099</v>
      </c>
      <c r="AG674" t="s">
        <v>1113</v>
      </c>
      <c r="AH674">
        <v>0</v>
      </c>
      <c r="AI674">
        <v>295</v>
      </c>
      <c r="AJ674">
        <v>18</v>
      </c>
      <c r="AK674">
        <v>181</v>
      </c>
      <c r="AL674">
        <v>0.48</v>
      </c>
    </row>
    <row r="675" spans="1:38" x14ac:dyDescent="0.3">
      <c r="A675" t="s">
        <v>1096</v>
      </c>
      <c r="B675">
        <v>2479</v>
      </c>
      <c r="C675">
        <v>3</v>
      </c>
      <c r="D675" t="s">
        <v>790</v>
      </c>
      <c r="E675" t="s">
        <v>791</v>
      </c>
      <c r="F675">
        <v>374</v>
      </c>
      <c r="G675">
        <v>30.96</v>
      </c>
      <c r="H675">
        <v>102.36</v>
      </c>
      <c r="I675">
        <v>25.7</v>
      </c>
      <c r="J675">
        <v>84.96</v>
      </c>
      <c r="K675">
        <v>266</v>
      </c>
      <c r="T675">
        <v>3</v>
      </c>
      <c r="U675">
        <v>2</v>
      </c>
      <c r="V675" t="s">
        <v>93</v>
      </c>
      <c r="W675">
        <v>102</v>
      </c>
      <c r="X675">
        <v>23</v>
      </c>
      <c r="Y675">
        <v>16</v>
      </c>
      <c r="Z675" t="s">
        <v>1111</v>
      </c>
      <c r="AA675" t="s">
        <v>1112</v>
      </c>
      <c r="AB675" t="s">
        <v>96</v>
      </c>
      <c r="AC675" t="s">
        <v>97</v>
      </c>
      <c r="AD675" t="s">
        <v>1099</v>
      </c>
      <c r="AG675" t="s">
        <v>1113</v>
      </c>
      <c r="AH675">
        <v>0</v>
      </c>
      <c r="AI675">
        <v>295</v>
      </c>
      <c r="AJ675">
        <v>18</v>
      </c>
      <c r="AK675">
        <v>181</v>
      </c>
      <c r="AL675">
        <v>0.48</v>
      </c>
    </row>
    <row r="676" spans="1:38" x14ac:dyDescent="0.3">
      <c r="A676" t="s">
        <v>1096</v>
      </c>
      <c r="B676">
        <v>2478</v>
      </c>
      <c r="C676">
        <v>1</v>
      </c>
      <c r="D676" t="s">
        <v>1114</v>
      </c>
      <c r="E676" t="s">
        <v>791</v>
      </c>
      <c r="F676">
        <v>340</v>
      </c>
      <c r="G676">
        <v>30.88</v>
      </c>
      <c r="H676">
        <v>102.11</v>
      </c>
      <c r="I676">
        <v>25.69</v>
      </c>
      <c r="J676">
        <v>84.94</v>
      </c>
      <c r="K676">
        <v>240</v>
      </c>
      <c r="T676">
        <v>3</v>
      </c>
      <c r="U676">
        <v>2</v>
      </c>
      <c r="V676" t="s">
        <v>93</v>
      </c>
      <c r="W676">
        <v>102</v>
      </c>
      <c r="X676">
        <v>25</v>
      </c>
      <c r="Y676">
        <v>20</v>
      </c>
      <c r="Z676" t="s">
        <v>1115</v>
      </c>
      <c r="AA676" t="s">
        <v>1116</v>
      </c>
      <c r="AB676" t="s">
        <v>96</v>
      </c>
      <c r="AC676" t="s">
        <v>97</v>
      </c>
      <c r="AD676" t="s">
        <v>1099</v>
      </c>
      <c r="AG676" t="s">
        <v>1117</v>
      </c>
      <c r="AH676">
        <v>0</v>
      </c>
      <c r="AI676">
        <v>248</v>
      </c>
      <c r="AJ676">
        <v>12</v>
      </c>
      <c r="AK676">
        <v>213</v>
      </c>
      <c r="AL676">
        <v>0.63</v>
      </c>
    </row>
    <row r="677" spans="1:38" x14ac:dyDescent="0.3">
      <c r="A677" t="s">
        <v>1096</v>
      </c>
      <c r="B677">
        <v>2478</v>
      </c>
      <c r="C677">
        <v>2</v>
      </c>
      <c r="D677" t="s">
        <v>1114</v>
      </c>
      <c r="E677" t="s">
        <v>791</v>
      </c>
      <c r="F677">
        <v>340</v>
      </c>
      <c r="G677">
        <v>46.89</v>
      </c>
      <c r="H677">
        <v>155.03</v>
      </c>
      <c r="I677">
        <v>39.01</v>
      </c>
      <c r="J677">
        <v>128.96</v>
      </c>
      <c r="K677">
        <v>100</v>
      </c>
      <c r="T677">
        <v>4</v>
      </c>
      <c r="U677">
        <v>2</v>
      </c>
      <c r="V677" t="s">
        <v>93</v>
      </c>
      <c r="W677">
        <v>155</v>
      </c>
      <c r="X677">
        <v>25</v>
      </c>
      <c r="Y677">
        <v>20</v>
      </c>
      <c r="Z677" t="s">
        <v>1115</v>
      </c>
      <c r="AA677" t="s">
        <v>1116</v>
      </c>
      <c r="AB677" t="s">
        <v>96</v>
      </c>
      <c r="AC677" t="s">
        <v>97</v>
      </c>
      <c r="AD677" t="s">
        <v>1099</v>
      </c>
      <c r="AG677" t="s">
        <v>1117</v>
      </c>
      <c r="AH677">
        <v>0</v>
      </c>
      <c r="AI677">
        <v>248</v>
      </c>
      <c r="AJ677">
        <v>12</v>
      </c>
      <c r="AK677">
        <v>213</v>
      </c>
      <c r="AL677">
        <v>0.63</v>
      </c>
    </row>
    <row r="678" spans="1:38" x14ac:dyDescent="0.3">
      <c r="A678" t="s">
        <v>1096</v>
      </c>
      <c r="B678">
        <v>2476</v>
      </c>
      <c r="C678">
        <v>1</v>
      </c>
      <c r="D678" t="s">
        <v>354</v>
      </c>
      <c r="E678" t="s">
        <v>1118</v>
      </c>
      <c r="F678">
        <v>498</v>
      </c>
      <c r="G678">
        <v>23.91</v>
      </c>
      <c r="H678">
        <v>79.05</v>
      </c>
      <c r="I678">
        <v>18.079999999999998</v>
      </c>
      <c r="J678">
        <v>59.79</v>
      </c>
      <c r="K678">
        <v>250</v>
      </c>
      <c r="T678">
        <v>3</v>
      </c>
      <c r="U678">
        <v>1</v>
      </c>
      <c r="V678" t="s">
        <v>93</v>
      </c>
      <c r="W678">
        <v>79</v>
      </c>
      <c r="X678">
        <v>20</v>
      </c>
      <c r="Y678">
        <v>11</v>
      </c>
      <c r="Z678" t="s">
        <v>1119</v>
      </c>
      <c r="AA678" t="s">
        <v>1120</v>
      </c>
      <c r="AB678" t="s">
        <v>96</v>
      </c>
      <c r="AC678" t="s">
        <v>97</v>
      </c>
      <c r="AD678" t="s">
        <v>1099</v>
      </c>
      <c r="AG678" t="s">
        <v>1121</v>
      </c>
      <c r="AH678">
        <v>0</v>
      </c>
      <c r="AI678">
        <v>272</v>
      </c>
      <c r="AJ678">
        <v>17</v>
      </c>
      <c r="AK678">
        <v>507</v>
      </c>
      <c r="AL678">
        <v>1.02</v>
      </c>
    </row>
    <row r="679" spans="1:38" x14ac:dyDescent="0.3">
      <c r="A679" t="s">
        <v>1096</v>
      </c>
      <c r="B679">
        <v>2476</v>
      </c>
      <c r="C679">
        <v>2</v>
      </c>
      <c r="D679" t="s">
        <v>354</v>
      </c>
      <c r="E679" t="s">
        <v>1118</v>
      </c>
      <c r="F679">
        <v>498</v>
      </c>
      <c r="G679">
        <v>32.369999999999997</v>
      </c>
      <c r="H679">
        <v>107.01</v>
      </c>
      <c r="I679">
        <v>25.67</v>
      </c>
      <c r="J679">
        <v>84.87</v>
      </c>
      <c r="K679">
        <v>176</v>
      </c>
      <c r="T679">
        <v>3</v>
      </c>
      <c r="U679">
        <v>2</v>
      </c>
      <c r="V679" t="s">
        <v>93</v>
      </c>
      <c r="W679">
        <v>107</v>
      </c>
      <c r="X679">
        <v>20</v>
      </c>
      <c r="Y679">
        <v>11</v>
      </c>
      <c r="Z679" t="s">
        <v>1119</v>
      </c>
      <c r="AA679" t="s">
        <v>1120</v>
      </c>
      <c r="AB679" t="s">
        <v>96</v>
      </c>
      <c r="AC679" t="s">
        <v>97</v>
      </c>
      <c r="AD679" t="s">
        <v>1099</v>
      </c>
      <c r="AG679" t="s">
        <v>1121</v>
      </c>
      <c r="AH679">
        <v>0</v>
      </c>
      <c r="AI679">
        <v>272</v>
      </c>
      <c r="AJ679">
        <v>17</v>
      </c>
      <c r="AK679">
        <v>507</v>
      </c>
      <c r="AL679">
        <v>1.02</v>
      </c>
    </row>
    <row r="680" spans="1:38" x14ac:dyDescent="0.3">
      <c r="A680" t="s">
        <v>1096</v>
      </c>
      <c r="B680">
        <v>2476</v>
      </c>
      <c r="C680">
        <v>3</v>
      </c>
      <c r="D680" t="s">
        <v>354</v>
      </c>
      <c r="E680" t="s">
        <v>1118</v>
      </c>
      <c r="F680">
        <v>498</v>
      </c>
      <c r="G680">
        <v>39.39</v>
      </c>
      <c r="H680">
        <v>130.22</v>
      </c>
      <c r="I680">
        <v>31.59</v>
      </c>
      <c r="J680">
        <v>104.45</v>
      </c>
      <c r="K680">
        <v>72</v>
      </c>
      <c r="T680">
        <v>3</v>
      </c>
      <c r="U680">
        <v>2</v>
      </c>
      <c r="V680" t="s">
        <v>93</v>
      </c>
      <c r="W680">
        <v>130</v>
      </c>
      <c r="X680">
        <v>20</v>
      </c>
      <c r="Y680">
        <v>11</v>
      </c>
      <c r="Z680" t="s">
        <v>1119</v>
      </c>
      <c r="AA680" t="s">
        <v>1120</v>
      </c>
      <c r="AB680" t="s">
        <v>96</v>
      </c>
      <c r="AC680" t="s">
        <v>97</v>
      </c>
      <c r="AD680" t="s">
        <v>1099</v>
      </c>
      <c r="AG680" t="s">
        <v>1121</v>
      </c>
      <c r="AH680">
        <v>0</v>
      </c>
      <c r="AI680">
        <v>272</v>
      </c>
      <c r="AJ680">
        <v>17</v>
      </c>
      <c r="AK680">
        <v>507</v>
      </c>
      <c r="AL680">
        <v>1.02</v>
      </c>
    </row>
    <row r="681" spans="1:38" x14ac:dyDescent="0.3">
      <c r="A681" t="s">
        <v>1096</v>
      </c>
      <c r="B681">
        <v>143441</v>
      </c>
      <c r="C681">
        <v>1</v>
      </c>
      <c r="D681" t="s">
        <v>1122</v>
      </c>
      <c r="E681" t="s">
        <v>1123</v>
      </c>
      <c r="F681">
        <v>124</v>
      </c>
      <c r="G681">
        <v>34.17</v>
      </c>
      <c r="H681">
        <v>112.99</v>
      </c>
      <c r="I681">
        <v>25.7</v>
      </c>
      <c r="J681">
        <v>84.97</v>
      </c>
      <c r="K681">
        <v>8</v>
      </c>
      <c r="T681">
        <v>3</v>
      </c>
      <c r="U681">
        <v>2</v>
      </c>
      <c r="V681" t="s">
        <v>93</v>
      </c>
      <c r="W681" t="s">
        <v>1124</v>
      </c>
      <c r="X681">
        <v>23</v>
      </c>
      <c r="Y681">
        <v>16</v>
      </c>
      <c r="Z681" t="s">
        <v>1125</v>
      </c>
      <c r="AA681" t="s">
        <v>1126</v>
      </c>
      <c r="AB681" t="s">
        <v>96</v>
      </c>
      <c r="AC681" t="s">
        <v>97</v>
      </c>
      <c r="AD681" t="s">
        <v>1099</v>
      </c>
      <c r="AG681" t="s">
        <v>515</v>
      </c>
      <c r="AH681">
        <v>0</v>
      </c>
      <c r="AI681">
        <v>194</v>
      </c>
      <c r="AJ681">
        <v>17</v>
      </c>
      <c r="AK681">
        <v>150</v>
      </c>
      <c r="AL681">
        <v>1.21</v>
      </c>
    </row>
    <row r="682" spans="1:38" x14ac:dyDescent="0.3">
      <c r="A682" t="s">
        <v>1096</v>
      </c>
      <c r="B682">
        <v>143441</v>
      </c>
      <c r="C682">
        <v>2</v>
      </c>
      <c r="D682" t="s">
        <v>1122</v>
      </c>
      <c r="E682" t="s">
        <v>1123</v>
      </c>
      <c r="F682">
        <v>124</v>
      </c>
      <c r="G682">
        <v>34.17</v>
      </c>
      <c r="H682">
        <v>112.99</v>
      </c>
      <c r="I682">
        <v>25.7</v>
      </c>
      <c r="J682">
        <v>84.97</v>
      </c>
      <c r="K682">
        <v>7</v>
      </c>
      <c r="T682">
        <v>3</v>
      </c>
      <c r="U682">
        <v>2</v>
      </c>
      <c r="V682" t="s">
        <v>93</v>
      </c>
      <c r="W682" t="s">
        <v>1127</v>
      </c>
      <c r="X682">
        <v>23</v>
      </c>
      <c r="Y682">
        <v>16</v>
      </c>
      <c r="Z682" t="s">
        <v>1125</v>
      </c>
      <c r="AA682" t="s">
        <v>1126</v>
      </c>
      <c r="AB682" t="s">
        <v>96</v>
      </c>
      <c r="AC682" t="s">
        <v>97</v>
      </c>
      <c r="AD682" t="s">
        <v>1099</v>
      </c>
      <c r="AG682" t="s">
        <v>515</v>
      </c>
      <c r="AH682">
        <v>0</v>
      </c>
      <c r="AI682">
        <v>194</v>
      </c>
      <c r="AJ682">
        <v>17</v>
      </c>
      <c r="AK682">
        <v>150</v>
      </c>
      <c r="AL682">
        <v>1.21</v>
      </c>
    </row>
    <row r="683" spans="1:38" x14ac:dyDescent="0.3">
      <c r="A683" t="s">
        <v>1096</v>
      </c>
      <c r="B683">
        <v>143441</v>
      </c>
      <c r="C683">
        <v>3</v>
      </c>
      <c r="D683" t="s">
        <v>1122</v>
      </c>
      <c r="E683" t="s">
        <v>1123</v>
      </c>
      <c r="F683">
        <v>124</v>
      </c>
      <c r="G683">
        <v>34.14</v>
      </c>
      <c r="H683">
        <v>112.89</v>
      </c>
      <c r="I683">
        <v>25.54</v>
      </c>
      <c r="J683">
        <v>84.44</v>
      </c>
      <c r="K683">
        <v>7</v>
      </c>
      <c r="T683">
        <v>3</v>
      </c>
      <c r="U683">
        <v>2</v>
      </c>
      <c r="V683" t="s">
        <v>93</v>
      </c>
      <c r="W683" t="s">
        <v>1128</v>
      </c>
      <c r="X683">
        <v>23</v>
      </c>
      <c r="Y683">
        <v>16</v>
      </c>
      <c r="Z683" t="s">
        <v>1125</v>
      </c>
      <c r="AA683" t="s">
        <v>1126</v>
      </c>
      <c r="AB683" t="s">
        <v>96</v>
      </c>
      <c r="AC683" t="s">
        <v>97</v>
      </c>
      <c r="AD683" t="s">
        <v>1099</v>
      </c>
      <c r="AG683" t="s">
        <v>515</v>
      </c>
      <c r="AH683">
        <v>0</v>
      </c>
      <c r="AI683">
        <v>194</v>
      </c>
      <c r="AJ683">
        <v>17</v>
      </c>
      <c r="AK683">
        <v>150</v>
      </c>
      <c r="AL683">
        <v>1.21</v>
      </c>
    </row>
    <row r="684" spans="1:38" x14ac:dyDescent="0.3">
      <c r="A684" t="s">
        <v>1096</v>
      </c>
      <c r="B684">
        <v>143441</v>
      </c>
      <c r="C684">
        <v>4</v>
      </c>
      <c r="D684" t="s">
        <v>1122</v>
      </c>
      <c r="E684" t="s">
        <v>1123</v>
      </c>
      <c r="F684">
        <v>124</v>
      </c>
      <c r="G684">
        <v>34.14</v>
      </c>
      <c r="H684">
        <v>112.89</v>
      </c>
      <c r="I684">
        <v>25.7</v>
      </c>
      <c r="J684">
        <v>84.99</v>
      </c>
      <c r="K684">
        <v>3</v>
      </c>
      <c r="T684">
        <v>3</v>
      </c>
      <c r="U684">
        <v>2</v>
      </c>
      <c r="V684" t="s">
        <v>93</v>
      </c>
      <c r="W684" t="s">
        <v>1129</v>
      </c>
      <c r="X684">
        <v>23</v>
      </c>
      <c r="Y684">
        <v>16</v>
      </c>
      <c r="Z684" t="s">
        <v>1125</v>
      </c>
      <c r="AA684" t="s">
        <v>1126</v>
      </c>
      <c r="AB684" t="s">
        <v>96</v>
      </c>
      <c r="AC684" t="s">
        <v>97</v>
      </c>
      <c r="AD684" t="s">
        <v>1099</v>
      </c>
      <c r="AG684" t="s">
        <v>515</v>
      </c>
      <c r="AH684">
        <v>0</v>
      </c>
      <c r="AI684">
        <v>194</v>
      </c>
      <c r="AJ684">
        <v>17</v>
      </c>
      <c r="AK684">
        <v>150</v>
      </c>
      <c r="AL684">
        <v>1.21</v>
      </c>
    </row>
    <row r="685" spans="1:38" x14ac:dyDescent="0.3">
      <c r="A685" t="s">
        <v>1096</v>
      </c>
      <c r="B685">
        <v>143441</v>
      </c>
      <c r="C685">
        <v>5</v>
      </c>
      <c r="D685" t="s">
        <v>1122</v>
      </c>
      <c r="E685" t="s">
        <v>1123</v>
      </c>
      <c r="F685">
        <v>124</v>
      </c>
      <c r="G685">
        <v>34.1</v>
      </c>
      <c r="H685">
        <v>112.76</v>
      </c>
      <c r="I685">
        <v>25.7</v>
      </c>
      <c r="J685">
        <v>84.99</v>
      </c>
      <c r="K685">
        <v>1</v>
      </c>
      <c r="T685">
        <v>3</v>
      </c>
      <c r="U685">
        <v>2</v>
      </c>
      <c r="V685" t="s">
        <v>93</v>
      </c>
      <c r="W685" t="s">
        <v>1130</v>
      </c>
      <c r="X685">
        <v>23</v>
      </c>
      <c r="Y685">
        <v>16</v>
      </c>
      <c r="Z685" t="s">
        <v>1125</v>
      </c>
      <c r="AA685" t="s">
        <v>1126</v>
      </c>
      <c r="AB685" t="s">
        <v>96</v>
      </c>
      <c r="AC685" t="s">
        <v>97</v>
      </c>
      <c r="AD685" t="s">
        <v>1099</v>
      </c>
      <c r="AG685" t="s">
        <v>515</v>
      </c>
      <c r="AH685">
        <v>0</v>
      </c>
      <c r="AI685">
        <v>194</v>
      </c>
      <c r="AJ685">
        <v>17</v>
      </c>
      <c r="AK685">
        <v>150</v>
      </c>
      <c r="AL685">
        <v>1.21</v>
      </c>
    </row>
    <row r="686" spans="1:38" x14ac:dyDescent="0.3">
      <c r="A686" t="s">
        <v>1096</v>
      </c>
      <c r="B686">
        <v>143441</v>
      </c>
      <c r="C686">
        <v>6</v>
      </c>
      <c r="D686" t="s">
        <v>1122</v>
      </c>
      <c r="E686" t="s">
        <v>1123</v>
      </c>
      <c r="F686">
        <v>124</v>
      </c>
      <c r="G686">
        <v>34.24</v>
      </c>
      <c r="H686">
        <v>113.22</v>
      </c>
      <c r="I686">
        <v>25.67</v>
      </c>
      <c r="J686">
        <v>84.86</v>
      </c>
      <c r="K686">
        <v>21</v>
      </c>
      <c r="T686">
        <v>3</v>
      </c>
      <c r="U686">
        <v>2</v>
      </c>
      <c r="V686" t="s">
        <v>93</v>
      </c>
      <c r="W686" t="s">
        <v>1131</v>
      </c>
      <c r="X686">
        <v>23</v>
      </c>
      <c r="Y686">
        <v>16</v>
      </c>
      <c r="Z686" t="s">
        <v>1125</v>
      </c>
      <c r="AA686" t="s">
        <v>1126</v>
      </c>
      <c r="AB686" t="s">
        <v>96</v>
      </c>
      <c r="AC686" t="s">
        <v>97</v>
      </c>
      <c r="AD686" t="s">
        <v>1099</v>
      </c>
      <c r="AG686" t="s">
        <v>515</v>
      </c>
      <c r="AH686">
        <v>0</v>
      </c>
      <c r="AI686">
        <v>194</v>
      </c>
      <c r="AJ686">
        <v>17</v>
      </c>
      <c r="AK686">
        <v>150</v>
      </c>
      <c r="AL686">
        <v>1.21</v>
      </c>
    </row>
    <row r="687" spans="1:38" x14ac:dyDescent="0.3">
      <c r="A687" t="s">
        <v>1096</v>
      </c>
      <c r="B687">
        <v>143441</v>
      </c>
      <c r="C687">
        <v>7</v>
      </c>
      <c r="D687" t="s">
        <v>1122</v>
      </c>
      <c r="E687" t="s">
        <v>1123</v>
      </c>
      <c r="F687">
        <v>124</v>
      </c>
      <c r="G687">
        <v>34.24</v>
      </c>
      <c r="H687">
        <v>113.21</v>
      </c>
      <c r="I687">
        <v>25.66</v>
      </c>
      <c r="J687">
        <v>84.84</v>
      </c>
      <c r="K687">
        <v>19</v>
      </c>
      <c r="T687">
        <v>3</v>
      </c>
      <c r="U687">
        <v>2</v>
      </c>
      <c r="V687" t="s">
        <v>93</v>
      </c>
      <c r="W687" t="s">
        <v>1132</v>
      </c>
      <c r="X687">
        <v>23</v>
      </c>
      <c r="Y687">
        <v>16</v>
      </c>
      <c r="Z687" t="s">
        <v>1125</v>
      </c>
      <c r="AA687" t="s">
        <v>1126</v>
      </c>
      <c r="AB687" t="s">
        <v>96</v>
      </c>
      <c r="AC687" t="s">
        <v>97</v>
      </c>
      <c r="AD687" t="s">
        <v>1099</v>
      </c>
      <c r="AG687" t="s">
        <v>515</v>
      </c>
      <c r="AH687">
        <v>0</v>
      </c>
      <c r="AI687">
        <v>194</v>
      </c>
      <c r="AJ687">
        <v>17</v>
      </c>
      <c r="AK687">
        <v>150</v>
      </c>
      <c r="AL687">
        <v>1.21</v>
      </c>
    </row>
    <row r="688" spans="1:38" x14ac:dyDescent="0.3">
      <c r="A688" t="s">
        <v>1096</v>
      </c>
      <c r="B688">
        <v>143441</v>
      </c>
      <c r="C688">
        <v>8</v>
      </c>
      <c r="D688" t="s">
        <v>1122</v>
      </c>
      <c r="E688" t="s">
        <v>1123</v>
      </c>
      <c r="F688">
        <v>124</v>
      </c>
      <c r="G688">
        <v>34.21</v>
      </c>
      <c r="H688">
        <v>113.11</v>
      </c>
      <c r="I688">
        <v>25.5</v>
      </c>
      <c r="J688">
        <v>84.3</v>
      </c>
      <c r="K688">
        <v>18</v>
      </c>
      <c r="T688">
        <v>3</v>
      </c>
      <c r="U688">
        <v>2</v>
      </c>
      <c r="V688" t="s">
        <v>93</v>
      </c>
      <c r="W688" t="s">
        <v>1133</v>
      </c>
      <c r="X688">
        <v>23</v>
      </c>
      <c r="Y688">
        <v>16</v>
      </c>
      <c r="Z688" t="s">
        <v>1125</v>
      </c>
      <c r="AA688" t="s">
        <v>1126</v>
      </c>
      <c r="AB688" t="s">
        <v>96</v>
      </c>
      <c r="AC688" t="s">
        <v>97</v>
      </c>
      <c r="AD688" t="s">
        <v>1099</v>
      </c>
      <c r="AG688" t="s">
        <v>515</v>
      </c>
      <c r="AH688">
        <v>0</v>
      </c>
      <c r="AI688">
        <v>194</v>
      </c>
      <c r="AJ688">
        <v>17</v>
      </c>
      <c r="AK688">
        <v>150</v>
      </c>
      <c r="AL688">
        <v>1.21</v>
      </c>
    </row>
    <row r="689" spans="1:38" x14ac:dyDescent="0.3">
      <c r="A689" t="s">
        <v>1096</v>
      </c>
      <c r="B689">
        <v>143441</v>
      </c>
      <c r="C689">
        <v>9</v>
      </c>
      <c r="D689" t="s">
        <v>1122</v>
      </c>
      <c r="E689" t="s">
        <v>1123</v>
      </c>
      <c r="F689">
        <v>124</v>
      </c>
      <c r="G689">
        <v>34.380000000000003</v>
      </c>
      <c r="H689">
        <v>113.66</v>
      </c>
      <c r="I689">
        <v>25.66</v>
      </c>
      <c r="J689">
        <v>84.85</v>
      </c>
      <c r="K689">
        <v>13</v>
      </c>
      <c r="T689">
        <v>3</v>
      </c>
      <c r="U689">
        <v>2</v>
      </c>
      <c r="V689" t="s">
        <v>93</v>
      </c>
      <c r="W689" t="s">
        <v>1134</v>
      </c>
      <c r="X689">
        <v>23</v>
      </c>
      <c r="Y689">
        <v>16</v>
      </c>
      <c r="Z689" t="s">
        <v>1125</v>
      </c>
      <c r="AA689" t="s">
        <v>1126</v>
      </c>
      <c r="AB689" t="s">
        <v>96</v>
      </c>
      <c r="AC689" t="s">
        <v>97</v>
      </c>
      <c r="AD689" t="s">
        <v>1099</v>
      </c>
      <c r="AG689" t="s">
        <v>515</v>
      </c>
      <c r="AH689">
        <v>0</v>
      </c>
      <c r="AI689">
        <v>194</v>
      </c>
      <c r="AJ689">
        <v>17</v>
      </c>
      <c r="AK689">
        <v>150</v>
      </c>
      <c r="AL689">
        <v>1.21</v>
      </c>
    </row>
    <row r="690" spans="1:38" x14ac:dyDescent="0.3">
      <c r="A690" t="s">
        <v>1096</v>
      </c>
      <c r="B690">
        <v>143441</v>
      </c>
      <c r="C690">
        <v>10</v>
      </c>
      <c r="D690" t="s">
        <v>1122</v>
      </c>
      <c r="E690" t="s">
        <v>1123</v>
      </c>
      <c r="F690">
        <v>124</v>
      </c>
      <c r="G690">
        <v>34.340000000000003</v>
      </c>
      <c r="H690">
        <v>113.55</v>
      </c>
      <c r="I690">
        <v>25.5</v>
      </c>
      <c r="J690">
        <v>84.3</v>
      </c>
      <c r="K690">
        <v>13</v>
      </c>
      <c r="T690">
        <v>3</v>
      </c>
      <c r="U690">
        <v>2</v>
      </c>
      <c r="V690" t="s">
        <v>93</v>
      </c>
      <c r="W690" t="s">
        <v>1135</v>
      </c>
      <c r="X690">
        <v>23</v>
      </c>
      <c r="Y690">
        <v>16</v>
      </c>
      <c r="Z690" t="s">
        <v>1125</v>
      </c>
      <c r="AA690" t="s">
        <v>1126</v>
      </c>
      <c r="AB690" t="s">
        <v>96</v>
      </c>
      <c r="AC690" t="s">
        <v>97</v>
      </c>
      <c r="AD690" t="s">
        <v>1099</v>
      </c>
      <c r="AG690" t="s">
        <v>515</v>
      </c>
      <c r="AH690">
        <v>0</v>
      </c>
      <c r="AI690">
        <v>194</v>
      </c>
      <c r="AJ690">
        <v>17</v>
      </c>
      <c r="AK690">
        <v>150</v>
      </c>
      <c r="AL690">
        <v>1.21</v>
      </c>
    </row>
    <row r="691" spans="1:38" x14ac:dyDescent="0.3">
      <c r="A691" t="s">
        <v>1096</v>
      </c>
      <c r="B691">
        <v>143441</v>
      </c>
      <c r="C691">
        <v>11</v>
      </c>
      <c r="D691" t="s">
        <v>1122</v>
      </c>
      <c r="E691" t="s">
        <v>1123</v>
      </c>
      <c r="F691">
        <v>124</v>
      </c>
      <c r="G691">
        <v>34.340000000000003</v>
      </c>
      <c r="H691">
        <v>113.55</v>
      </c>
      <c r="I691">
        <v>25.5</v>
      </c>
      <c r="J691">
        <v>84.3</v>
      </c>
      <c r="K691">
        <v>12</v>
      </c>
      <c r="T691">
        <v>3</v>
      </c>
      <c r="U691">
        <v>2</v>
      </c>
      <c r="V691" t="s">
        <v>93</v>
      </c>
      <c r="W691" t="s">
        <v>1136</v>
      </c>
      <c r="X691">
        <v>23</v>
      </c>
      <c r="Y691">
        <v>16</v>
      </c>
      <c r="Z691" t="s">
        <v>1125</v>
      </c>
      <c r="AA691" t="s">
        <v>1126</v>
      </c>
      <c r="AB691" t="s">
        <v>96</v>
      </c>
      <c r="AC691" t="s">
        <v>97</v>
      </c>
      <c r="AD691" t="s">
        <v>1099</v>
      </c>
      <c r="AG691" t="s">
        <v>515</v>
      </c>
      <c r="AH691">
        <v>0</v>
      </c>
      <c r="AI691">
        <v>194</v>
      </c>
      <c r="AJ691">
        <v>17</v>
      </c>
      <c r="AK691">
        <v>150</v>
      </c>
      <c r="AL691">
        <v>1.21</v>
      </c>
    </row>
    <row r="692" spans="1:38" x14ac:dyDescent="0.3">
      <c r="A692" t="s">
        <v>1096</v>
      </c>
      <c r="B692">
        <v>143441</v>
      </c>
      <c r="C692">
        <v>12</v>
      </c>
      <c r="D692" t="s">
        <v>1122</v>
      </c>
      <c r="E692" t="s">
        <v>1123</v>
      </c>
      <c r="F692">
        <v>124</v>
      </c>
      <c r="G692">
        <v>34.28</v>
      </c>
      <c r="H692">
        <v>113.33</v>
      </c>
      <c r="I692">
        <v>25.7</v>
      </c>
      <c r="J692">
        <v>84.98</v>
      </c>
      <c r="K692">
        <v>2</v>
      </c>
      <c r="T692">
        <v>3</v>
      </c>
      <c r="U692">
        <v>2</v>
      </c>
      <c r="V692" t="s">
        <v>93</v>
      </c>
      <c r="W692" t="s">
        <v>1137</v>
      </c>
      <c r="X692">
        <v>23</v>
      </c>
      <c r="Y692">
        <v>16</v>
      </c>
      <c r="Z692" t="s">
        <v>1125</v>
      </c>
      <c r="AA692" t="s">
        <v>1126</v>
      </c>
      <c r="AB692" t="s">
        <v>96</v>
      </c>
      <c r="AC692" t="s">
        <v>97</v>
      </c>
      <c r="AD692" t="s">
        <v>1099</v>
      </c>
      <c r="AG692" t="s">
        <v>515</v>
      </c>
      <c r="AH692">
        <v>0</v>
      </c>
      <c r="AI692">
        <v>194</v>
      </c>
      <c r="AJ692">
        <v>17</v>
      </c>
      <c r="AK692">
        <v>150</v>
      </c>
      <c r="AL692">
        <v>1.21</v>
      </c>
    </row>
    <row r="693" spans="1:38" x14ac:dyDescent="0.3">
      <c r="A693" t="s">
        <v>1096</v>
      </c>
      <c r="B693">
        <v>8911</v>
      </c>
      <c r="C693">
        <v>1</v>
      </c>
      <c r="D693" t="s">
        <v>1138</v>
      </c>
      <c r="E693" t="s">
        <v>752</v>
      </c>
      <c r="F693">
        <v>280</v>
      </c>
      <c r="G693">
        <v>18.559999999999999</v>
      </c>
      <c r="H693">
        <v>61.36</v>
      </c>
      <c r="I693">
        <v>14.8</v>
      </c>
      <c r="J693">
        <v>48.93</v>
      </c>
      <c r="K693">
        <v>140</v>
      </c>
      <c r="T693">
        <v>3</v>
      </c>
      <c r="U693">
        <v>1</v>
      </c>
      <c r="V693" t="s">
        <v>93</v>
      </c>
      <c r="W693">
        <v>61</v>
      </c>
      <c r="X693">
        <v>5</v>
      </c>
      <c r="Y693">
        <v>5</v>
      </c>
      <c r="Z693" t="s">
        <v>1139</v>
      </c>
      <c r="AA693" t="s">
        <v>1140</v>
      </c>
      <c r="AB693" t="s">
        <v>96</v>
      </c>
      <c r="AC693" t="s">
        <v>97</v>
      </c>
      <c r="AD693" t="s">
        <v>1099</v>
      </c>
      <c r="AG693" t="s">
        <v>1141</v>
      </c>
      <c r="AH693">
        <v>0</v>
      </c>
      <c r="AI693">
        <v>123</v>
      </c>
      <c r="AJ693">
        <v>27</v>
      </c>
      <c r="AK693">
        <v>0</v>
      </c>
      <c r="AL693">
        <v>0</v>
      </c>
    </row>
    <row r="694" spans="1:38" x14ac:dyDescent="0.3">
      <c r="A694" t="s">
        <v>1096</v>
      </c>
      <c r="B694">
        <v>8911</v>
      </c>
      <c r="C694">
        <v>2</v>
      </c>
      <c r="D694" t="s">
        <v>1138</v>
      </c>
      <c r="E694" t="s">
        <v>752</v>
      </c>
      <c r="F694">
        <v>280</v>
      </c>
      <c r="G694">
        <v>21.58</v>
      </c>
      <c r="H694">
        <v>71.349999999999994</v>
      </c>
      <c r="I694">
        <v>17.489999999999998</v>
      </c>
      <c r="J694">
        <v>57.84</v>
      </c>
      <c r="K694">
        <v>140</v>
      </c>
      <c r="T694">
        <v>3</v>
      </c>
      <c r="U694">
        <v>1</v>
      </c>
      <c r="V694" t="s">
        <v>93</v>
      </c>
      <c r="W694">
        <v>71</v>
      </c>
      <c r="X694">
        <v>5</v>
      </c>
      <c r="Y694">
        <v>5</v>
      </c>
      <c r="Z694" t="s">
        <v>1139</v>
      </c>
      <c r="AA694" t="s">
        <v>1140</v>
      </c>
      <c r="AB694" t="s">
        <v>96</v>
      </c>
      <c r="AC694" t="s">
        <v>97</v>
      </c>
      <c r="AD694" t="s">
        <v>1099</v>
      </c>
      <c r="AG694" t="s">
        <v>1141</v>
      </c>
      <c r="AH694">
        <v>0</v>
      </c>
      <c r="AI694">
        <v>123</v>
      </c>
      <c r="AJ694">
        <v>27</v>
      </c>
      <c r="AK694">
        <v>0</v>
      </c>
      <c r="AL694">
        <v>0</v>
      </c>
    </row>
    <row r="695" spans="1:38" x14ac:dyDescent="0.3">
      <c r="A695" t="s">
        <v>1096</v>
      </c>
      <c r="B695">
        <v>9677</v>
      </c>
      <c r="C695">
        <v>1</v>
      </c>
      <c r="D695" t="s">
        <v>1142</v>
      </c>
      <c r="E695" t="s">
        <v>290</v>
      </c>
      <c r="F695">
        <v>120</v>
      </c>
      <c r="G695">
        <v>18.03</v>
      </c>
      <c r="H695">
        <v>59.61</v>
      </c>
      <c r="I695">
        <v>15.58</v>
      </c>
      <c r="J695">
        <v>51.51</v>
      </c>
      <c r="K695">
        <v>40</v>
      </c>
      <c r="T695">
        <v>3</v>
      </c>
      <c r="U695">
        <v>1</v>
      </c>
      <c r="V695" t="s">
        <v>93</v>
      </c>
      <c r="W695">
        <v>59</v>
      </c>
      <c r="X695">
        <v>5</v>
      </c>
      <c r="Y695">
        <v>5</v>
      </c>
      <c r="Z695" t="s">
        <v>1143</v>
      </c>
      <c r="AA695" t="s">
        <v>1144</v>
      </c>
      <c r="AB695" t="s">
        <v>96</v>
      </c>
      <c r="AC695" t="s">
        <v>97</v>
      </c>
      <c r="AD695" t="s">
        <v>1099</v>
      </c>
      <c r="AG695" t="s">
        <v>1145</v>
      </c>
      <c r="AH695">
        <v>0</v>
      </c>
      <c r="AI695">
        <v>126</v>
      </c>
      <c r="AJ695">
        <v>25</v>
      </c>
      <c r="AK695">
        <v>0</v>
      </c>
      <c r="AL695">
        <v>0</v>
      </c>
    </row>
    <row r="696" spans="1:38" x14ac:dyDescent="0.3">
      <c r="A696" t="s">
        <v>1096</v>
      </c>
      <c r="B696">
        <v>9677</v>
      </c>
      <c r="C696">
        <v>2</v>
      </c>
      <c r="D696" t="s">
        <v>1142</v>
      </c>
      <c r="E696" t="s">
        <v>290</v>
      </c>
      <c r="F696">
        <v>120</v>
      </c>
      <c r="G696">
        <v>20.05</v>
      </c>
      <c r="H696">
        <v>66.290000000000006</v>
      </c>
      <c r="I696">
        <v>17.21</v>
      </c>
      <c r="J696">
        <v>56.91</v>
      </c>
      <c r="K696">
        <v>40</v>
      </c>
      <c r="T696">
        <v>3</v>
      </c>
      <c r="U696">
        <v>1</v>
      </c>
      <c r="V696" t="s">
        <v>93</v>
      </c>
      <c r="W696" t="s">
        <v>408</v>
      </c>
      <c r="X696">
        <v>5</v>
      </c>
      <c r="Y696">
        <v>5</v>
      </c>
      <c r="Z696" t="s">
        <v>1143</v>
      </c>
      <c r="AA696" t="s">
        <v>1144</v>
      </c>
      <c r="AB696" t="s">
        <v>96</v>
      </c>
      <c r="AC696" t="s">
        <v>97</v>
      </c>
      <c r="AD696" t="s">
        <v>1099</v>
      </c>
      <c r="AG696" t="s">
        <v>1145</v>
      </c>
      <c r="AH696">
        <v>0</v>
      </c>
      <c r="AI696">
        <v>126</v>
      </c>
      <c r="AJ696">
        <v>25</v>
      </c>
      <c r="AK696">
        <v>0</v>
      </c>
      <c r="AL696">
        <v>0</v>
      </c>
    </row>
    <row r="697" spans="1:38" x14ac:dyDescent="0.3">
      <c r="A697" t="s">
        <v>1096</v>
      </c>
      <c r="B697">
        <v>9677</v>
      </c>
      <c r="C697">
        <v>3</v>
      </c>
      <c r="D697" t="s">
        <v>1142</v>
      </c>
      <c r="E697" t="s">
        <v>290</v>
      </c>
      <c r="F697">
        <v>120</v>
      </c>
      <c r="G697">
        <v>20.350000000000001</v>
      </c>
      <c r="H697">
        <v>67.290000000000006</v>
      </c>
      <c r="I697">
        <v>17.21</v>
      </c>
      <c r="J697">
        <v>56.91</v>
      </c>
      <c r="K697">
        <v>40</v>
      </c>
      <c r="T697">
        <v>3</v>
      </c>
      <c r="U697">
        <v>1</v>
      </c>
      <c r="V697" t="s">
        <v>93</v>
      </c>
      <c r="W697" t="s">
        <v>288</v>
      </c>
      <c r="X697">
        <v>5</v>
      </c>
      <c r="Y697">
        <v>5</v>
      </c>
      <c r="Z697" t="s">
        <v>1143</v>
      </c>
      <c r="AA697" t="s">
        <v>1144</v>
      </c>
      <c r="AB697" t="s">
        <v>96</v>
      </c>
      <c r="AC697" t="s">
        <v>97</v>
      </c>
      <c r="AD697" t="s">
        <v>1099</v>
      </c>
      <c r="AG697" t="s">
        <v>1145</v>
      </c>
      <c r="AH697">
        <v>0</v>
      </c>
      <c r="AI697">
        <v>126</v>
      </c>
      <c r="AJ697">
        <v>25</v>
      </c>
      <c r="AK697">
        <v>0</v>
      </c>
      <c r="AL697">
        <v>0</v>
      </c>
    </row>
    <row r="698" spans="1:38" x14ac:dyDescent="0.3">
      <c r="A698" t="s">
        <v>1096</v>
      </c>
      <c r="B698">
        <v>2473</v>
      </c>
      <c r="C698">
        <v>1</v>
      </c>
      <c r="D698" t="s">
        <v>1146</v>
      </c>
      <c r="E698" t="s">
        <v>1147</v>
      </c>
      <c r="F698">
        <v>370</v>
      </c>
      <c r="G698">
        <v>23.21</v>
      </c>
      <c r="H698">
        <v>76.75</v>
      </c>
      <c r="I698">
        <v>18.079999999999998</v>
      </c>
      <c r="J698">
        <v>59.79</v>
      </c>
      <c r="K698">
        <v>224</v>
      </c>
      <c r="T698">
        <v>3</v>
      </c>
      <c r="U698">
        <v>1</v>
      </c>
      <c r="V698" t="s">
        <v>93</v>
      </c>
      <c r="W698">
        <v>76</v>
      </c>
      <c r="X698">
        <v>21</v>
      </c>
      <c r="Y698">
        <v>18</v>
      </c>
      <c r="Z698" t="s">
        <v>1148</v>
      </c>
      <c r="AA698" t="s">
        <v>1149</v>
      </c>
      <c r="AB698" t="s">
        <v>96</v>
      </c>
      <c r="AC698" t="s">
        <v>97</v>
      </c>
      <c r="AD698" t="s">
        <v>1099</v>
      </c>
      <c r="AG698" t="s">
        <v>1150</v>
      </c>
      <c r="AH698">
        <v>0</v>
      </c>
      <c r="AI698">
        <v>263</v>
      </c>
      <c r="AJ698">
        <v>17</v>
      </c>
      <c r="AK698">
        <v>331</v>
      </c>
      <c r="AL698">
        <v>0.89</v>
      </c>
    </row>
    <row r="699" spans="1:38" x14ac:dyDescent="0.3">
      <c r="A699" t="s">
        <v>1096</v>
      </c>
      <c r="B699">
        <v>2473</v>
      </c>
      <c r="C699">
        <v>2</v>
      </c>
      <c r="D699" t="s">
        <v>1146</v>
      </c>
      <c r="E699" t="s">
        <v>1147</v>
      </c>
      <c r="F699">
        <v>370</v>
      </c>
      <c r="G699">
        <v>28.82</v>
      </c>
      <c r="H699">
        <v>95.29</v>
      </c>
      <c r="I699">
        <v>22.89</v>
      </c>
      <c r="J699">
        <v>75.67</v>
      </c>
      <c r="K699">
        <v>20</v>
      </c>
      <c r="T699">
        <v>3</v>
      </c>
      <c r="U699">
        <v>1</v>
      </c>
      <c r="V699" t="s">
        <v>93</v>
      </c>
      <c r="W699">
        <v>95</v>
      </c>
      <c r="X699">
        <v>21</v>
      </c>
      <c r="Y699">
        <v>18</v>
      </c>
      <c r="Z699" t="s">
        <v>1148</v>
      </c>
      <c r="AA699" t="s">
        <v>1149</v>
      </c>
      <c r="AB699" t="s">
        <v>96</v>
      </c>
      <c r="AC699" t="s">
        <v>97</v>
      </c>
      <c r="AD699" t="s">
        <v>1099</v>
      </c>
      <c r="AG699" t="s">
        <v>1150</v>
      </c>
      <c r="AH699">
        <v>0</v>
      </c>
      <c r="AI699">
        <v>263</v>
      </c>
      <c r="AJ699">
        <v>17</v>
      </c>
      <c r="AK699">
        <v>331</v>
      </c>
      <c r="AL699">
        <v>0.89</v>
      </c>
    </row>
    <row r="700" spans="1:38" x14ac:dyDescent="0.3">
      <c r="A700" t="s">
        <v>1096</v>
      </c>
      <c r="B700">
        <v>2473</v>
      </c>
      <c r="C700">
        <v>3</v>
      </c>
      <c r="D700" t="s">
        <v>1146</v>
      </c>
      <c r="E700" t="s">
        <v>1147</v>
      </c>
      <c r="F700">
        <v>370</v>
      </c>
      <c r="G700">
        <v>31.4</v>
      </c>
      <c r="H700">
        <v>103.81</v>
      </c>
      <c r="I700">
        <v>25.7</v>
      </c>
      <c r="J700">
        <v>84.98</v>
      </c>
      <c r="K700">
        <v>126</v>
      </c>
      <c r="T700">
        <v>3</v>
      </c>
      <c r="U700">
        <v>2</v>
      </c>
      <c r="V700" t="s">
        <v>93</v>
      </c>
      <c r="W700">
        <v>103</v>
      </c>
      <c r="X700">
        <v>21</v>
      </c>
      <c r="Y700">
        <v>18</v>
      </c>
      <c r="Z700" t="s">
        <v>1148</v>
      </c>
      <c r="AA700" t="s">
        <v>1149</v>
      </c>
      <c r="AB700" t="s">
        <v>96</v>
      </c>
      <c r="AC700" t="s">
        <v>97</v>
      </c>
      <c r="AD700" t="s">
        <v>1099</v>
      </c>
      <c r="AG700" t="s">
        <v>1150</v>
      </c>
      <c r="AH700">
        <v>0</v>
      </c>
      <c r="AI700">
        <v>263</v>
      </c>
      <c r="AJ700">
        <v>17</v>
      </c>
      <c r="AK700">
        <v>331</v>
      </c>
      <c r="AL700">
        <v>0.89</v>
      </c>
    </row>
    <row r="701" spans="1:38" x14ac:dyDescent="0.3">
      <c r="A701" t="s">
        <v>1096</v>
      </c>
      <c r="B701">
        <v>8505</v>
      </c>
      <c r="C701">
        <v>1</v>
      </c>
      <c r="D701" t="s">
        <v>1151</v>
      </c>
      <c r="E701" t="s">
        <v>1152</v>
      </c>
      <c r="F701">
        <v>156</v>
      </c>
      <c r="G701">
        <v>19.34</v>
      </c>
      <c r="H701">
        <v>63.95</v>
      </c>
      <c r="I701">
        <v>15.39</v>
      </c>
      <c r="J701">
        <v>50.9</v>
      </c>
      <c r="K701">
        <v>108</v>
      </c>
      <c r="T701">
        <v>2</v>
      </c>
      <c r="U701">
        <v>1</v>
      </c>
      <c r="V701" t="s">
        <v>93</v>
      </c>
      <c r="W701">
        <v>63</v>
      </c>
      <c r="X701">
        <v>6</v>
      </c>
      <c r="Y701">
        <v>6</v>
      </c>
      <c r="Z701" t="s">
        <v>1153</v>
      </c>
      <c r="AA701" t="s">
        <v>1154</v>
      </c>
      <c r="AB701" t="s">
        <v>96</v>
      </c>
      <c r="AC701" t="s">
        <v>97</v>
      </c>
      <c r="AD701" t="s">
        <v>1099</v>
      </c>
      <c r="AG701" t="s">
        <v>1155</v>
      </c>
      <c r="AH701">
        <v>0</v>
      </c>
      <c r="AI701">
        <v>129</v>
      </c>
      <c r="AJ701">
        <v>22</v>
      </c>
      <c r="AK701">
        <v>0</v>
      </c>
      <c r="AL701">
        <v>0</v>
      </c>
    </row>
    <row r="702" spans="1:38" x14ac:dyDescent="0.3">
      <c r="A702" t="s">
        <v>1096</v>
      </c>
      <c r="B702">
        <v>8505</v>
      </c>
      <c r="C702">
        <v>2</v>
      </c>
      <c r="D702" t="s">
        <v>1151</v>
      </c>
      <c r="E702" t="s">
        <v>1152</v>
      </c>
      <c r="F702">
        <v>156</v>
      </c>
      <c r="G702">
        <v>22.35</v>
      </c>
      <c r="H702">
        <v>73.900000000000006</v>
      </c>
      <c r="I702">
        <v>18.11</v>
      </c>
      <c r="J702">
        <v>59.87</v>
      </c>
      <c r="K702">
        <v>48</v>
      </c>
      <c r="T702">
        <v>3</v>
      </c>
      <c r="U702">
        <v>1</v>
      </c>
      <c r="V702" t="s">
        <v>93</v>
      </c>
      <c r="W702">
        <v>73</v>
      </c>
      <c r="X702">
        <v>6</v>
      </c>
      <c r="Y702">
        <v>6</v>
      </c>
      <c r="Z702" t="s">
        <v>1153</v>
      </c>
      <c r="AA702" t="s">
        <v>1154</v>
      </c>
      <c r="AB702" t="s">
        <v>96</v>
      </c>
      <c r="AC702" t="s">
        <v>97</v>
      </c>
      <c r="AD702" t="s">
        <v>1099</v>
      </c>
      <c r="AG702" t="s">
        <v>1155</v>
      </c>
      <c r="AH702">
        <v>0</v>
      </c>
      <c r="AI702">
        <v>129</v>
      </c>
      <c r="AJ702">
        <v>22</v>
      </c>
      <c r="AK702">
        <v>0</v>
      </c>
      <c r="AL702">
        <v>0</v>
      </c>
    </row>
    <row r="703" spans="1:38" x14ac:dyDescent="0.3">
      <c r="A703" t="s">
        <v>1096</v>
      </c>
      <c r="B703">
        <v>8925</v>
      </c>
      <c r="C703">
        <v>1</v>
      </c>
      <c r="D703" t="s">
        <v>1156</v>
      </c>
      <c r="E703" t="s">
        <v>1157</v>
      </c>
      <c r="F703">
        <v>298</v>
      </c>
      <c r="G703">
        <v>22.54</v>
      </c>
      <c r="H703">
        <v>74.52</v>
      </c>
      <c r="I703">
        <v>15.79</v>
      </c>
      <c r="J703">
        <v>52.2</v>
      </c>
      <c r="K703">
        <v>2</v>
      </c>
      <c r="T703">
        <v>3</v>
      </c>
      <c r="U703">
        <v>1</v>
      </c>
      <c r="V703" t="s">
        <v>93</v>
      </c>
      <c r="W703">
        <v>74</v>
      </c>
      <c r="X703">
        <v>20</v>
      </c>
      <c r="Y703">
        <v>14</v>
      </c>
      <c r="Z703" t="s">
        <v>1158</v>
      </c>
      <c r="AA703" t="s">
        <v>1159</v>
      </c>
      <c r="AB703" t="s">
        <v>96</v>
      </c>
      <c r="AC703" t="s">
        <v>97</v>
      </c>
      <c r="AD703" t="s">
        <v>1099</v>
      </c>
      <c r="AG703" t="s">
        <v>1160</v>
      </c>
      <c r="AH703">
        <v>0</v>
      </c>
      <c r="AI703">
        <v>284</v>
      </c>
      <c r="AJ703">
        <v>24</v>
      </c>
      <c r="AK703">
        <v>300</v>
      </c>
      <c r="AL703">
        <v>1.01</v>
      </c>
    </row>
    <row r="704" spans="1:38" x14ac:dyDescent="0.3">
      <c r="A704" t="s">
        <v>1096</v>
      </c>
      <c r="B704">
        <v>8925</v>
      </c>
      <c r="C704">
        <v>2</v>
      </c>
      <c r="D704" t="s">
        <v>1156</v>
      </c>
      <c r="E704" t="s">
        <v>1157</v>
      </c>
      <c r="F704">
        <v>298</v>
      </c>
      <c r="G704">
        <v>24.65</v>
      </c>
      <c r="H704">
        <v>81.52</v>
      </c>
      <c r="I704">
        <v>17.899999999999999</v>
      </c>
      <c r="J704">
        <v>59.2</v>
      </c>
      <c r="K704">
        <v>123</v>
      </c>
      <c r="T704">
        <v>3</v>
      </c>
      <c r="U704">
        <v>1</v>
      </c>
      <c r="V704" t="s">
        <v>93</v>
      </c>
      <c r="W704">
        <v>81</v>
      </c>
      <c r="X704">
        <v>20</v>
      </c>
      <c r="Y704">
        <v>14</v>
      </c>
      <c r="Z704" t="s">
        <v>1158</v>
      </c>
      <c r="AA704" t="s">
        <v>1159</v>
      </c>
      <c r="AB704" t="s">
        <v>96</v>
      </c>
      <c r="AC704" t="s">
        <v>97</v>
      </c>
      <c r="AD704" t="s">
        <v>1099</v>
      </c>
      <c r="AG704" t="s">
        <v>1160</v>
      </c>
      <c r="AH704">
        <v>0</v>
      </c>
      <c r="AI704">
        <v>284</v>
      </c>
      <c r="AJ704">
        <v>24</v>
      </c>
      <c r="AK704">
        <v>300</v>
      </c>
      <c r="AL704">
        <v>1.01</v>
      </c>
    </row>
    <row r="705" spans="1:38" x14ac:dyDescent="0.3">
      <c r="A705" t="s">
        <v>1096</v>
      </c>
      <c r="B705">
        <v>8925</v>
      </c>
      <c r="C705">
        <v>3</v>
      </c>
      <c r="D705" t="s">
        <v>1156</v>
      </c>
      <c r="E705" t="s">
        <v>1157</v>
      </c>
      <c r="F705">
        <v>298</v>
      </c>
      <c r="G705">
        <v>32.94</v>
      </c>
      <c r="H705">
        <v>108.91</v>
      </c>
      <c r="I705">
        <v>25.4</v>
      </c>
      <c r="J705">
        <v>83.99</v>
      </c>
      <c r="K705">
        <v>137</v>
      </c>
      <c r="T705">
        <v>3</v>
      </c>
      <c r="U705">
        <v>2</v>
      </c>
      <c r="V705" t="s">
        <v>93</v>
      </c>
      <c r="W705" t="s">
        <v>1161</v>
      </c>
      <c r="X705">
        <v>20</v>
      </c>
      <c r="Y705">
        <v>14</v>
      </c>
      <c r="Z705" t="s">
        <v>1158</v>
      </c>
      <c r="AA705" t="s">
        <v>1159</v>
      </c>
      <c r="AB705" t="s">
        <v>96</v>
      </c>
      <c r="AC705" t="s">
        <v>97</v>
      </c>
      <c r="AD705" t="s">
        <v>1099</v>
      </c>
      <c r="AG705" t="s">
        <v>1160</v>
      </c>
      <c r="AH705">
        <v>0</v>
      </c>
      <c r="AI705">
        <v>284</v>
      </c>
      <c r="AJ705">
        <v>24</v>
      </c>
      <c r="AK705">
        <v>300</v>
      </c>
      <c r="AL705">
        <v>1.01</v>
      </c>
    </row>
    <row r="706" spans="1:38" x14ac:dyDescent="0.3">
      <c r="A706" t="s">
        <v>1096</v>
      </c>
      <c r="B706">
        <v>8925</v>
      </c>
      <c r="C706">
        <v>4</v>
      </c>
      <c r="D706" t="s">
        <v>1156</v>
      </c>
      <c r="E706" t="s">
        <v>1157</v>
      </c>
      <c r="F706">
        <v>298</v>
      </c>
      <c r="G706">
        <v>33.28</v>
      </c>
      <c r="H706">
        <v>110.02</v>
      </c>
      <c r="I706">
        <v>25.44</v>
      </c>
      <c r="J706">
        <v>84.11</v>
      </c>
      <c r="K706">
        <v>36</v>
      </c>
      <c r="T706">
        <v>3</v>
      </c>
      <c r="U706">
        <v>2</v>
      </c>
      <c r="V706" t="s">
        <v>93</v>
      </c>
      <c r="W706" t="s">
        <v>431</v>
      </c>
      <c r="X706">
        <v>20</v>
      </c>
      <c r="Y706">
        <v>14</v>
      </c>
      <c r="Z706" t="s">
        <v>1158</v>
      </c>
      <c r="AA706" t="s">
        <v>1159</v>
      </c>
      <c r="AB706" t="s">
        <v>96</v>
      </c>
      <c r="AC706" t="s">
        <v>97</v>
      </c>
      <c r="AD706" t="s">
        <v>1099</v>
      </c>
      <c r="AG706" t="s">
        <v>1160</v>
      </c>
      <c r="AH706">
        <v>0</v>
      </c>
      <c r="AI706">
        <v>284</v>
      </c>
      <c r="AJ706">
        <v>24</v>
      </c>
      <c r="AK706">
        <v>300</v>
      </c>
      <c r="AL706">
        <v>1.01</v>
      </c>
    </row>
    <row r="707" spans="1:38" x14ac:dyDescent="0.3">
      <c r="A707" t="s">
        <v>1096</v>
      </c>
      <c r="B707">
        <v>8238</v>
      </c>
      <c r="C707">
        <v>1</v>
      </c>
      <c r="D707" t="s">
        <v>903</v>
      </c>
      <c r="E707" t="s">
        <v>1162</v>
      </c>
      <c r="F707">
        <v>375</v>
      </c>
      <c r="G707">
        <v>24.49</v>
      </c>
      <c r="H707">
        <v>80.959999999999994</v>
      </c>
      <c r="I707">
        <v>18.14</v>
      </c>
      <c r="J707">
        <v>59.98</v>
      </c>
      <c r="K707">
        <v>194</v>
      </c>
      <c r="T707">
        <v>3</v>
      </c>
      <c r="U707">
        <v>1</v>
      </c>
      <c r="V707" t="s">
        <v>138</v>
      </c>
      <c r="W707">
        <v>80</v>
      </c>
      <c r="X707">
        <v>24</v>
      </c>
      <c r="Y707">
        <v>15</v>
      </c>
      <c r="Z707" t="s">
        <v>1163</v>
      </c>
      <c r="AA707" t="s">
        <v>1164</v>
      </c>
      <c r="AB707" t="s">
        <v>96</v>
      </c>
      <c r="AC707" t="s">
        <v>97</v>
      </c>
      <c r="AD707" t="s">
        <v>1099</v>
      </c>
      <c r="AG707" t="s">
        <v>1165</v>
      </c>
      <c r="AH707">
        <v>0</v>
      </c>
      <c r="AI707">
        <v>273</v>
      </c>
      <c r="AJ707">
        <v>17</v>
      </c>
      <c r="AK707">
        <v>353</v>
      </c>
      <c r="AL707">
        <v>0.94</v>
      </c>
    </row>
    <row r="708" spans="1:38" x14ac:dyDescent="0.3">
      <c r="A708" t="s">
        <v>1096</v>
      </c>
      <c r="B708">
        <v>8238</v>
      </c>
      <c r="C708">
        <v>2</v>
      </c>
      <c r="D708" t="s">
        <v>903</v>
      </c>
      <c r="E708" t="s">
        <v>1162</v>
      </c>
      <c r="F708">
        <v>375</v>
      </c>
      <c r="G708">
        <v>32.5</v>
      </c>
      <c r="H708">
        <v>107.44</v>
      </c>
      <c r="I708">
        <v>25.68</v>
      </c>
      <c r="J708">
        <v>84.92</v>
      </c>
      <c r="K708">
        <v>164</v>
      </c>
      <c r="T708">
        <v>3</v>
      </c>
      <c r="U708">
        <v>2</v>
      </c>
      <c r="V708" t="s">
        <v>93</v>
      </c>
      <c r="W708">
        <v>107</v>
      </c>
      <c r="X708">
        <v>24</v>
      </c>
      <c r="Y708">
        <v>15</v>
      </c>
      <c r="Z708" t="s">
        <v>1163</v>
      </c>
      <c r="AA708" t="s">
        <v>1164</v>
      </c>
      <c r="AB708" t="s">
        <v>96</v>
      </c>
      <c r="AC708" t="s">
        <v>97</v>
      </c>
      <c r="AD708" t="s">
        <v>1099</v>
      </c>
      <c r="AG708" t="s">
        <v>1165</v>
      </c>
      <c r="AH708">
        <v>0</v>
      </c>
      <c r="AI708">
        <v>273</v>
      </c>
      <c r="AJ708">
        <v>17</v>
      </c>
      <c r="AK708">
        <v>353</v>
      </c>
      <c r="AL708">
        <v>0.94</v>
      </c>
    </row>
    <row r="709" spans="1:38" x14ac:dyDescent="0.3">
      <c r="A709" t="s">
        <v>1096</v>
      </c>
      <c r="B709">
        <v>8238</v>
      </c>
      <c r="C709">
        <v>3</v>
      </c>
      <c r="D709" t="s">
        <v>903</v>
      </c>
      <c r="E709" t="s">
        <v>1162</v>
      </c>
      <c r="F709">
        <v>375</v>
      </c>
      <c r="G709">
        <v>35.299999999999997</v>
      </c>
      <c r="H709">
        <v>116.72</v>
      </c>
      <c r="I709">
        <v>26.99</v>
      </c>
      <c r="J709">
        <v>89.24</v>
      </c>
      <c r="K709">
        <v>17</v>
      </c>
      <c r="T709">
        <v>3</v>
      </c>
      <c r="U709">
        <v>2</v>
      </c>
      <c r="V709" t="s">
        <v>93</v>
      </c>
      <c r="W709">
        <v>116</v>
      </c>
      <c r="X709">
        <v>24</v>
      </c>
      <c r="Y709">
        <v>15</v>
      </c>
      <c r="Z709" t="s">
        <v>1163</v>
      </c>
      <c r="AA709" t="s">
        <v>1164</v>
      </c>
      <c r="AB709" t="s">
        <v>96</v>
      </c>
      <c r="AC709" t="s">
        <v>97</v>
      </c>
      <c r="AD709" t="s">
        <v>1099</v>
      </c>
      <c r="AG709" t="s">
        <v>1165</v>
      </c>
      <c r="AH709">
        <v>0</v>
      </c>
      <c r="AI709">
        <v>273</v>
      </c>
      <c r="AJ709">
        <v>17</v>
      </c>
      <c r="AK709">
        <v>353</v>
      </c>
      <c r="AL709">
        <v>0.94</v>
      </c>
    </row>
    <row r="710" spans="1:38" x14ac:dyDescent="0.3">
      <c r="A710" t="s">
        <v>1096</v>
      </c>
      <c r="B710">
        <v>8512</v>
      </c>
      <c r="C710">
        <v>1</v>
      </c>
      <c r="D710" t="s">
        <v>881</v>
      </c>
      <c r="E710" t="s">
        <v>752</v>
      </c>
      <c r="F710">
        <v>205</v>
      </c>
      <c r="G710">
        <v>16.47</v>
      </c>
      <c r="H710">
        <v>54.46</v>
      </c>
      <c r="I710">
        <v>13.91</v>
      </c>
      <c r="J710">
        <v>45.99</v>
      </c>
      <c r="K710">
        <v>5</v>
      </c>
      <c r="T710">
        <v>2</v>
      </c>
      <c r="U710">
        <v>1</v>
      </c>
      <c r="V710" t="s">
        <v>93</v>
      </c>
      <c r="W710">
        <v>54</v>
      </c>
      <c r="X710">
        <v>5</v>
      </c>
      <c r="Y710">
        <v>5</v>
      </c>
      <c r="Z710" t="s">
        <v>1166</v>
      </c>
      <c r="AA710" t="s">
        <v>1167</v>
      </c>
      <c r="AB710" t="s">
        <v>96</v>
      </c>
      <c r="AC710" t="s">
        <v>97</v>
      </c>
      <c r="AD710" t="s">
        <v>1099</v>
      </c>
      <c r="AG710" t="s">
        <v>1168</v>
      </c>
      <c r="AH710">
        <v>0</v>
      </c>
      <c r="AI710">
        <v>177</v>
      </c>
      <c r="AJ710">
        <v>35</v>
      </c>
      <c r="AK710">
        <v>0</v>
      </c>
      <c r="AL710">
        <v>0</v>
      </c>
    </row>
    <row r="711" spans="1:38" x14ac:dyDescent="0.3">
      <c r="A711" t="s">
        <v>1096</v>
      </c>
      <c r="B711">
        <v>8512</v>
      </c>
      <c r="C711">
        <v>2</v>
      </c>
      <c r="D711" t="s">
        <v>881</v>
      </c>
      <c r="E711" t="s">
        <v>752</v>
      </c>
      <c r="F711">
        <v>205</v>
      </c>
      <c r="G711">
        <v>21.48</v>
      </c>
      <c r="H711">
        <v>71.02</v>
      </c>
      <c r="I711">
        <v>18.13</v>
      </c>
      <c r="J711">
        <v>59.94</v>
      </c>
      <c r="K711">
        <v>5</v>
      </c>
      <c r="T711">
        <v>2</v>
      </c>
      <c r="U711">
        <v>1</v>
      </c>
      <c r="V711" t="s">
        <v>93</v>
      </c>
      <c r="W711">
        <v>71</v>
      </c>
      <c r="X711">
        <v>5</v>
      </c>
      <c r="Y711">
        <v>5</v>
      </c>
      <c r="Z711" t="s">
        <v>1166</v>
      </c>
      <c r="AA711" t="s">
        <v>1167</v>
      </c>
      <c r="AB711" t="s">
        <v>96</v>
      </c>
      <c r="AC711" t="s">
        <v>97</v>
      </c>
      <c r="AD711" t="s">
        <v>1099</v>
      </c>
      <c r="AG711" t="s">
        <v>1168</v>
      </c>
      <c r="AH711">
        <v>0</v>
      </c>
      <c r="AI711">
        <v>177</v>
      </c>
      <c r="AJ711">
        <v>35</v>
      </c>
      <c r="AK711">
        <v>0</v>
      </c>
      <c r="AL711">
        <v>0</v>
      </c>
    </row>
    <row r="712" spans="1:38" x14ac:dyDescent="0.3">
      <c r="A712" t="s">
        <v>1096</v>
      </c>
      <c r="B712">
        <v>8512</v>
      </c>
      <c r="C712">
        <v>3</v>
      </c>
      <c r="D712" t="s">
        <v>881</v>
      </c>
      <c r="E712" t="s">
        <v>752</v>
      </c>
      <c r="F712">
        <v>205</v>
      </c>
      <c r="G712">
        <v>23.7</v>
      </c>
      <c r="H712">
        <v>78.349999999999994</v>
      </c>
      <c r="I712">
        <v>19.95</v>
      </c>
      <c r="J712">
        <v>65.97</v>
      </c>
      <c r="K712">
        <v>70</v>
      </c>
      <c r="T712">
        <v>2</v>
      </c>
      <c r="U712">
        <v>1</v>
      </c>
      <c r="V712" t="s">
        <v>93</v>
      </c>
      <c r="W712">
        <v>78</v>
      </c>
      <c r="X712">
        <v>5</v>
      </c>
      <c r="Y712">
        <v>5</v>
      </c>
      <c r="Z712" t="s">
        <v>1166</v>
      </c>
      <c r="AA712" t="s">
        <v>1167</v>
      </c>
      <c r="AB712" t="s">
        <v>96</v>
      </c>
      <c r="AC712" t="s">
        <v>97</v>
      </c>
      <c r="AD712" t="s">
        <v>1099</v>
      </c>
      <c r="AG712" t="s">
        <v>1168</v>
      </c>
      <c r="AH712">
        <v>0</v>
      </c>
      <c r="AI712">
        <v>177</v>
      </c>
      <c r="AJ712">
        <v>35</v>
      </c>
      <c r="AK712">
        <v>0</v>
      </c>
      <c r="AL712">
        <v>0</v>
      </c>
    </row>
    <row r="713" spans="1:38" x14ac:dyDescent="0.3">
      <c r="A713" t="s">
        <v>1096</v>
      </c>
      <c r="B713">
        <v>8512</v>
      </c>
      <c r="C713">
        <v>4</v>
      </c>
      <c r="D713" t="s">
        <v>881</v>
      </c>
      <c r="E713" t="s">
        <v>752</v>
      </c>
      <c r="F713">
        <v>205</v>
      </c>
      <c r="G713">
        <v>24.45</v>
      </c>
      <c r="H713">
        <v>80.83</v>
      </c>
      <c r="I713">
        <v>20.58</v>
      </c>
      <c r="J713">
        <v>68.040000000000006</v>
      </c>
      <c r="K713">
        <v>40</v>
      </c>
      <c r="T713">
        <v>2</v>
      </c>
      <c r="U713">
        <v>1</v>
      </c>
      <c r="V713" t="s">
        <v>93</v>
      </c>
      <c r="W713">
        <v>80</v>
      </c>
      <c r="X713">
        <v>5</v>
      </c>
      <c r="Y713">
        <v>5</v>
      </c>
      <c r="Z713" t="s">
        <v>1166</v>
      </c>
      <c r="AA713" t="s">
        <v>1167</v>
      </c>
      <c r="AB713" t="s">
        <v>96</v>
      </c>
      <c r="AC713" t="s">
        <v>97</v>
      </c>
      <c r="AD713" t="s">
        <v>1099</v>
      </c>
      <c r="AG713" t="s">
        <v>1168</v>
      </c>
      <c r="AH713">
        <v>0</v>
      </c>
      <c r="AI713">
        <v>177</v>
      </c>
      <c r="AJ713">
        <v>35</v>
      </c>
      <c r="AK713">
        <v>0</v>
      </c>
      <c r="AL713">
        <v>0</v>
      </c>
    </row>
    <row r="714" spans="1:38" x14ac:dyDescent="0.3">
      <c r="A714" t="s">
        <v>1096</v>
      </c>
      <c r="B714">
        <v>8512</v>
      </c>
      <c r="C714">
        <v>5</v>
      </c>
      <c r="D714" t="s">
        <v>881</v>
      </c>
      <c r="E714" t="s">
        <v>752</v>
      </c>
      <c r="F714">
        <v>205</v>
      </c>
      <c r="G714">
        <v>25.75</v>
      </c>
      <c r="H714">
        <v>85.15</v>
      </c>
      <c r="I714">
        <v>21.67</v>
      </c>
      <c r="J714">
        <v>71.64</v>
      </c>
      <c r="K714">
        <v>20</v>
      </c>
      <c r="T714">
        <v>2</v>
      </c>
      <c r="U714">
        <v>1</v>
      </c>
      <c r="V714" t="s">
        <v>93</v>
      </c>
      <c r="W714">
        <v>85</v>
      </c>
      <c r="X714">
        <v>5</v>
      </c>
      <c r="Y714">
        <v>5</v>
      </c>
      <c r="Z714" t="s">
        <v>1166</v>
      </c>
      <c r="AA714" t="s">
        <v>1167</v>
      </c>
      <c r="AB714" t="s">
        <v>96</v>
      </c>
      <c r="AC714" t="s">
        <v>97</v>
      </c>
      <c r="AD714" t="s">
        <v>1099</v>
      </c>
      <c r="AG714" t="s">
        <v>1168</v>
      </c>
      <c r="AH714">
        <v>0</v>
      </c>
      <c r="AI714">
        <v>177</v>
      </c>
      <c r="AJ714">
        <v>35</v>
      </c>
      <c r="AK714">
        <v>0</v>
      </c>
      <c r="AL714">
        <v>0</v>
      </c>
    </row>
    <row r="715" spans="1:38" x14ac:dyDescent="0.3">
      <c r="A715" t="s">
        <v>1096</v>
      </c>
      <c r="B715">
        <v>8512</v>
      </c>
      <c r="C715">
        <v>6</v>
      </c>
      <c r="D715" t="s">
        <v>881</v>
      </c>
      <c r="E715" t="s">
        <v>752</v>
      </c>
      <c r="F715">
        <v>205</v>
      </c>
      <c r="G715">
        <v>28.66</v>
      </c>
      <c r="H715">
        <v>94.77</v>
      </c>
      <c r="I715">
        <v>24.09</v>
      </c>
      <c r="J715">
        <v>79.650000000000006</v>
      </c>
      <c r="K715">
        <v>60</v>
      </c>
      <c r="T715">
        <v>3</v>
      </c>
      <c r="U715">
        <v>1</v>
      </c>
      <c r="V715" t="s">
        <v>93</v>
      </c>
      <c r="W715">
        <v>94</v>
      </c>
      <c r="X715">
        <v>5</v>
      </c>
      <c r="Y715">
        <v>5</v>
      </c>
      <c r="Z715" t="s">
        <v>1166</v>
      </c>
      <c r="AA715" t="s">
        <v>1167</v>
      </c>
      <c r="AB715" t="s">
        <v>96</v>
      </c>
      <c r="AC715" t="s">
        <v>97</v>
      </c>
      <c r="AD715" t="s">
        <v>1099</v>
      </c>
      <c r="AG715" t="s">
        <v>1168</v>
      </c>
      <c r="AH715">
        <v>0</v>
      </c>
      <c r="AI715">
        <v>177</v>
      </c>
      <c r="AJ715">
        <v>35</v>
      </c>
      <c r="AK715">
        <v>0</v>
      </c>
      <c r="AL715">
        <v>0</v>
      </c>
    </row>
    <row r="716" spans="1:38" x14ac:dyDescent="0.3">
      <c r="A716" t="s">
        <v>1096</v>
      </c>
      <c r="B716">
        <v>8512</v>
      </c>
      <c r="C716">
        <v>7</v>
      </c>
      <c r="D716" t="s">
        <v>881</v>
      </c>
      <c r="E716" t="s">
        <v>752</v>
      </c>
      <c r="F716">
        <v>205</v>
      </c>
      <c r="G716">
        <v>32.229999999999997</v>
      </c>
      <c r="H716">
        <v>106.57</v>
      </c>
      <c r="I716">
        <v>27.11</v>
      </c>
      <c r="J716">
        <v>89.64</v>
      </c>
      <c r="K716">
        <v>5</v>
      </c>
      <c r="T716">
        <v>3</v>
      </c>
      <c r="U716">
        <v>2</v>
      </c>
      <c r="V716" t="s">
        <v>93</v>
      </c>
      <c r="W716">
        <v>106</v>
      </c>
      <c r="X716">
        <v>5</v>
      </c>
      <c r="Y716">
        <v>5</v>
      </c>
      <c r="Z716" t="s">
        <v>1166</v>
      </c>
      <c r="AA716" t="s">
        <v>1167</v>
      </c>
      <c r="AB716" t="s">
        <v>96</v>
      </c>
      <c r="AC716" t="s">
        <v>97</v>
      </c>
      <c r="AD716" t="s">
        <v>1099</v>
      </c>
      <c r="AG716" t="s">
        <v>1168</v>
      </c>
      <c r="AH716">
        <v>0</v>
      </c>
      <c r="AI716">
        <v>177</v>
      </c>
      <c r="AJ716">
        <v>35</v>
      </c>
      <c r="AK716">
        <v>0</v>
      </c>
      <c r="AL716">
        <v>0</v>
      </c>
    </row>
    <row r="717" spans="1:38" x14ac:dyDescent="0.3">
      <c r="A717" t="s">
        <v>1096</v>
      </c>
      <c r="B717">
        <v>2472</v>
      </c>
      <c r="C717">
        <v>1</v>
      </c>
      <c r="D717" t="s">
        <v>1169</v>
      </c>
      <c r="E717" t="s">
        <v>1170</v>
      </c>
      <c r="F717">
        <v>648</v>
      </c>
      <c r="G717">
        <v>22.56</v>
      </c>
      <c r="H717">
        <v>74.58</v>
      </c>
      <c r="I717">
        <v>18.05</v>
      </c>
      <c r="J717">
        <v>59.7</v>
      </c>
      <c r="K717">
        <v>260</v>
      </c>
      <c r="T717">
        <v>3</v>
      </c>
      <c r="U717">
        <v>1</v>
      </c>
      <c r="V717" t="s">
        <v>93</v>
      </c>
      <c r="W717">
        <v>74</v>
      </c>
      <c r="X717">
        <v>25</v>
      </c>
      <c r="Y717">
        <v>16</v>
      </c>
      <c r="Z717" t="s">
        <v>1171</v>
      </c>
      <c r="AA717" t="s">
        <v>1172</v>
      </c>
      <c r="AB717" t="s">
        <v>96</v>
      </c>
      <c r="AC717" t="s">
        <v>97</v>
      </c>
      <c r="AD717" t="s">
        <v>1099</v>
      </c>
      <c r="AG717" t="s">
        <v>1173</v>
      </c>
      <c r="AH717">
        <v>0</v>
      </c>
      <c r="AI717">
        <v>298</v>
      </c>
      <c r="AJ717">
        <v>20</v>
      </c>
      <c r="AK717">
        <v>429</v>
      </c>
      <c r="AL717">
        <v>0.66</v>
      </c>
    </row>
    <row r="718" spans="1:38" x14ac:dyDescent="0.3">
      <c r="A718" t="s">
        <v>1096</v>
      </c>
      <c r="B718">
        <v>2472</v>
      </c>
      <c r="C718">
        <v>2</v>
      </c>
      <c r="D718" t="s">
        <v>1169</v>
      </c>
      <c r="E718" t="s">
        <v>1170</v>
      </c>
      <c r="F718">
        <v>648</v>
      </c>
      <c r="G718">
        <v>31.9</v>
      </c>
      <c r="H718">
        <v>105.47</v>
      </c>
      <c r="I718">
        <v>25.53</v>
      </c>
      <c r="J718">
        <v>84.42</v>
      </c>
      <c r="K718">
        <v>388</v>
      </c>
      <c r="T718">
        <v>3</v>
      </c>
      <c r="U718">
        <v>2</v>
      </c>
      <c r="V718" t="s">
        <v>93</v>
      </c>
      <c r="W718">
        <v>105</v>
      </c>
      <c r="X718">
        <v>25</v>
      </c>
      <c r="Y718">
        <v>16</v>
      </c>
      <c r="Z718" t="s">
        <v>1171</v>
      </c>
      <c r="AA718" t="s">
        <v>1172</v>
      </c>
      <c r="AB718" t="s">
        <v>96</v>
      </c>
      <c r="AC718" t="s">
        <v>97</v>
      </c>
      <c r="AD718" t="s">
        <v>1099</v>
      </c>
      <c r="AG718" t="s">
        <v>1173</v>
      </c>
      <c r="AH718">
        <v>0</v>
      </c>
      <c r="AI718">
        <v>298</v>
      </c>
      <c r="AJ718">
        <v>20</v>
      </c>
      <c r="AK718">
        <v>429</v>
      </c>
      <c r="AL718">
        <v>0.66</v>
      </c>
    </row>
    <row r="719" spans="1:38" x14ac:dyDescent="0.3">
      <c r="A719" t="s">
        <v>1096</v>
      </c>
      <c r="B719">
        <v>8268</v>
      </c>
      <c r="C719">
        <v>1</v>
      </c>
      <c r="D719" t="s">
        <v>1174</v>
      </c>
      <c r="E719" t="s">
        <v>1162</v>
      </c>
      <c r="F719">
        <v>279</v>
      </c>
      <c r="G719">
        <v>25.43</v>
      </c>
      <c r="H719">
        <v>84.07</v>
      </c>
      <c r="I719">
        <v>18.100000000000001</v>
      </c>
      <c r="J719">
        <v>59.85</v>
      </c>
      <c r="K719">
        <v>279</v>
      </c>
      <c r="T719">
        <v>3</v>
      </c>
      <c r="U719">
        <v>1</v>
      </c>
      <c r="V719" t="s">
        <v>138</v>
      </c>
      <c r="W719">
        <v>84</v>
      </c>
      <c r="X719">
        <v>21</v>
      </c>
      <c r="Y719">
        <v>21</v>
      </c>
      <c r="Z719" t="s">
        <v>1175</v>
      </c>
      <c r="AA719" t="s">
        <v>1176</v>
      </c>
      <c r="AB719" t="s">
        <v>96</v>
      </c>
      <c r="AC719" t="s">
        <v>97</v>
      </c>
      <c r="AD719" t="s">
        <v>1099</v>
      </c>
      <c r="AG719" t="s">
        <v>1177</v>
      </c>
      <c r="AH719">
        <v>0</v>
      </c>
      <c r="AI719">
        <v>299</v>
      </c>
      <c r="AJ719">
        <v>22</v>
      </c>
      <c r="AK719">
        <v>151</v>
      </c>
      <c r="AL719">
        <v>0.54</v>
      </c>
    </row>
    <row r="720" spans="1:38" x14ac:dyDescent="0.3">
      <c r="A720" t="s">
        <v>1096</v>
      </c>
      <c r="B720">
        <v>8239</v>
      </c>
      <c r="C720">
        <v>1</v>
      </c>
      <c r="D720" t="s">
        <v>971</v>
      </c>
      <c r="E720" t="s">
        <v>1178</v>
      </c>
      <c r="F720">
        <v>460</v>
      </c>
      <c r="G720">
        <v>17.07</v>
      </c>
      <c r="H720">
        <v>56.45</v>
      </c>
      <c r="I720">
        <v>12.19</v>
      </c>
      <c r="J720">
        <v>40.32</v>
      </c>
      <c r="K720">
        <v>50</v>
      </c>
      <c r="T720">
        <v>2</v>
      </c>
      <c r="U720">
        <v>1</v>
      </c>
      <c r="V720" t="s">
        <v>93</v>
      </c>
      <c r="W720">
        <v>56</v>
      </c>
      <c r="X720">
        <v>5</v>
      </c>
      <c r="Y720">
        <v>5</v>
      </c>
      <c r="Z720" t="s">
        <v>1179</v>
      </c>
      <c r="AA720" t="s">
        <v>1180</v>
      </c>
      <c r="AB720" t="s">
        <v>96</v>
      </c>
      <c r="AC720" t="s">
        <v>97</v>
      </c>
      <c r="AD720" t="s">
        <v>1099</v>
      </c>
      <c r="AG720" t="s">
        <v>1181</v>
      </c>
      <c r="AH720">
        <v>0</v>
      </c>
      <c r="AI720">
        <v>139</v>
      </c>
      <c r="AJ720">
        <v>33</v>
      </c>
      <c r="AK720">
        <v>0</v>
      </c>
      <c r="AL720">
        <v>0</v>
      </c>
    </row>
    <row r="721" spans="1:38" x14ac:dyDescent="0.3">
      <c r="A721" t="s">
        <v>1096</v>
      </c>
      <c r="B721">
        <v>8239</v>
      </c>
      <c r="C721">
        <v>2</v>
      </c>
      <c r="D721" t="s">
        <v>971</v>
      </c>
      <c r="E721" t="s">
        <v>1178</v>
      </c>
      <c r="F721">
        <v>460</v>
      </c>
      <c r="G721">
        <v>17.690000000000001</v>
      </c>
      <c r="H721">
        <v>58.5</v>
      </c>
      <c r="I721">
        <v>12.6</v>
      </c>
      <c r="J721">
        <v>41.67</v>
      </c>
      <c r="K721">
        <v>150</v>
      </c>
      <c r="T721">
        <v>3</v>
      </c>
      <c r="U721">
        <v>1</v>
      </c>
      <c r="V721" t="s">
        <v>93</v>
      </c>
      <c r="W721">
        <v>58</v>
      </c>
      <c r="X721">
        <v>5</v>
      </c>
      <c r="Y721">
        <v>5</v>
      </c>
      <c r="Z721" t="s">
        <v>1179</v>
      </c>
      <c r="AA721" t="s">
        <v>1180</v>
      </c>
      <c r="AB721" t="s">
        <v>96</v>
      </c>
      <c r="AC721" t="s">
        <v>97</v>
      </c>
      <c r="AD721" t="s">
        <v>1099</v>
      </c>
      <c r="AG721" t="s">
        <v>1181</v>
      </c>
      <c r="AH721">
        <v>0</v>
      </c>
      <c r="AI721">
        <v>139</v>
      </c>
      <c r="AJ721">
        <v>33</v>
      </c>
      <c r="AK721">
        <v>0</v>
      </c>
      <c r="AL721">
        <v>0</v>
      </c>
    </row>
    <row r="722" spans="1:38" x14ac:dyDescent="0.3">
      <c r="A722" t="s">
        <v>1096</v>
      </c>
      <c r="B722">
        <v>8239</v>
      </c>
      <c r="C722">
        <v>3</v>
      </c>
      <c r="D722" t="s">
        <v>971</v>
      </c>
      <c r="E722" t="s">
        <v>1178</v>
      </c>
      <c r="F722">
        <v>460</v>
      </c>
      <c r="G722">
        <v>18.559999999999999</v>
      </c>
      <c r="H722">
        <v>61.36</v>
      </c>
      <c r="I722">
        <v>13.31</v>
      </c>
      <c r="J722">
        <v>44.01</v>
      </c>
      <c r="K722">
        <v>90</v>
      </c>
      <c r="T722">
        <v>3</v>
      </c>
      <c r="U722">
        <v>1</v>
      </c>
      <c r="V722" t="s">
        <v>93</v>
      </c>
      <c r="W722">
        <v>61</v>
      </c>
      <c r="X722">
        <v>5</v>
      </c>
      <c r="Y722">
        <v>5</v>
      </c>
      <c r="Z722" t="s">
        <v>1179</v>
      </c>
      <c r="AA722" t="s">
        <v>1180</v>
      </c>
      <c r="AB722" t="s">
        <v>96</v>
      </c>
      <c r="AC722" t="s">
        <v>97</v>
      </c>
      <c r="AD722" t="s">
        <v>1099</v>
      </c>
      <c r="AG722" t="s">
        <v>1181</v>
      </c>
      <c r="AH722">
        <v>0</v>
      </c>
      <c r="AI722">
        <v>139</v>
      </c>
      <c r="AJ722">
        <v>33</v>
      </c>
      <c r="AK722">
        <v>0</v>
      </c>
      <c r="AL722">
        <v>0</v>
      </c>
    </row>
    <row r="723" spans="1:38" x14ac:dyDescent="0.3">
      <c r="A723" t="s">
        <v>1096</v>
      </c>
      <c r="B723">
        <v>8239</v>
      </c>
      <c r="C723">
        <v>4</v>
      </c>
      <c r="D723" t="s">
        <v>971</v>
      </c>
      <c r="E723" t="s">
        <v>1178</v>
      </c>
      <c r="F723">
        <v>460</v>
      </c>
      <c r="G723">
        <v>20.37</v>
      </c>
      <c r="H723">
        <v>67.36</v>
      </c>
      <c r="I723">
        <v>14.81</v>
      </c>
      <c r="J723">
        <v>48.96</v>
      </c>
      <c r="K723">
        <v>100</v>
      </c>
      <c r="T723">
        <v>3</v>
      </c>
      <c r="U723">
        <v>1</v>
      </c>
      <c r="V723" t="s">
        <v>93</v>
      </c>
      <c r="W723">
        <v>67</v>
      </c>
      <c r="X723">
        <v>5</v>
      </c>
      <c r="Y723">
        <v>5</v>
      </c>
      <c r="Z723" t="s">
        <v>1179</v>
      </c>
      <c r="AA723" t="s">
        <v>1180</v>
      </c>
      <c r="AB723" t="s">
        <v>96</v>
      </c>
      <c r="AC723" t="s">
        <v>97</v>
      </c>
      <c r="AD723" t="s">
        <v>1099</v>
      </c>
      <c r="AG723" t="s">
        <v>1181</v>
      </c>
      <c r="AH723">
        <v>0</v>
      </c>
      <c r="AI723">
        <v>139</v>
      </c>
      <c r="AJ723">
        <v>33</v>
      </c>
      <c r="AK723">
        <v>0</v>
      </c>
      <c r="AL723">
        <v>0</v>
      </c>
    </row>
    <row r="724" spans="1:38" x14ac:dyDescent="0.3">
      <c r="A724" t="s">
        <v>1096</v>
      </c>
      <c r="B724">
        <v>8239</v>
      </c>
      <c r="C724">
        <v>5</v>
      </c>
      <c r="D724" t="s">
        <v>971</v>
      </c>
      <c r="E724" t="s">
        <v>1178</v>
      </c>
      <c r="F724">
        <v>460</v>
      </c>
      <c r="G724">
        <v>21.31</v>
      </c>
      <c r="H724">
        <v>70.47</v>
      </c>
      <c r="I724">
        <v>15.59</v>
      </c>
      <c r="J724">
        <v>51.57</v>
      </c>
      <c r="K724">
        <v>70</v>
      </c>
      <c r="T724">
        <v>3</v>
      </c>
      <c r="U724">
        <v>1</v>
      </c>
      <c r="V724" t="s">
        <v>93</v>
      </c>
      <c r="W724">
        <v>70</v>
      </c>
      <c r="X724">
        <v>5</v>
      </c>
      <c r="Y724">
        <v>5</v>
      </c>
      <c r="Z724" t="s">
        <v>1179</v>
      </c>
      <c r="AA724" t="s">
        <v>1180</v>
      </c>
      <c r="AB724" t="s">
        <v>96</v>
      </c>
      <c r="AC724" t="s">
        <v>97</v>
      </c>
      <c r="AD724" t="s">
        <v>1099</v>
      </c>
      <c r="AG724" t="s">
        <v>1181</v>
      </c>
      <c r="AH724">
        <v>0</v>
      </c>
      <c r="AI724">
        <v>139</v>
      </c>
      <c r="AJ724">
        <v>33</v>
      </c>
      <c r="AK724">
        <v>0</v>
      </c>
      <c r="AL724">
        <v>0</v>
      </c>
    </row>
    <row r="725" spans="1:38" x14ac:dyDescent="0.3">
      <c r="A725" t="s">
        <v>1096</v>
      </c>
      <c r="B725">
        <v>2475</v>
      </c>
      <c r="C725">
        <v>1</v>
      </c>
      <c r="D725" t="s">
        <v>1182</v>
      </c>
      <c r="E725" t="s">
        <v>275</v>
      </c>
      <c r="F725">
        <v>342</v>
      </c>
      <c r="G725">
        <v>24.55</v>
      </c>
      <c r="H725">
        <v>81.19</v>
      </c>
      <c r="I725">
        <v>18.14</v>
      </c>
      <c r="J725">
        <v>59.99</v>
      </c>
      <c r="K725">
        <v>130</v>
      </c>
      <c r="T725">
        <v>3</v>
      </c>
      <c r="U725">
        <v>1</v>
      </c>
      <c r="V725" t="s">
        <v>93</v>
      </c>
      <c r="W725">
        <v>81</v>
      </c>
      <c r="X725">
        <v>23</v>
      </c>
      <c r="Y725">
        <v>20</v>
      </c>
      <c r="Z725" t="s">
        <v>1183</v>
      </c>
      <c r="AA725" t="s">
        <v>1184</v>
      </c>
      <c r="AB725" t="s">
        <v>96</v>
      </c>
      <c r="AC725" t="s">
        <v>97</v>
      </c>
      <c r="AD725" t="s">
        <v>1099</v>
      </c>
      <c r="AG725" t="s">
        <v>1185</v>
      </c>
      <c r="AH725">
        <v>0</v>
      </c>
      <c r="AI725">
        <v>360</v>
      </c>
      <c r="AJ725">
        <v>30</v>
      </c>
      <c r="AK725">
        <v>392</v>
      </c>
      <c r="AL725">
        <v>1.1499999999999999</v>
      </c>
    </row>
    <row r="726" spans="1:38" x14ac:dyDescent="0.3">
      <c r="A726" t="s">
        <v>1096</v>
      </c>
      <c r="B726">
        <v>2475</v>
      </c>
      <c r="C726">
        <v>2</v>
      </c>
      <c r="D726" t="s">
        <v>1182</v>
      </c>
      <c r="E726" t="s">
        <v>275</v>
      </c>
      <c r="F726">
        <v>342</v>
      </c>
      <c r="G726">
        <v>32.840000000000003</v>
      </c>
      <c r="H726">
        <v>108.59</v>
      </c>
      <c r="I726">
        <v>25.67</v>
      </c>
      <c r="J726">
        <v>84.86</v>
      </c>
      <c r="K726">
        <v>156</v>
      </c>
      <c r="T726">
        <v>3</v>
      </c>
      <c r="U726">
        <v>2</v>
      </c>
      <c r="V726" t="s">
        <v>93</v>
      </c>
      <c r="W726">
        <v>108</v>
      </c>
      <c r="X726">
        <v>23</v>
      </c>
      <c r="Y726">
        <v>20</v>
      </c>
      <c r="Z726" t="s">
        <v>1183</v>
      </c>
      <c r="AA726" t="s">
        <v>1184</v>
      </c>
      <c r="AB726" t="s">
        <v>96</v>
      </c>
      <c r="AC726" t="s">
        <v>97</v>
      </c>
      <c r="AD726" t="s">
        <v>1099</v>
      </c>
      <c r="AG726" t="s">
        <v>1185</v>
      </c>
      <c r="AH726">
        <v>0</v>
      </c>
      <c r="AI726">
        <v>360</v>
      </c>
      <c r="AJ726">
        <v>30</v>
      </c>
      <c r="AK726">
        <v>392</v>
      </c>
      <c r="AL726">
        <v>1.1499999999999999</v>
      </c>
    </row>
    <row r="727" spans="1:38" x14ac:dyDescent="0.3">
      <c r="A727" t="s">
        <v>1096</v>
      </c>
      <c r="B727">
        <v>2475</v>
      </c>
      <c r="C727">
        <v>3</v>
      </c>
      <c r="D727" t="s">
        <v>1182</v>
      </c>
      <c r="E727" t="s">
        <v>275</v>
      </c>
      <c r="F727">
        <v>342</v>
      </c>
      <c r="G727">
        <v>41.55</v>
      </c>
      <c r="H727">
        <v>137.37</v>
      </c>
      <c r="I727">
        <v>33.57</v>
      </c>
      <c r="J727">
        <v>110.99</v>
      </c>
      <c r="K727">
        <v>6</v>
      </c>
      <c r="T727">
        <v>4</v>
      </c>
      <c r="U727">
        <v>2</v>
      </c>
      <c r="V727" t="s">
        <v>93</v>
      </c>
      <c r="W727">
        <v>137</v>
      </c>
      <c r="X727">
        <v>23</v>
      </c>
      <c r="Y727">
        <v>20</v>
      </c>
      <c r="Z727" t="s">
        <v>1183</v>
      </c>
      <c r="AA727" t="s">
        <v>1184</v>
      </c>
      <c r="AB727" t="s">
        <v>96</v>
      </c>
      <c r="AC727" t="s">
        <v>97</v>
      </c>
      <c r="AD727" t="s">
        <v>1099</v>
      </c>
      <c r="AG727" t="s">
        <v>1185</v>
      </c>
      <c r="AH727">
        <v>0</v>
      </c>
      <c r="AI727">
        <v>360</v>
      </c>
      <c r="AJ727">
        <v>30</v>
      </c>
      <c r="AK727">
        <v>392</v>
      </c>
      <c r="AL727">
        <v>1.1499999999999999</v>
      </c>
    </row>
    <row r="728" spans="1:38" x14ac:dyDescent="0.3">
      <c r="A728" t="s">
        <v>1096</v>
      </c>
      <c r="B728">
        <v>2475</v>
      </c>
      <c r="C728">
        <v>4</v>
      </c>
      <c r="D728" t="s">
        <v>1182</v>
      </c>
      <c r="E728" t="s">
        <v>275</v>
      </c>
      <c r="F728">
        <v>342</v>
      </c>
      <c r="G728">
        <v>43.77</v>
      </c>
      <c r="H728">
        <v>144.72</v>
      </c>
      <c r="I728">
        <v>35.590000000000003</v>
      </c>
      <c r="J728">
        <v>117.66</v>
      </c>
      <c r="K728">
        <v>40</v>
      </c>
      <c r="T728">
        <v>4</v>
      </c>
      <c r="U728">
        <v>2</v>
      </c>
      <c r="V728" t="s">
        <v>93</v>
      </c>
      <c r="W728">
        <v>144</v>
      </c>
      <c r="X728">
        <v>23</v>
      </c>
      <c r="Y728">
        <v>20</v>
      </c>
      <c r="Z728" t="s">
        <v>1183</v>
      </c>
      <c r="AA728" t="s">
        <v>1184</v>
      </c>
      <c r="AB728" t="s">
        <v>96</v>
      </c>
      <c r="AC728" t="s">
        <v>97</v>
      </c>
      <c r="AD728" t="s">
        <v>1099</v>
      </c>
      <c r="AG728" t="s">
        <v>1185</v>
      </c>
      <c r="AH728">
        <v>0</v>
      </c>
      <c r="AI728">
        <v>360</v>
      </c>
      <c r="AJ728">
        <v>30</v>
      </c>
      <c r="AK728">
        <v>392</v>
      </c>
      <c r="AL728">
        <v>1.1499999999999999</v>
      </c>
    </row>
    <row r="729" spans="1:38" x14ac:dyDescent="0.3">
      <c r="A729" t="s">
        <v>1096</v>
      </c>
      <c r="B729">
        <v>2475</v>
      </c>
      <c r="C729">
        <v>5</v>
      </c>
      <c r="D729" t="s">
        <v>1182</v>
      </c>
      <c r="E729" t="s">
        <v>275</v>
      </c>
      <c r="F729">
        <v>342</v>
      </c>
      <c r="G729">
        <v>56.42</v>
      </c>
      <c r="H729">
        <v>186.54</v>
      </c>
      <c r="I729">
        <v>47.07</v>
      </c>
      <c r="J729">
        <v>155.63</v>
      </c>
      <c r="K729">
        <v>8</v>
      </c>
      <c r="T729">
        <v>4</v>
      </c>
      <c r="U729">
        <v>3</v>
      </c>
      <c r="V729" t="s">
        <v>93</v>
      </c>
      <c r="W729">
        <v>186</v>
      </c>
      <c r="X729">
        <v>23</v>
      </c>
      <c r="Y729">
        <v>20</v>
      </c>
      <c r="Z729" t="s">
        <v>1183</v>
      </c>
      <c r="AA729" t="s">
        <v>1184</v>
      </c>
      <c r="AB729" t="s">
        <v>96</v>
      </c>
      <c r="AC729" t="s">
        <v>97</v>
      </c>
      <c r="AD729" t="s">
        <v>1099</v>
      </c>
      <c r="AG729" t="s">
        <v>1185</v>
      </c>
      <c r="AH729">
        <v>0</v>
      </c>
      <c r="AI729">
        <v>360</v>
      </c>
      <c r="AJ729">
        <v>30</v>
      </c>
      <c r="AK729">
        <v>392</v>
      </c>
      <c r="AL729">
        <v>1.1499999999999999</v>
      </c>
    </row>
    <row r="730" spans="1:38" x14ac:dyDescent="0.3">
      <c r="A730" t="s">
        <v>1096</v>
      </c>
      <c r="B730">
        <v>2475</v>
      </c>
      <c r="C730">
        <v>6</v>
      </c>
      <c r="D730" t="s">
        <v>1182</v>
      </c>
      <c r="E730" t="s">
        <v>275</v>
      </c>
      <c r="F730">
        <v>342</v>
      </c>
      <c r="G730">
        <v>72.489999999999995</v>
      </c>
      <c r="H730">
        <v>239.66</v>
      </c>
      <c r="I730">
        <v>61.66</v>
      </c>
      <c r="J730">
        <v>203.85</v>
      </c>
      <c r="K730">
        <v>2</v>
      </c>
      <c r="T730">
        <v>7</v>
      </c>
      <c r="U730">
        <v>4</v>
      </c>
      <c r="V730" t="s">
        <v>93</v>
      </c>
      <c r="W730">
        <v>239</v>
      </c>
      <c r="X730">
        <v>23</v>
      </c>
      <c r="Y730">
        <v>20</v>
      </c>
      <c r="Z730" t="s">
        <v>1183</v>
      </c>
      <c r="AA730" t="s">
        <v>1184</v>
      </c>
      <c r="AB730" t="s">
        <v>96</v>
      </c>
      <c r="AC730" t="s">
        <v>97</v>
      </c>
      <c r="AD730" t="s">
        <v>1099</v>
      </c>
      <c r="AG730" t="s">
        <v>1185</v>
      </c>
      <c r="AH730">
        <v>0</v>
      </c>
      <c r="AI730">
        <v>360</v>
      </c>
      <c r="AJ730">
        <v>30</v>
      </c>
      <c r="AK730">
        <v>392</v>
      </c>
      <c r="AL730">
        <v>1.1499999999999999</v>
      </c>
    </row>
    <row r="731" spans="1:38" x14ac:dyDescent="0.3">
      <c r="A731" t="s">
        <v>1096</v>
      </c>
      <c r="B731">
        <v>8267</v>
      </c>
      <c r="C731">
        <v>1</v>
      </c>
      <c r="D731" t="s">
        <v>1186</v>
      </c>
      <c r="E731" t="s">
        <v>1187</v>
      </c>
      <c r="F731">
        <v>140</v>
      </c>
      <c r="G731">
        <v>19.11</v>
      </c>
      <c r="H731">
        <v>63.18</v>
      </c>
      <c r="I731">
        <v>15.99</v>
      </c>
      <c r="J731">
        <v>52.86</v>
      </c>
      <c r="K731">
        <v>110</v>
      </c>
      <c r="T731">
        <v>3</v>
      </c>
      <c r="U731">
        <v>1</v>
      </c>
      <c r="V731" t="s">
        <v>93</v>
      </c>
      <c r="W731">
        <v>63</v>
      </c>
      <c r="X731">
        <v>5</v>
      </c>
      <c r="Y731">
        <v>5</v>
      </c>
      <c r="Z731" t="s">
        <v>1188</v>
      </c>
      <c r="AA731" t="s">
        <v>1189</v>
      </c>
      <c r="AB731" t="s">
        <v>96</v>
      </c>
      <c r="AC731" t="s">
        <v>97</v>
      </c>
      <c r="AD731" t="s">
        <v>1099</v>
      </c>
      <c r="AG731" t="s">
        <v>1190</v>
      </c>
      <c r="AH731">
        <v>0</v>
      </c>
      <c r="AI731">
        <v>118</v>
      </c>
      <c r="AJ731">
        <v>23</v>
      </c>
      <c r="AK731">
        <v>0</v>
      </c>
      <c r="AL731">
        <v>0</v>
      </c>
    </row>
    <row r="732" spans="1:38" x14ac:dyDescent="0.3">
      <c r="A732" t="s">
        <v>1096</v>
      </c>
      <c r="B732">
        <v>8267</v>
      </c>
      <c r="C732">
        <v>2</v>
      </c>
      <c r="D732" t="s">
        <v>1186</v>
      </c>
      <c r="E732" t="s">
        <v>1187</v>
      </c>
      <c r="F732">
        <v>140</v>
      </c>
      <c r="G732">
        <v>22.54</v>
      </c>
      <c r="H732">
        <v>74.540000000000006</v>
      </c>
      <c r="I732">
        <v>20.03</v>
      </c>
      <c r="J732">
        <v>66.23</v>
      </c>
      <c r="K732">
        <v>30</v>
      </c>
      <c r="T732">
        <v>3</v>
      </c>
      <c r="U732">
        <v>1</v>
      </c>
      <c r="V732" t="s">
        <v>93</v>
      </c>
      <c r="W732">
        <v>74</v>
      </c>
      <c r="X732">
        <v>5</v>
      </c>
      <c r="Y732">
        <v>5</v>
      </c>
      <c r="Z732" t="s">
        <v>1188</v>
      </c>
      <c r="AA732" t="s">
        <v>1189</v>
      </c>
      <c r="AB732" t="s">
        <v>96</v>
      </c>
      <c r="AC732" t="s">
        <v>97</v>
      </c>
      <c r="AD732" t="s">
        <v>1099</v>
      </c>
      <c r="AG732" t="s">
        <v>1190</v>
      </c>
      <c r="AH732">
        <v>0</v>
      </c>
      <c r="AI732">
        <v>118</v>
      </c>
      <c r="AJ732">
        <v>23</v>
      </c>
      <c r="AK732">
        <v>0</v>
      </c>
      <c r="AL732">
        <v>0</v>
      </c>
    </row>
    <row r="733" spans="1:38" x14ac:dyDescent="0.3">
      <c r="A733" t="s">
        <v>1096</v>
      </c>
      <c r="B733">
        <v>14782</v>
      </c>
      <c r="C733">
        <v>1</v>
      </c>
      <c r="D733" t="s">
        <v>1191</v>
      </c>
      <c r="E733" t="s">
        <v>1192</v>
      </c>
      <c r="F733">
        <v>112</v>
      </c>
      <c r="G733">
        <v>17.72</v>
      </c>
      <c r="H733">
        <v>58.6</v>
      </c>
      <c r="I733">
        <v>13.14</v>
      </c>
      <c r="J733">
        <v>43.45</v>
      </c>
      <c r="K733">
        <v>50</v>
      </c>
      <c r="T733">
        <v>2</v>
      </c>
      <c r="U733">
        <v>1</v>
      </c>
      <c r="V733" t="s">
        <v>338</v>
      </c>
      <c r="W733">
        <v>58</v>
      </c>
      <c r="X733">
        <v>6</v>
      </c>
      <c r="Y733">
        <v>5</v>
      </c>
      <c r="Z733" t="s">
        <v>1193</v>
      </c>
      <c r="AA733" t="s">
        <v>1194</v>
      </c>
      <c r="AB733" t="s">
        <v>96</v>
      </c>
      <c r="AC733" t="s">
        <v>97</v>
      </c>
      <c r="AD733" t="s">
        <v>1099</v>
      </c>
      <c r="AG733" t="s">
        <v>1195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1096</v>
      </c>
      <c r="B734">
        <v>14782</v>
      </c>
      <c r="C734">
        <v>2</v>
      </c>
      <c r="D734" t="s">
        <v>1191</v>
      </c>
      <c r="E734" t="s">
        <v>1192</v>
      </c>
      <c r="F734">
        <v>112</v>
      </c>
      <c r="G734">
        <v>18.91</v>
      </c>
      <c r="H734">
        <v>62.54</v>
      </c>
      <c r="I734">
        <v>15.96</v>
      </c>
      <c r="J734">
        <v>52.79</v>
      </c>
      <c r="K734">
        <v>40</v>
      </c>
      <c r="T734">
        <v>2</v>
      </c>
      <c r="U734">
        <v>1</v>
      </c>
      <c r="V734" t="s">
        <v>93</v>
      </c>
      <c r="W734" t="s">
        <v>522</v>
      </c>
      <c r="X734">
        <v>6</v>
      </c>
      <c r="Y734">
        <v>5</v>
      </c>
      <c r="Z734" t="s">
        <v>1193</v>
      </c>
      <c r="AA734" t="s">
        <v>1194</v>
      </c>
      <c r="AB734" t="s">
        <v>96</v>
      </c>
      <c r="AC734" t="s">
        <v>97</v>
      </c>
      <c r="AD734" t="s">
        <v>1099</v>
      </c>
      <c r="AG734" t="s">
        <v>1195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1096</v>
      </c>
      <c r="B735">
        <v>14782</v>
      </c>
      <c r="C735">
        <v>3</v>
      </c>
      <c r="D735" t="s">
        <v>1191</v>
      </c>
      <c r="E735" t="s">
        <v>1192</v>
      </c>
      <c r="F735">
        <v>112</v>
      </c>
      <c r="G735">
        <v>18.899999999999999</v>
      </c>
      <c r="H735">
        <v>62.51</v>
      </c>
      <c r="I735">
        <v>15.95</v>
      </c>
      <c r="J735">
        <v>52.76</v>
      </c>
      <c r="K735">
        <v>10</v>
      </c>
      <c r="T735">
        <v>2</v>
      </c>
      <c r="U735">
        <v>1</v>
      </c>
      <c r="V735" t="s">
        <v>93</v>
      </c>
      <c r="W735" t="s">
        <v>285</v>
      </c>
      <c r="X735">
        <v>6</v>
      </c>
      <c r="Y735">
        <v>5</v>
      </c>
      <c r="Z735" t="s">
        <v>1193</v>
      </c>
      <c r="AA735" t="s">
        <v>1194</v>
      </c>
      <c r="AB735" t="s">
        <v>96</v>
      </c>
      <c r="AC735" t="s">
        <v>97</v>
      </c>
      <c r="AD735" t="s">
        <v>1099</v>
      </c>
      <c r="AG735" t="s">
        <v>1195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1096</v>
      </c>
      <c r="B736">
        <v>14782</v>
      </c>
      <c r="C736">
        <v>4</v>
      </c>
      <c r="D736" t="s">
        <v>1191</v>
      </c>
      <c r="E736" t="s">
        <v>1192</v>
      </c>
      <c r="F736">
        <v>112</v>
      </c>
      <c r="G736">
        <v>22.86</v>
      </c>
      <c r="H736">
        <v>75.58</v>
      </c>
      <c r="I736">
        <v>17.87</v>
      </c>
      <c r="J736">
        <v>59.1</v>
      </c>
      <c r="K736">
        <v>12</v>
      </c>
      <c r="T736">
        <v>3</v>
      </c>
      <c r="U736">
        <v>1</v>
      </c>
      <c r="V736" t="s">
        <v>93</v>
      </c>
      <c r="W736">
        <v>75</v>
      </c>
      <c r="X736">
        <v>6</v>
      </c>
      <c r="Y736">
        <v>5</v>
      </c>
      <c r="Z736" t="s">
        <v>1193</v>
      </c>
      <c r="AA736" t="s">
        <v>1194</v>
      </c>
      <c r="AB736" t="s">
        <v>96</v>
      </c>
      <c r="AC736" t="s">
        <v>97</v>
      </c>
      <c r="AD736" t="s">
        <v>1099</v>
      </c>
      <c r="AG736" t="s">
        <v>1195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1096</v>
      </c>
      <c r="B737">
        <v>8234</v>
      </c>
      <c r="C737">
        <v>1</v>
      </c>
      <c r="D737" t="s">
        <v>810</v>
      </c>
      <c r="E737" t="s">
        <v>746</v>
      </c>
      <c r="F737">
        <v>270</v>
      </c>
      <c r="G737">
        <v>17.399999999999999</v>
      </c>
      <c r="H737">
        <v>57.54</v>
      </c>
      <c r="I737">
        <v>13.66</v>
      </c>
      <c r="J737">
        <v>45.18</v>
      </c>
      <c r="K737">
        <v>140</v>
      </c>
      <c r="T737">
        <v>2</v>
      </c>
      <c r="U737">
        <v>1</v>
      </c>
      <c r="V737" t="s">
        <v>93</v>
      </c>
      <c r="W737">
        <v>57</v>
      </c>
      <c r="X737">
        <v>5</v>
      </c>
      <c r="Y737">
        <v>5</v>
      </c>
      <c r="Z737" t="s">
        <v>1196</v>
      </c>
      <c r="AA737" t="s">
        <v>1197</v>
      </c>
      <c r="AB737" t="s">
        <v>96</v>
      </c>
      <c r="AC737" t="s">
        <v>97</v>
      </c>
      <c r="AD737" t="s">
        <v>1099</v>
      </c>
      <c r="AG737" t="s">
        <v>1198</v>
      </c>
      <c r="AH737">
        <v>0</v>
      </c>
      <c r="AI737">
        <v>140</v>
      </c>
      <c r="AJ737">
        <v>29</v>
      </c>
      <c r="AK737">
        <v>0</v>
      </c>
      <c r="AL737">
        <v>0</v>
      </c>
    </row>
    <row r="738" spans="1:38" x14ac:dyDescent="0.3">
      <c r="A738" t="s">
        <v>1096</v>
      </c>
      <c r="B738">
        <v>8234</v>
      </c>
      <c r="C738">
        <v>2</v>
      </c>
      <c r="D738" t="s">
        <v>810</v>
      </c>
      <c r="E738" t="s">
        <v>746</v>
      </c>
      <c r="F738">
        <v>270</v>
      </c>
      <c r="G738">
        <v>20.11</v>
      </c>
      <c r="H738">
        <v>66.510000000000005</v>
      </c>
      <c r="I738">
        <v>15.99</v>
      </c>
      <c r="J738">
        <v>52.89</v>
      </c>
      <c r="K738">
        <v>120</v>
      </c>
      <c r="T738">
        <v>3</v>
      </c>
      <c r="U738">
        <v>1</v>
      </c>
      <c r="V738" t="s">
        <v>93</v>
      </c>
      <c r="W738">
        <v>66</v>
      </c>
      <c r="X738">
        <v>5</v>
      </c>
      <c r="Y738">
        <v>5</v>
      </c>
      <c r="Z738" t="s">
        <v>1196</v>
      </c>
      <c r="AA738" t="s">
        <v>1197</v>
      </c>
      <c r="AB738" t="s">
        <v>96</v>
      </c>
      <c r="AC738" t="s">
        <v>97</v>
      </c>
      <c r="AD738" t="s">
        <v>1099</v>
      </c>
      <c r="AG738" t="s">
        <v>1198</v>
      </c>
      <c r="AH738">
        <v>0</v>
      </c>
      <c r="AI738">
        <v>140</v>
      </c>
      <c r="AJ738">
        <v>29</v>
      </c>
      <c r="AK738">
        <v>0</v>
      </c>
      <c r="AL738">
        <v>0</v>
      </c>
    </row>
    <row r="739" spans="1:38" x14ac:dyDescent="0.3">
      <c r="A739" t="s">
        <v>1096</v>
      </c>
      <c r="B739">
        <v>8234</v>
      </c>
      <c r="C739">
        <v>3</v>
      </c>
      <c r="D739" t="s">
        <v>810</v>
      </c>
      <c r="E739" t="s">
        <v>746</v>
      </c>
      <c r="F739">
        <v>270</v>
      </c>
      <c r="G739">
        <v>21.47</v>
      </c>
      <c r="H739">
        <v>70.98</v>
      </c>
      <c r="I739">
        <v>15.77</v>
      </c>
      <c r="J739">
        <v>52.14</v>
      </c>
      <c r="K739">
        <v>5</v>
      </c>
      <c r="T739">
        <v>2</v>
      </c>
      <c r="U739">
        <v>1</v>
      </c>
      <c r="V739" t="s">
        <v>338</v>
      </c>
      <c r="W739">
        <v>70</v>
      </c>
      <c r="X739">
        <v>5</v>
      </c>
      <c r="Y739">
        <v>5</v>
      </c>
      <c r="Z739" t="s">
        <v>1196</v>
      </c>
      <c r="AA739" t="s">
        <v>1197</v>
      </c>
      <c r="AB739" t="s">
        <v>96</v>
      </c>
      <c r="AC739" t="s">
        <v>97</v>
      </c>
      <c r="AD739" t="s">
        <v>1099</v>
      </c>
      <c r="AG739" t="s">
        <v>1198</v>
      </c>
      <c r="AH739">
        <v>0</v>
      </c>
      <c r="AI739">
        <v>140</v>
      </c>
      <c r="AJ739">
        <v>29</v>
      </c>
      <c r="AK739">
        <v>0</v>
      </c>
      <c r="AL739">
        <v>0</v>
      </c>
    </row>
    <row r="740" spans="1:38" x14ac:dyDescent="0.3">
      <c r="A740" t="s">
        <v>1096</v>
      </c>
      <c r="B740">
        <v>8234</v>
      </c>
      <c r="C740">
        <v>4</v>
      </c>
      <c r="D740" t="s">
        <v>810</v>
      </c>
      <c r="E740" t="s">
        <v>746</v>
      </c>
      <c r="F740">
        <v>270</v>
      </c>
      <c r="G740">
        <v>23.47</v>
      </c>
      <c r="H740">
        <v>77.599999999999994</v>
      </c>
      <c r="I740">
        <v>17.63</v>
      </c>
      <c r="J740">
        <v>58.29</v>
      </c>
      <c r="K740">
        <v>5</v>
      </c>
      <c r="T740">
        <v>3</v>
      </c>
      <c r="U740">
        <v>1</v>
      </c>
      <c r="V740" t="s">
        <v>93</v>
      </c>
      <c r="W740">
        <v>77</v>
      </c>
      <c r="X740">
        <v>5</v>
      </c>
      <c r="Y740">
        <v>5</v>
      </c>
      <c r="Z740" t="s">
        <v>1196</v>
      </c>
      <c r="AA740" t="s">
        <v>1197</v>
      </c>
      <c r="AB740" t="s">
        <v>96</v>
      </c>
      <c r="AC740" t="s">
        <v>97</v>
      </c>
      <c r="AD740" t="s">
        <v>1099</v>
      </c>
      <c r="AG740" t="s">
        <v>1198</v>
      </c>
      <c r="AH740">
        <v>0</v>
      </c>
      <c r="AI740">
        <v>140</v>
      </c>
      <c r="AJ740">
        <v>29</v>
      </c>
      <c r="AK740">
        <v>0</v>
      </c>
      <c r="AL740">
        <v>0</v>
      </c>
    </row>
    <row r="741" spans="1:38" x14ac:dyDescent="0.3">
      <c r="A741" t="s">
        <v>1096</v>
      </c>
      <c r="B741">
        <v>10366</v>
      </c>
      <c r="C741">
        <v>1</v>
      </c>
      <c r="D741" t="s">
        <v>745</v>
      </c>
      <c r="E741" t="s">
        <v>946</v>
      </c>
      <c r="F741">
        <v>120</v>
      </c>
      <c r="G741">
        <v>17.760000000000002</v>
      </c>
      <c r="H741">
        <v>58.73</v>
      </c>
      <c r="I741">
        <v>11.96</v>
      </c>
      <c r="J741">
        <v>39.54</v>
      </c>
      <c r="K741">
        <v>90</v>
      </c>
      <c r="T741">
        <v>2</v>
      </c>
      <c r="U741">
        <v>1</v>
      </c>
      <c r="V741" t="s">
        <v>93</v>
      </c>
      <c r="W741">
        <v>58</v>
      </c>
      <c r="X741">
        <v>6</v>
      </c>
      <c r="Y741">
        <v>6</v>
      </c>
      <c r="Z741" t="s">
        <v>1199</v>
      </c>
      <c r="AA741" t="s">
        <v>1200</v>
      </c>
      <c r="AB741" t="s">
        <v>96</v>
      </c>
      <c r="AC741" t="s">
        <v>97</v>
      </c>
      <c r="AD741" t="s">
        <v>1099</v>
      </c>
      <c r="AG741" t="s">
        <v>1201</v>
      </c>
      <c r="AH741">
        <v>0</v>
      </c>
      <c r="AI741">
        <v>172</v>
      </c>
      <c r="AJ741">
        <v>29</v>
      </c>
      <c r="AK741">
        <v>27</v>
      </c>
      <c r="AL741">
        <v>0.23</v>
      </c>
    </row>
    <row r="742" spans="1:38" x14ac:dyDescent="0.3">
      <c r="A742" t="s">
        <v>1096</v>
      </c>
      <c r="B742">
        <v>10366</v>
      </c>
      <c r="C742">
        <v>2</v>
      </c>
      <c r="D742" t="s">
        <v>745</v>
      </c>
      <c r="E742" t="s">
        <v>946</v>
      </c>
      <c r="F742">
        <v>120</v>
      </c>
      <c r="G742">
        <v>20.57</v>
      </c>
      <c r="H742">
        <v>68.03</v>
      </c>
      <c r="I742">
        <v>14.06</v>
      </c>
      <c r="J742">
        <v>46.5</v>
      </c>
      <c r="K742">
        <v>18</v>
      </c>
      <c r="T742">
        <v>2</v>
      </c>
      <c r="U742">
        <v>1</v>
      </c>
      <c r="V742" t="s">
        <v>93</v>
      </c>
      <c r="W742" t="s">
        <v>1047</v>
      </c>
      <c r="X742">
        <v>6</v>
      </c>
      <c r="Y742">
        <v>6</v>
      </c>
      <c r="Z742" t="s">
        <v>1199</v>
      </c>
      <c r="AA742" t="s">
        <v>1200</v>
      </c>
      <c r="AB742" t="s">
        <v>96</v>
      </c>
      <c r="AC742" t="s">
        <v>97</v>
      </c>
      <c r="AD742" t="s">
        <v>1099</v>
      </c>
      <c r="AG742" t="s">
        <v>1201</v>
      </c>
      <c r="AH742">
        <v>0</v>
      </c>
      <c r="AI742">
        <v>172</v>
      </c>
      <c r="AJ742">
        <v>29</v>
      </c>
      <c r="AK742">
        <v>27</v>
      </c>
      <c r="AL742">
        <v>0.23</v>
      </c>
    </row>
    <row r="743" spans="1:38" x14ac:dyDescent="0.3">
      <c r="A743" t="s">
        <v>1096</v>
      </c>
      <c r="B743">
        <v>10366</v>
      </c>
      <c r="C743">
        <v>3</v>
      </c>
      <c r="D743" t="s">
        <v>745</v>
      </c>
      <c r="E743" t="s">
        <v>946</v>
      </c>
      <c r="F743">
        <v>120</v>
      </c>
      <c r="G743">
        <v>21.05</v>
      </c>
      <c r="H743">
        <v>69.59</v>
      </c>
      <c r="I743">
        <v>14.44</v>
      </c>
      <c r="J743">
        <v>47.76</v>
      </c>
      <c r="K743">
        <v>6</v>
      </c>
      <c r="T743">
        <v>2</v>
      </c>
      <c r="U743">
        <v>1</v>
      </c>
      <c r="V743" t="s">
        <v>93</v>
      </c>
      <c r="W743" t="s">
        <v>108</v>
      </c>
      <c r="X743">
        <v>6</v>
      </c>
      <c r="Y743">
        <v>6</v>
      </c>
      <c r="Z743" t="s">
        <v>1199</v>
      </c>
      <c r="AA743" t="s">
        <v>1200</v>
      </c>
      <c r="AB743" t="s">
        <v>96</v>
      </c>
      <c r="AC743" t="s">
        <v>97</v>
      </c>
      <c r="AD743" t="s">
        <v>1099</v>
      </c>
      <c r="AG743" t="s">
        <v>1201</v>
      </c>
      <c r="AH743">
        <v>0</v>
      </c>
      <c r="AI743">
        <v>172</v>
      </c>
      <c r="AJ743">
        <v>29</v>
      </c>
      <c r="AK743">
        <v>27</v>
      </c>
      <c r="AL743">
        <v>0.23</v>
      </c>
    </row>
    <row r="744" spans="1:38" x14ac:dyDescent="0.3">
      <c r="A744" t="s">
        <v>1096</v>
      </c>
      <c r="B744">
        <v>10366</v>
      </c>
      <c r="C744">
        <v>4</v>
      </c>
      <c r="D744" t="s">
        <v>745</v>
      </c>
      <c r="E744" t="s">
        <v>946</v>
      </c>
      <c r="F744">
        <v>120</v>
      </c>
      <c r="G744">
        <v>21.27</v>
      </c>
      <c r="H744">
        <v>70.34</v>
      </c>
      <c r="I744">
        <v>14.58</v>
      </c>
      <c r="J744">
        <v>48.23</v>
      </c>
      <c r="K744">
        <v>6</v>
      </c>
      <c r="T744">
        <v>2</v>
      </c>
      <c r="U744">
        <v>1</v>
      </c>
      <c r="V744" t="s">
        <v>93</v>
      </c>
      <c r="W744" t="s">
        <v>985</v>
      </c>
      <c r="X744">
        <v>6</v>
      </c>
      <c r="Y744">
        <v>6</v>
      </c>
      <c r="Z744" t="s">
        <v>1199</v>
      </c>
      <c r="AA744" t="s">
        <v>1200</v>
      </c>
      <c r="AB744" t="s">
        <v>96</v>
      </c>
      <c r="AC744" t="s">
        <v>97</v>
      </c>
      <c r="AD744" t="s">
        <v>1099</v>
      </c>
      <c r="AG744" t="s">
        <v>1201</v>
      </c>
      <c r="AH744">
        <v>0</v>
      </c>
      <c r="AI744">
        <v>172</v>
      </c>
      <c r="AJ744">
        <v>29</v>
      </c>
      <c r="AK744">
        <v>27</v>
      </c>
      <c r="AL744">
        <v>0.23</v>
      </c>
    </row>
    <row r="745" spans="1:38" x14ac:dyDescent="0.3">
      <c r="A745" t="s">
        <v>1096</v>
      </c>
      <c r="B745">
        <v>2474</v>
      </c>
      <c r="C745">
        <v>1</v>
      </c>
      <c r="D745" t="s">
        <v>1202</v>
      </c>
      <c r="E745" t="s">
        <v>1017</v>
      </c>
      <c r="F745">
        <v>168</v>
      </c>
      <c r="G745">
        <v>16.47</v>
      </c>
      <c r="H745">
        <v>54.45</v>
      </c>
      <c r="I745">
        <v>12.51</v>
      </c>
      <c r="J745">
        <v>41.37</v>
      </c>
      <c r="K745">
        <v>42</v>
      </c>
      <c r="T745">
        <v>2</v>
      </c>
      <c r="U745">
        <v>1</v>
      </c>
      <c r="V745" t="s">
        <v>93</v>
      </c>
      <c r="W745">
        <v>54</v>
      </c>
      <c r="X745">
        <v>6</v>
      </c>
      <c r="Y745">
        <v>6</v>
      </c>
      <c r="Z745" t="s">
        <v>1203</v>
      </c>
      <c r="AA745" t="s">
        <v>1204</v>
      </c>
      <c r="AB745" t="s">
        <v>96</v>
      </c>
      <c r="AC745" t="s">
        <v>97</v>
      </c>
      <c r="AD745" t="s">
        <v>1099</v>
      </c>
      <c r="AG745" t="s">
        <v>1205</v>
      </c>
      <c r="AH745">
        <v>0</v>
      </c>
      <c r="AI745">
        <v>152</v>
      </c>
      <c r="AJ745">
        <v>28</v>
      </c>
      <c r="AK745">
        <v>50</v>
      </c>
      <c r="AL745">
        <v>0.3</v>
      </c>
    </row>
    <row r="746" spans="1:38" x14ac:dyDescent="0.3">
      <c r="A746" t="s">
        <v>1096</v>
      </c>
      <c r="B746">
        <v>2474</v>
      </c>
      <c r="C746">
        <v>2</v>
      </c>
      <c r="D746" t="s">
        <v>1202</v>
      </c>
      <c r="E746" t="s">
        <v>1017</v>
      </c>
      <c r="F746">
        <v>168</v>
      </c>
      <c r="G746">
        <v>19.68</v>
      </c>
      <c r="H746">
        <v>65.06</v>
      </c>
      <c r="I746">
        <v>15.25</v>
      </c>
      <c r="J746">
        <v>50.43</v>
      </c>
      <c r="K746">
        <v>6</v>
      </c>
      <c r="T746">
        <v>2</v>
      </c>
      <c r="U746">
        <v>1</v>
      </c>
      <c r="V746" t="s">
        <v>93</v>
      </c>
      <c r="W746">
        <v>65</v>
      </c>
      <c r="X746">
        <v>6</v>
      </c>
      <c r="Y746">
        <v>6</v>
      </c>
      <c r="Z746" t="s">
        <v>1203</v>
      </c>
      <c r="AA746" t="s">
        <v>1204</v>
      </c>
      <c r="AB746" t="s">
        <v>96</v>
      </c>
      <c r="AC746" t="s">
        <v>97</v>
      </c>
      <c r="AD746" t="s">
        <v>1099</v>
      </c>
      <c r="AG746" t="s">
        <v>1205</v>
      </c>
      <c r="AH746">
        <v>0</v>
      </c>
      <c r="AI746">
        <v>152</v>
      </c>
      <c r="AJ746">
        <v>28</v>
      </c>
      <c r="AK746">
        <v>50</v>
      </c>
      <c r="AL746">
        <v>0.3</v>
      </c>
    </row>
    <row r="747" spans="1:38" x14ac:dyDescent="0.3">
      <c r="A747" t="s">
        <v>1096</v>
      </c>
      <c r="B747">
        <v>2474</v>
      </c>
      <c r="C747">
        <v>3</v>
      </c>
      <c r="D747" t="s">
        <v>1202</v>
      </c>
      <c r="E747" t="s">
        <v>1017</v>
      </c>
      <c r="F747">
        <v>168</v>
      </c>
      <c r="G747">
        <v>21.91</v>
      </c>
      <c r="H747">
        <v>72.430000000000007</v>
      </c>
      <c r="I747">
        <v>17.149999999999999</v>
      </c>
      <c r="J747">
        <v>56.72</v>
      </c>
      <c r="K747">
        <v>114</v>
      </c>
      <c r="T747">
        <v>3</v>
      </c>
      <c r="U747">
        <v>1</v>
      </c>
      <c r="V747" t="s">
        <v>93</v>
      </c>
      <c r="W747">
        <v>72</v>
      </c>
      <c r="X747">
        <v>6</v>
      </c>
      <c r="Y747">
        <v>6</v>
      </c>
      <c r="Z747" t="s">
        <v>1203</v>
      </c>
      <c r="AA747" t="s">
        <v>1204</v>
      </c>
      <c r="AB747" t="s">
        <v>96</v>
      </c>
      <c r="AC747" t="s">
        <v>97</v>
      </c>
      <c r="AD747" t="s">
        <v>1099</v>
      </c>
      <c r="AG747" t="s">
        <v>1205</v>
      </c>
      <c r="AH747">
        <v>0</v>
      </c>
      <c r="AI747">
        <v>152</v>
      </c>
      <c r="AJ747">
        <v>28</v>
      </c>
      <c r="AK747">
        <v>50</v>
      </c>
      <c r="AL747">
        <v>0.3</v>
      </c>
    </row>
    <row r="748" spans="1:38" x14ac:dyDescent="0.3">
      <c r="A748" t="s">
        <v>1096</v>
      </c>
      <c r="B748">
        <v>2474</v>
      </c>
      <c r="C748">
        <v>4</v>
      </c>
      <c r="D748" t="s">
        <v>1202</v>
      </c>
      <c r="E748" t="s">
        <v>1017</v>
      </c>
      <c r="F748">
        <v>168</v>
      </c>
      <c r="G748">
        <v>23.02</v>
      </c>
      <c r="H748">
        <v>76.13</v>
      </c>
      <c r="I748">
        <v>18.11</v>
      </c>
      <c r="J748">
        <v>59.88</v>
      </c>
      <c r="K748">
        <v>6</v>
      </c>
      <c r="T748">
        <v>3</v>
      </c>
      <c r="U748">
        <v>1</v>
      </c>
      <c r="V748" t="s">
        <v>93</v>
      </c>
      <c r="W748">
        <v>76</v>
      </c>
      <c r="X748">
        <v>6</v>
      </c>
      <c r="Y748">
        <v>6</v>
      </c>
      <c r="Z748" t="s">
        <v>1203</v>
      </c>
      <c r="AA748" t="s">
        <v>1204</v>
      </c>
      <c r="AB748" t="s">
        <v>96</v>
      </c>
      <c r="AC748" t="s">
        <v>97</v>
      </c>
      <c r="AD748" t="s">
        <v>1099</v>
      </c>
      <c r="AG748" t="s">
        <v>1205</v>
      </c>
      <c r="AH748">
        <v>0</v>
      </c>
      <c r="AI748">
        <v>152</v>
      </c>
      <c r="AJ748">
        <v>28</v>
      </c>
      <c r="AK748">
        <v>50</v>
      </c>
      <c r="AL748">
        <v>0.3</v>
      </c>
    </row>
    <row r="749" spans="1:38" x14ac:dyDescent="0.3">
      <c r="A749" t="s">
        <v>1096</v>
      </c>
      <c r="B749">
        <v>8504</v>
      </c>
      <c r="C749">
        <v>1</v>
      </c>
      <c r="D749" t="s">
        <v>1206</v>
      </c>
      <c r="E749" t="s">
        <v>1207</v>
      </c>
      <c r="F749">
        <v>310</v>
      </c>
      <c r="G749">
        <v>18.64</v>
      </c>
      <c r="H749">
        <v>61.64</v>
      </c>
      <c r="I749">
        <v>15.1</v>
      </c>
      <c r="J749">
        <v>49.93</v>
      </c>
      <c r="K749">
        <v>290</v>
      </c>
      <c r="T749">
        <v>2</v>
      </c>
      <c r="U749">
        <v>1</v>
      </c>
      <c r="V749" t="s">
        <v>93</v>
      </c>
      <c r="W749">
        <v>61</v>
      </c>
      <c r="X749">
        <v>5</v>
      </c>
      <c r="Y749">
        <v>5</v>
      </c>
      <c r="Z749" t="s">
        <v>1208</v>
      </c>
      <c r="AA749" t="s">
        <v>1209</v>
      </c>
      <c r="AB749" t="s">
        <v>96</v>
      </c>
      <c r="AC749" t="s">
        <v>97</v>
      </c>
      <c r="AD749" t="s">
        <v>1099</v>
      </c>
      <c r="AG749" t="s">
        <v>1210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1096</v>
      </c>
      <c r="B750">
        <v>8504</v>
      </c>
      <c r="C750">
        <v>2</v>
      </c>
      <c r="D750" t="s">
        <v>1206</v>
      </c>
      <c r="E750" t="s">
        <v>1207</v>
      </c>
      <c r="F750">
        <v>310</v>
      </c>
      <c r="G750">
        <v>21.83</v>
      </c>
      <c r="H750">
        <v>72.19</v>
      </c>
      <c r="I750">
        <v>17.96</v>
      </c>
      <c r="J750">
        <v>59.4</v>
      </c>
      <c r="K750">
        <v>20</v>
      </c>
      <c r="T750">
        <v>3</v>
      </c>
      <c r="U750">
        <v>1</v>
      </c>
      <c r="V750" t="s">
        <v>93</v>
      </c>
      <c r="W750">
        <v>72</v>
      </c>
      <c r="X750">
        <v>5</v>
      </c>
      <c r="Y750">
        <v>5</v>
      </c>
      <c r="Z750" t="s">
        <v>1208</v>
      </c>
      <c r="AA750" t="s">
        <v>1209</v>
      </c>
      <c r="AB750" t="s">
        <v>96</v>
      </c>
      <c r="AC750" t="s">
        <v>97</v>
      </c>
      <c r="AD750" t="s">
        <v>1099</v>
      </c>
      <c r="AG750" t="s">
        <v>1210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1096</v>
      </c>
      <c r="B751">
        <v>135191</v>
      </c>
      <c r="C751">
        <v>1</v>
      </c>
      <c r="D751" t="s">
        <v>1211</v>
      </c>
      <c r="E751" t="s">
        <v>1212</v>
      </c>
      <c r="F751">
        <v>28</v>
      </c>
      <c r="G751">
        <v>16.38</v>
      </c>
      <c r="H751">
        <v>54.16</v>
      </c>
      <c r="I751">
        <v>13.36</v>
      </c>
      <c r="J751">
        <v>44.17</v>
      </c>
      <c r="K751">
        <v>3</v>
      </c>
      <c r="T751">
        <v>2</v>
      </c>
      <c r="U751">
        <v>1</v>
      </c>
      <c r="V751" t="s">
        <v>93</v>
      </c>
      <c r="W751">
        <v>54</v>
      </c>
      <c r="X751">
        <v>5</v>
      </c>
      <c r="Y751">
        <v>5</v>
      </c>
      <c r="Z751" t="s">
        <v>1213</v>
      </c>
      <c r="AA751" t="s">
        <v>1214</v>
      </c>
      <c r="AB751" t="s">
        <v>96</v>
      </c>
      <c r="AC751" t="s">
        <v>97</v>
      </c>
      <c r="AD751" t="s">
        <v>1099</v>
      </c>
      <c r="AG751" t="s">
        <v>1215</v>
      </c>
      <c r="AH751">
        <v>0</v>
      </c>
      <c r="AI751">
        <v>224</v>
      </c>
      <c r="AJ751">
        <v>49</v>
      </c>
      <c r="AK751">
        <v>28</v>
      </c>
      <c r="AL751">
        <v>1</v>
      </c>
    </row>
    <row r="752" spans="1:38" x14ac:dyDescent="0.3">
      <c r="A752" t="s">
        <v>1096</v>
      </c>
      <c r="B752">
        <v>135191</v>
      </c>
      <c r="C752">
        <v>2</v>
      </c>
      <c r="D752" t="s">
        <v>1211</v>
      </c>
      <c r="E752" t="s">
        <v>1212</v>
      </c>
      <c r="F752">
        <v>28</v>
      </c>
      <c r="G752">
        <v>16.61</v>
      </c>
      <c r="H752">
        <v>54.94</v>
      </c>
      <c r="I752">
        <v>13.56</v>
      </c>
      <c r="J752">
        <v>44.83</v>
      </c>
      <c r="K752">
        <v>1</v>
      </c>
      <c r="T752">
        <v>2</v>
      </c>
      <c r="U752">
        <v>1</v>
      </c>
      <c r="V752" t="s">
        <v>93</v>
      </c>
      <c r="W752">
        <v>54</v>
      </c>
      <c r="X752">
        <v>5</v>
      </c>
      <c r="Y752">
        <v>5</v>
      </c>
      <c r="Z752" t="s">
        <v>1213</v>
      </c>
      <c r="AA752" t="s">
        <v>1214</v>
      </c>
      <c r="AB752" t="s">
        <v>96</v>
      </c>
      <c r="AC752" t="s">
        <v>97</v>
      </c>
      <c r="AD752" t="s">
        <v>1099</v>
      </c>
      <c r="AG752" t="s">
        <v>1215</v>
      </c>
      <c r="AH752">
        <v>0</v>
      </c>
      <c r="AI752">
        <v>224</v>
      </c>
      <c r="AJ752">
        <v>49</v>
      </c>
      <c r="AK752">
        <v>28</v>
      </c>
      <c r="AL752">
        <v>1</v>
      </c>
    </row>
    <row r="753" spans="1:38" x14ac:dyDescent="0.3">
      <c r="A753" t="s">
        <v>1096</v>
      </c>
      <c r="B753">
        <v>135191</v>
      </c>
      <c r="C753">
        <v>3</v>
      </c>
      <c r="D753" t="s">
        <v>1211</v>
      </c>
      <c r="E753" t="s">
        <v>1212</v>
      </c>
      <c r="F753">
        <v>28</v>
      </c>
      <c r="G753">
        <v>17.559999999999999</v>
      </c>
      <c r="H753">
        <v>58.06</v>
      </c>
      <c r="I753">
        <v>14.35</v>
      </c>
      <c r="J753">
        <v>47.47</v>
      </c>
      <c r="K753">
        <v>4</v>
      </c>
      <c r="T753">
        <v>2</v>
      </c>
      <c r="U753">
        <v>1</v>
      </c>
      <c r="V753" t="s">
        <v>93</v>
      </c>
      <c r="W753" t="s">
        <v>720</v>
      </c>
      <c r="X753">
        <v>5</v>
      </c>
      <c r="Y753">
        <v>5</v>
      </c>
      <c r="Z753" t="s">
        <v>1213</v>
      </c>
      <c r="AA753" t="s">
        <v>1214</v>
      </c>
      <c r="AB753" t="s">
        <v>96</v>
      </c>
      <c r="AC753" t="s">
        <v>97</v>
      </c>
      <c r="AD753" t="s">
        <v>1099</v>
      </c>
      <c r="AG753" t="s">
        <v>1215</v>
      </c>
      <c r="AH753">
        <v>0</v>
      </c>
      <c r="AI753">
        <v>224</v>
      </c>
      <c r="AJ753">
        <v>49</v>
      </c>
      <c r="AK753">
        <v>28</v>
      </c>
      <c r="AL753">
        <v>1</v>
      </c>
    </row>
    <row r="754" spans="1:38" x14ac:dyDescent="0.3">
      <c r="A754" t="s">
        <v>1096</v>
      </c>
      <c r="B754">
        <v>135191</v>
      </c>
      <c r="C754">
        <v>4</v>
      </c>
      <c r="D754" t="s">
        <v>1211</v>
      </c>
      <c r="E754" t="s">
        <v>1212</v>
      </c>
      <c r="F754">
        <v>28</v>
      </c>
      <c r="G754">
        <v>17.75</v>
      </c>
      <c r="H754">
        <v>58.71</v>
      </c>
      <c r="I754">
        <v>14.67</v>
      </c>
      <c r="J754">
        <v>48.52</v>
      </c>
      <c r="K754">
        <v>4</v>
      </c>
      <c r="T754">
        <v>2</v>
      </c>
      <c r="U754">
        <v>1</v>
      </c>
      <c r="V754" t="s">
        <v>93</v>
      </c>
      <c r="W754" t="s">
        <v>327</v>
      </c>
      <c r="X754">
        <v>5</v>
      </c>
      <c r="Y754">
        <v>5</v>
      </c>
      <c r="Z754" t="s">
        <v>1213</v>
      </c>
      <c r="AA754" t="s">
        <v>1214</v>
      </c>
      <c r="AB754" t="s">
        <v>96</v>
      </c>
      <c r="AC754" t="s">
        <v>97</v>
      </c>
      <c r="AD754" t="s">
        <v>1099</v>
      </c>
      <c r="AG754" t="s">
        <v>1215</v>
      </c>
      <c r="AH754">
        <v>0</v>
      </c>
      <c r="AI754">
        <v>224</v>
      </c>
      <c r="AJ754">
        <v>49</v>
      </c>
      <c r="AK754">
        <v>28</v>
      </c>
      <c r="AL754">
        <v>1</v>
      </c>
    </row>
    <row r="755" spans="1:38" x14ac:dyDescent="0.3">
      <c r="A755" t="s">
        <v>1096</v>
      </c>
      <c r="B755">
        <v>135191</v>
      </c>
      <c r="C755">
        <v>5</v>
      </c>
      <c r="D755" t="s">
        <v>1211</v>
      </c>
      <c r="E755" t="s">
        <v>1212</v>
      </c>
      <c r="F755">
        <v>28</v>
      </c>
      <c r="G755">
        <v>17.920000000000002</v>
      </c>
      <c r="H755">
        <v>59.27</v>
      </c>
      <c r="I755">
        <v>14.8</v>
      </c>
      <c r="J755">
        <v>48.94</v>
      </c>
      <c r="K755">
        <v>8</v>
      </c>
      <c r="T755">
        <v>2</v>
      </c>
      <c r="U755">
        <v>1</v>
      </c>
      <c r="V755" t="s">
        <v>93</v>
      </c>
      <c r="W755" t="s">
        <v>249</v>
      </c>
      <c r="X755">
        <v>5</v>
      </c>
      <c r="Y755">
        <v>5</v>
      </c>
      <c r="Z755" t="s">
        <v>1213</v>
      </c>
      <c r="AA755" t="s">
        <v>1214</v>
      </c>
      <c r="AB755" t="s">
        <v>96</v>
      </c>
      <c r="AC755" t="s">
        <v>97</v>
      </c>
      <c r="AD755" t="s">
        <v>1099</v>
      </c>
      <c r="AG755" t="s">
        <v>1215</v>
      </c>
      <c r="AH755">
        <v>0</v>
      </c>
      <c r="AI755">
        <v>224</v>
      </c>
      <c r="AJ755">
        <v>49</v>
      </c>
      <c r="AK755">
        <v>28</v>
      </c>
      <c r="AL755">
        <v>1</v>
      </c>
    </row>
    <row r="756" spans="1:38" x14ac:dyDescent="0.3">
      <c r="A756" t="s">
        <v>1096</v>
      </c>
      <c r="B756">
        <v>135191</v>
      </c>
      <c r="C756">
        <v>6</v>
      </c>
      <c r="D756" t="s">
        <v>1211</v>
      </c>
      <c r="E756" t="s">
        <v>1212</v>
      </c>
      <c r="F756">
        <v>28</v>
      </c>
      <c r="G756">
        <v>18.940000000000001</v>
      </c>
      <c r="H756">
        <v>62.62</v>
      </c>
      <c r="I756">
        <v>15.56</v>
      </c>
      <c r="J756">
        <v>51.45</v>
      </c>
      <c r="K756">
        <v>4</v>
      </c>
      <c r="T756">
        <v>2</v>
      </c>
      <c r="U756">
        <v>1</v>
      </c>
      <c r="V756" t="s">
        <v>93</v>
      </c>
      <c r="W756">
        <v>62</v>
      </c>
      <c r="X756">
        <v>5</v>
      </c>
      <c r="Y756">
        <v>5</v>
      </c>
      <c r="Z756" t="s">
        <v>1213</v>
      </c>
      <c r="AA756" t="s">
        <v>1214</v>
      </c>
      <c r="AB756" t="s">
        <v>96</v>
      </c>
      <c r="AC756" t="s">
        <v>97</v>
      </c>
      <c r="AD756" t="s">
        <v>1099</v>
      </c>
      <c r="AG756" t="s">
        <v>1215</v>
      </c>
      <c r="AH756">
        <v>0</v>
      </c>
      <c r="AI756">
        <v>224</v>
      </c>
      <c r="AJ756">
        <v>49</v>
      </c>
      <c r="AK756">
        <v>28</v>
      </c>
      <c r="AL756">
        <v>1</v>
      </c>
    </row>
    <row r="757" spans="1:38" x14ac:dyDescent="0.3">
      <c r="A757" t="s">
        <v>1096</v>
      </c>
      <c r="B757">
        <v>135191</v>
      </c>
      <c r="C757">
        <v>7</v>
      </c>
      <c r="D757" t="s">
        <v>1211</v>
      </c>
      <c r="E757" t="s">
        <v>1212</v>
      </c>
      <c r="F757">
        <v>28</v>
      </c>
      <c r="G757">
        <v>20.079999999999998</v>
      </c>
      <c r="H757">
        <v>66.41</v>
      </c>
      <c r="I757">
        <v>16.61</v>
      </c>
      <c r="J757">
        <v>54.94</v>
      </c>
      <c r="K757">
        <v>4</v>
      </c>
      <c r="T757">
        <v>3</v>
      </c>
      <c r="U757">
        <v>1</v>
      </c>
      <c r="V757" t="s">
        <v>93</v>
      </c>
      <c r="W757">
        <v>66</v>
      </c>
      <c r="X757">
        <v>5</v>
      </c>
      <c r="Y757">
        <v>5</v>
      </c>
      <c r="Z757" t="s">
        <v>1213</v>
      </c>
      <c r="AA757" t="s">
        <v>1214</v>
      </c>
      <c r="AB757" t="s">
        <v>96</v>
      </c>
      <c r="AC757" t="s">
        <v>97</v>
      </c>
      <c r="AD757" t="s">
        <v>1099</v>
      </c>
      <c r="AG757" t="s">
        <v>1215</v>
      </c>
      <c r="AH757">
        <v>0</v>
      </c>
      <c r="AI757">
        <v>224</v>
      </c>
      <c r="AJ757">
        <v>49</v>
      </c>
      <c r="AK757">
        <v>28</v>
      </c>
      <c r="AL757">
        <v>1</v>
      </c>
    </row>
    <row r="758" spans="1:38" x14ac:dyDescent="0.3">
      <c r="A758" t="s">
        <v>1096</v>
      </c>
      <c r="B758">
        <v>2471</v>
      </c>
      <c r="C758">
        <v>1</v>
      </c>
      <c r="D758" t="s">
        <v>1216</v>
      </c>
      <c r="E758" t="s">
        <v>1217</v>
      </c>
      <c r="F758">
        <v>542</v>
      </c>
      <c r="G758">
        <v>31.99</v>
      </c>
      <c r="H758">
        <v>105.78</v>
      </c>
      <c r="I758">
        <v>25.61</v>
      </c>
      <c r="J758">
        <v>84.69</v>
      </c>
      <c r="K758">
        <v>432</v>
      </c>
      <c r="T758">
        <v>3</v>
      </c>
      <c r="U758">
        <v>2</v>
      </c>
      <c r="V758" t="s">
        <v>93</v>
      </c>
      <c r="W758">
        <v>105</v>
      </c>
      <c r="X758">
        <v>20</v>
      </c>
      <c r="Y758">
        <v>11</v>
      </c>
      <c r="Z758" t="s">
        <v>1218</v>
      </c>
      <c r="AA758" t="s">
        <v>1219</v>
      </c>
      <c r="AB758" t="s">
        <v>96</v>
      </c>
      <c r="AC758" t="s">
        <v>97</v>
      </c>
      <c r="AD758" t="s">
        <v>1099</v>
      </c>
      <c r="AG758" t="s">
        <v>1220</v>
      </c>
      <c r="AH758">
        <v>0</v>
      </c>
      <c r="AI758">
        <v>299</v>
      </c>
      <c r="AJ758">
        <v>22</v>
      </c>
      <c r="AK758">
        <v>273</v>
      </c>
      <c r="AL758">
        <v>0.5</v>
      </c>
    </row>
    <row r="759" spans="1:38" x14ac:dyDescent="0.3">
      <c r="A759" t="s">
        <v>1096</v>
      </c>
      <c r="B759">
        <v>2471</v>
      </c>
      <c r="C759">
        <v>2</v>
      </c>
      <c r="D759" t="s">
        <v>1216</v>
      </c>
      <c r="E759" t="s">
        <v>1217</v>
      </c>
      <c r="F759">
        <v>542</v>
      </c>
      <c r="G759">
        <v>32.99</v>
      </c>
      <c r="H759">
        <v>109.09</v>
      </c>
      <c r="I759">
        <v>25.55</v>
      </c>
      <c r="J759">
        <v>84.48</v>
      </c>
      <c r="K759">
        <v>110</v>
      </c>
      <c r="T759">
        <v>3</v>
      </c>
      <c r="U759">
        <v>1</v>
      </c>
      <c r="V759" t="s">
        <v>138</v>
      </c>
      <c r="W759">
        <v>109</v>
      </c>
      <c r="X759">
        <v>20</v>
      </c>
      <c r="Y759">
        <v>11</v>
      </c>
      <c r="Z759" t="s">
        <v>1218</v>
      </c>
      <c r="AA759" t="s">
        <v>1219</v>
      </c>
      <c r="AB759" t="s">
        <v>96</v>
      </c>
      <c r="AC759" t="s">
        <v>97</v>
      </c>
      <c r="AD759" t="s">
        <v>1099</v>
      </c>
      <c r="AG759" t="s">
        <v>1220</v>
      </c>
      <c r="AH759">
        <v>0</v>
      </c>
      <c r="AI759">
        <v>299</v>
      </c>
      <c r="AJ759">
        <v>22</v>
      </c>
      <c r="AK759">
        <v>273</v>
      </c>
      <c r="AL759">
        <v>0.5</v>
      </c>
    </row>
    <row r="760" spans="1:38" x14ac:dyDescent="0.3">
      <c r="A760" t="s">
        <v>1096</v>
      </c>
      <c r="B760">
        <v>109437</v>
      </c>
      <c r="C760">
        <v>1</v>
      </c>
      <c r="D760" t="s">
        <v>582</v>
      </c>
      <c r="E760" t="s">
        <v>1221</v>
      </c>
      <c r="F760">
        <v>75</v>
      </c>
      <c r="G760">
        <v>32.51</v>
      </c>
      <c r="H760">
        <v>107.5</v>
      </c>
      <c r="I760">
        <v>25.51</v>
      </c>
      <c r="J760">
        <v>84.36</v>
      </c>
      <c r="K760">
        <v>75</v>
      </c>
      <c r="T760">
        <v>3</v>
      </c>
      <c r="U760">
        <v>2</v>
      </c>
      <c r="V760" t="s">
        <v>338</v>
      </c>
      <c r="W760">
        <v>107</v>
      </c>
      <c r="X760">
        <v>21</v>
      </c>
      <c r="Y760">
        <v>18</v>
      </c>
      <c r="Z760" t="s">
        <v>1222</v>
      </c>
      <c r="AA760" t="s">
        <v>1223</v>
      </c>
      <c r="AB760" t="s">
        <v>96</v>
      </c>
      <c r="AC760" t="s">
        <v>97</v>
      </c>
      <c r="AD760" t="s">
        <v>1099</v>
      </c>
      <c r="AG760" t="s">
        <v>1224</v>
      </c>
      <c r="AH760">
        <v>0</v>
      </c>
      <c r="AI760">
        <v>299</v>
      </c>
      <c r="AJ760">
        <v>22</v>
      </c>
      <c r="AK760">
        <v>78</v>
      </c>
      <c r="AL760">
        <v>1.04</v>
      </c>
    </row>
    <row r="761" spans="1:38" x14ac:dyDescent="0.3">
      <c r="A761" t="s">
        <v>1096</v>
      </c>
      <c r="B761">
        <v>2477</v>
      </c>
      <c r="C761">
        <v>1</v>
      </c>
      <c r="D761" t="s">
        <v>786</v>
      </c>
      <c r="E761" t="s">
        <v>1225</v>
      </c>
      <c r="F761">
        <v>874</v>
      </c>
      <c r="G761">
        <v>26.26</v>
      </c>
      <c r="H761">
        <v>86.84</v>
      </c>
      <c r="I761">
        <v>21.52</v>
      </c>
      <c r="J761">
        <v>71.17</v>
      </c>
      <c r="K761">
        <v>234</v>
      </c>
      <c r="T761">
        <v>3</v>
      </c>
      <c r="U761">
        <v>1</v>
      </c>
      <c r="V761" t="s">
        <v>93</v>
      </c>
      <c r="W761" t="s">
        <v>1038</v>
      </c>
      <c r="X761">
        <v>20</v>
      </c>
      <c r="Y761">
        <v>17</v>
      </c>
      <c r="Z761" t="s">
        <v>1226</v>
      </c>
      <c r="AA761" t="s">
        <v>1227</v>
      </c>
      <c r="AB761" t="s">
        <v>96</v>
      </c>
      <c r="AC761" t="s">
        <v>97</v>
      </c>
      <c r="AD761" t="s">
        <v>1099</v>
      </c>
      <c r="AG761" t="s">
        <v>1228</v>
      </c>
      <c r="AH761">
        <v>0</v>
      </c>
      <c r="AI761">
        <v>197</v>
      </c>
      <c r="AJ761">
        <v>0</v>
      </c>
      <c r="AK761">
        <v>579</v>
      </c>
      <c r="AL761">
        <v>0.66</v>
      </c>
    </row>
    <row r="762" spans="1:38" x14ac:dyDescent="0.3">
      <c r="A762" t="s">
        <v>1096</v>
      </c>
      <c r="B762">
        <v>2477</v>
      </c>
      <c r="C762">
        <v>2</v>
      </c>
      <c r="D762" t="s">
        <v>786</v>
      </c>
      <c r="E762" t="s">
        <v>1225</v>
      </c>
      <c r="F762">
        <v>874</v>
      </c>
      <c r="G762">
        <v>26.26</v>
      </c>
      <c r="H762">
        <v>86.84</v>
      </c>
      <c r="I762">
        <v>21.52</v>
      </c>
      <c r="J762">
        <v>71.17</v>
      </c>
      <c r="K762">
        <v>3</v>
      </c>
      <c r="T762">
        <v>3</v>
      </c>
      <c r="U762">
        <v>2</v>
      </c>
      <c r="V762" t="s">
        <v>93</v>
      </c>
      <c r="W762" t="s">
        <v>1229</v>
      </c>
      <c r="X762">
        <v>20</v>
      </c>
      <c r="Y762">
        <v>17</v>
      </c>
      <c r="Z762" t="s">
        <v>1226</v>
      </c>
      <c r="AA762" t="s">
        <v>1227</v>
      </c>
      <c r="AB762" t="s">
        <v>96</v>
      </c>
      <c r="AC762" t="s">
        <v>97</v>
      </c>
      <c r="AD762" t="s">
        <v>1099</v>
      </c>
      <c r="AG762" t="s">
        <v>1228</v>
      </c>
      <c r="AH762">
        <v>0</v>
      </c>
      <c r="AI762">
        <v>197</v>
      </c>
      <c r="AJ762">
        <v>0</v>
      </c>
      <c r="AK762">
        <v>579</v>
      </c>
      <c r="AL762">
        <v>0.66</v>
      </c>
    </row>
    <row r="763" spans="1:38" x14ac:dyDescent="0.3">
      <c r="A763" t="s">
        <v>1096</v>
      </c>
      <c r="B763">
        <v>2477</v>
      </c>
      <c r="C763">
        <v>3</v>
      </c>
      <c r="D763" t="s">
        <v>786</v>
      </c>
      <c r="E763" t="s">
        <v>1225</v>
      </c>
      <c r="F763">
        <v>874</v>
      </c>
      <c r="G763">
        <v>31.35</v>
      </c>
      <c r="H763">
        <v>103.64</v>
      </c>
      <c r="I763">
        <v>25.69</v>
      </c>
      <c r="J763">
        <v>84.94</v>
      </c>
      <c r="K763">
        <v>517</v>
      </c>
      <c r="T763">
        <v>3</v>
      </c>
      <c r="U763">
        <v>2</v>
      </c>
      <c r="V763" t="s">
        <v>93</v>
      </c>
      <c r="W763">
        <v>103</v>
      </c>
      <c r="X763">
        <v>20</v>
      </c>
      <c r="Y763">
        <v>17</v>
      </c>
      <c r="Z763" t="s">
        <v>1226</v>
      </c>
      <c r="AA763" t="s">
        <v>1227</v>
      </c>
      <c r="AB763" t="s">
        <v>96</v>
      </c>
      <c r="AC763" t="s">
        <v>97</v>
      </c>
      <c r="AD763" t="s">
        <v>1099</v>
      </c>
      <c r="AG763" t="s">
        <v>1228</v>
      </c>
      <c r="AH763">
        <v>0</v>
      </c>
      <c r="AI763">
        <v>197</v>
      </c>
      <c r="AJ763">
        <v>0</v>
      </c>
      <c r="AK763">
        <v>579</v>
      </c>
      <c r="AL763">
        <v>0.66</v>
      </c>
    </row>
    <row r="764" spans="1:38" x14ac:dyDescent="0.3">
      <c r="A764" t="s">
        <v>1096</v>
      </c>
      <c r="B764">
        <v>2477</v>
      </c>
      <c r="C764">
        <v>4</v>
      </c>
      <c r="D764" t="s">
        <v>786</v>
      </c>
      <c r="E764" t="s">
        <v>1225</v>
      </c>
      <c r="F764">
        <v>874</v>
      </c>
      <c r="G764">
        <v>47.87</v>
      </c>
      <c r="H764">
        <v>158.28</v>
      </c>
      <c r="I764">
        <v>39.24</v>
      </c>
      <c r="J764">
        <v>129.72999999999999</v>
      </c>
      <c r="K764">
        <v>120</v>
      </c>
      <c r="T764">
        <v>4</v>
      </c>
      <c r="U764">
        <v>2</v>
      </c>
      <c r="V764" t="s">
        <v>93</v>
      </c>
      <c r="W764">
        <v>158</v>
      </c>
      <c r="X764">
        <v>20</v>
      </c>
      <c r="Y764">
        <v>17</v>
      </c>
      <c r="Z764" t="s">
        <v>1226</v>
      </c>
      <c r="AA764" t="s">
        <v>1227</v>
      </c>
      <c r="AB764" t="s">
        <v>96</v>
      </c>
      <c r="AC764" t="s">
        <v>97</v>
      </c>
      <c r="AD764" t="s">
        <v>1099</v>
      </c>
      <c r="AG764" t="s">
        <v>1228</v>
      </c>
      <c r="AH764">
        <v>0</v>
      </c>
      <c r="AI764">
        <v>197</v>
      </c>
      <c r="AJ764">
        <v>0</v>
      </c>
      <c r="AK764">
        <v>579</v>
      </c>
      <c r="AL764">
        <v>0.66</v>
      </c>
    </row>
    <row r="765" spans="1:38" x14ac:dyDescent="0.3">
      <c r="A765" t="s">
        <v>1096</v>
      </c>
      <c r="B765">
        <v>2480</v>
      </c>
      <c r="C765">
        <v>1</v>
      </c>
      <c r="D765" t="s">
        <v>1230</v>
      </c>
      <c r="E765" t="s">
        <v>1231</v>
      </c>
      <c r="F765">
        <v>919</v>
      </c>
      <c r="G765">
        <v>22.62</v>
      </c>
      <c r="H765">
        <v>74.790000000000006</v>
      </c>
      <c r="I765">
        <v>17.96</v>
      </c>
      <c r="J765">
        <v>59.4</v>
      </c>
      <c r="K765">
        <v>375</v>
      </c>
      <c r="T765">
        <v>3</v>
      </c>
      <c r="U765">
        <v>1</v>
      </c>
      <c r="V765" t="s">
        <v>138</v>
      </c>
      <c r="W765">
        <v>74</v>
      </c>
      <c r="X765">
        <v>25</v>
      </c>
      <c r="Y765">
        <v>17</v>
      </c>
      <c r="Z765" t="s">
        <v>1232</v>
      </c>
      <c r="AA765" t="s">
        <v>1233</v>
      </c>
      <c r="AB765" t="s">
        <v>96</v>
      </c>
      <c r="AC765" t="s">
        <v>97</v>
      </c>
      <c r="AD765" t="s">
        <v>1099</v>
      </c>
      <c r="AG765" t="s">
        <v>1234</v>
      </c>
      <c r="AH765">
        <v>0</v>
      </c>
      <c r="AI765">
        <v>296</v>
      </c>
      <c r="AJ765">
        <v>19</v>
      </c>
      <c r="AK765">
        <v>937</v>
      </c>
      <c r="AL765">
        <v>1.02</v>
      </c>
    </row>
    <row r="766" spans="1:38" x14ac:dyDescent="0.3">
      <c r="A766" t="s">
        <v>1096</v>
      </c>
      <c r="B766">
        <v>2480</v>
      </c>
      <c r="C766">
        <v>2</v>
      </c>
      <c r="D766" t="s">
        <v>1230</v>
      </c>
      <c r="E766" t="s">
        <v>1231</v>
      </c>
      <c r="F766">
        <v>919</v>
      </c>
      <c r="G766">
        <v>22.7</v>
      </c>
      <c r="H766">
        <v>75.05</v>
      </c>
      <c r="I766">
        <v>18.03</v>
      </c>
      <c r="J766">
        <v>59.61</v>
      </c>
      <c r="K766">
        <v>25</v>
      </c>
      <c r="T766">
        <v>3</v>
      </c>
      <c r="U766">
        <v>1</v>
      </c>
      <c r="V766" t="s">
        <v>138</v>
      </c>
      <c r="W766" t="s">
        <v>1235</v>
      </c>
      <c r="X766">
        <v>25</v>
      </c>
      <c r="Y766">
        <v>17</v>
      </c>
      <c r="Z766" t="s">
        <v>1232</v>
      </c>
      <c r="AA766" t="s">
        <v>1233</v>
      </c>
      <c r="AB766" t="s">
        <v>96</v>
      </c>
      <c r="AC766" t="s">
        <v>97</v>
      </c>
      <c r="AD766" t="s">
        <v>1099</v>
      </c>
      <c r="AG766" t="s">
        <v>1234</v>
      </c>
      <c r="AH766">
        <v>0</v>
      </c>
      <c r="AI766">
        <v>296</v>
      </c>
      <c r="AJ766">
        <v>19</v>
      </c>
      <c r="AK766">
        <v>937</v>
      </c>
      <c r="AL766">
        <v>1.02</v>
      </c>
    </row>
    <row r="767" spans="1:38" x14ac:dyDescent="0.3">
      <c r="A767" t="s">
        <v>1096</v>
      </c>
      <c r="B767">
        <v>2480</v>
      </c>
      <c r="C767">
        <v>3</v>
      </c>
      <c r="D767" t="s">
        <v>1230</v>
      </c>
      <c r="E767" t="s">
        <v>1231</v>
      </c>
      <c r="F767">
        <v>919</v>
      </c>
      <c r="G767">
        <v>32.04</v>
      </c>
      <c r="H767">
        <v>105.94</v>
      </c>
      <c r="I767">
        <v>25.45</v>
      </c>
      <c r="J767">
        <v>84.14</v>
      </c>
      <c r="K767">
        <v>25</v>
      </c>
      <c r="T767">
        <v>3</v>
      </c>
      <c r="U767">
        <v>2</v>
      </c>
      <c r="V767" t="s">
        <v>93</v>
      </c>
      <c r="W767" t="s">
        <v>860</v>
      </c>
      <c r="X767">
        <v>25</v>
      </c>
      <c r="Y767">
        <v>17</v>
      </c>
      <c r="Z767" t="s">
        <v>1232</v>
      </c>
      <c r="AA767" t="s">
        <v>1233</v>
      </c>
      <c r="AB767" t="s">
        <v>96</v>
      </c>
      <c r="AC767" t="s">
        <v>97</v>
      </c>
      <c r="AD767" t="s">
        <v>1099</v>
      </c>
      <c r="AG767" t="s">
        <v>1234</v>
      </c>
      <c r="AH767">
        <v>0</v>
      </c>
      <c r="AI767">
        <v>296</v>
      </c>
      <c r="AJ767">
        <v>19</v>
      </c>
      <c r="AK767">
        <v>937</v>
      </c>
      <c r="AL767">
        <v>1.02</v>
      </c>
    </row>
    <row r="768" spans="1:38" x14ac:dyDescent="0.3">
      <c r="A768" t="s">
        <v>1096</v>
      </c>
      <c r="B768">
        <v>2480</v>
      </c>
      <c r="C768">
        <v>4</v>
      </c>
      <c r="D768" t="s">
        <v>1230</v>
      </c>
      <c r="E768" t="s">
        <v>1231</v>
      </c>
      <c r="F768">
        <v>919</v>
      </c>
      <c r="G768">
        <v>32.21</v>
      </c>
      <c r="H768">
        <v>106.51</v>
      </c>
      <c r="I768">
        <v>25.59</v>
      </c>
      <c r="J768">
        <v>84.6</v>
      </c>
      <c r="K768">
        <v>394</v>
      </c>
      <c r="T768">
        <v>3</v>
      </c>
      <c r="U768">
        <v>2</v>
      </c>
      <c r="V768" t="s">
        <v>93</v>
      </c>
      <c r="W768">
        <v>106</v>
      </c>
      <c r="X768">
        <v>25</v>
      </c>
      <c r="Y768">
        <v>17</v>
      </c>
      <c r="Z768" t="s">
        <v>1232</v>
      </c>
      <c r="AA768" t="s">
        <v>1233</v>
      </c>
      <c r="AB768" t="s">
        <v>96</v>
      </c>
      <c r="AC768" t="s">
        <v>97</v>
      </c>
      <c r="AD768" t="s">
        <v>1099</v>
      </c>
      <c r="AG768" t="s">
        <v>1234</v>
      </c>
      <c r="AH768">
        <v>0</v>
      </c>
      <c r="AI768">
        <v>296</v>
      </c>
      <c r="AJ768">
        <v>19</v>
      </c>
      <c r="AK768">
        <v>937</v>
      </c>
      <c r="AL768">
        <v>1.02</v>
      </c>
    </row>
    <row r="769" spans="1:38" x14ac:dyDescent="0.3">
      <c r="A769" t="s">
        <v>1096</v>
      </c>
      <c r="B769">
        <v>2480</v>
      </c>
      <c r="C769">
        <v>5</v>
      </c>
      <c r="D769" t="s">
        <v>1230</v>
      </c>
      <c r="E769" t="s">
        <v>1231</v>
      </c>
      <c r="F769">
        <v>919</v>
      </c>
      <c r="G769">
        <v>50.61</v>
      </c>
      <c r="H769">
        <v>167.33</v>
      </c>
      <c r="I769">
        <v>40.200000000000003</v>
      </c>
      <c r="J769">
        <v>132.9</v>
      </c>
      <c r="K769">
        <v>100</v>
      </c>
      <c r="T769">
        <v>4</v>
      </c>
      <c r="U769">
        <v>2</v>
      </c>
      <c r="V769" t="s">
        <v>93</v>
      </c>
      <c r="W769">
        <v>167</v>
      </c>
      <c r="X769">
        <v>25</v>
      </c>
      <c r="Y769">
        <v>17</v>
      </c>
      <c r="Z769" t="s">
        <v>1232</v>
      </c>
      <c r="AA769" t="s">
        <v>1233</v>
      </c>
      <c r="AB769" t="s">
        <v>96</v>
      </c>
      <c r="AC769" t="s">
        <v>97</v>
      </c>
      <c r="AD769" t="s">
        <v>1099</v>
      </c>
      <c r="AG769" t="s">
        <v>1234</v>
      </c>
      <c r="AH769">
        <v>0</v>
      </c>
      <c r="AI769">
        <v>296</v>
      </c>
      <c r="AJ769">
        <v>19</v>
      </c>
      <c r="AK769">
        <v>937</v>
      </c>
      <c r="AL769">
        <v>1.02</v>
      </c>
    </row>
    <row r="770" spans="1:38" x14ac:dyDescent="0.3">
      <c r="A770" t="s">
        <v>1096</v>
      </c>
      <c r="B770">
        <v>8355</v>
      </c>
      <c r="C770">
        <v>1</v>
      </c>
      <c r="D770" t="s">
        <v>841</v>
      </c>
      <c r="E770" t="s">
        <v>763</v>
      </c>
      <c r="F770">
        <v>285</v>
      </c>
      <c r="G770">
        <v>19.34</v>
      </c>
      <c r="H770">
        <v>63.94</v>
      </c>
      <c r="I770">
        <v>16.11</v>
      </c>
      <c r="J770">
        <v>53.28</v>
      </c>
      <c r="K770">
        <v>80</v>
      </c>
      <c r="T770">
        <v>3</v>
      </c>
      <c r="U770">
        <v>1</v>
      </c>
      <c r="V770" t="s">
        <v>93</v>
      </c>
      <c r="W770">
        <v>63</v>
      </c>
      <c r="X770">
        <v>5</v>
      </c>
      <c r="Y770">
        <v>5</v>
      </c>
      <c r="Z770" t="s">
        <v>1236</v>
      </c>
      <c r="AA770" t="s">
        <v>1237</v>
      </c>
      <c r="AB770" t="s">
        <v>96</v>
      </c>
      <c r="AC770" t="s">
        <v>97</v>
      </c>
      <c r="AD770" t="s">
        <v>1099</v>
      </c>
      <c r="AG770" t="s">
        <v>1238</v>
      </c>
      <c r="AH770">
        <v>0</v>
      </c>
      <c r="AI770">
        <v>158</v>
      </c>
      <c r="AJ770">
        <v>31</v>
      </c>
      <c r="AK770">
        <v>0</v>
      </c>
      <c r="AL770">
        <v>0</v>
      </c>
    </row>
    <row r="771" spans="1:38" x14ac:dyDescent="0.3">
      <c r="A771" t="s">
        <v>1096</v>
      </c>
      <c r="B771">
        <v>8355</v>
      </c>
      <c r="C771">
        <v>2</v>
      </c>
      <c r="D771" t="s">
        <v>841</v>
      </c>
      <c r="E771" t="s">
        <v>763</v>
      </c>
      <c r="F771">
        <v>285</v>
      </c>
      <c r="G771">
        <v>22.28</v>
      </c>
      <c r="H771">
        <v>73.66</v>
      </c>
      <c r="I771">
        <v>18.559999999999999</v>
      </c>
      <c r="J771">
        <v>61.38</v>
      </c>
      <c r="K771">
        <v>70</v>
      </c>
      <c r="T771">
        <v>3</v>
      </c>
      <c r="U771">
        <v>1</v>
      </c>
      <c r="V771" t="s">
        <v>93</v>
      </c>
      <c r="W771">
        <v>73</v>
      </c>
      <c r="X771">
        <v>5</v>
      </c>
      <c r="Y771">
        <v>5</v>
      </c>
      <c r="Z771" t="s">
        <v>1236</v>
      </c>
      <c r="AA771" t="s">
        <v>1237</v>
      </c>
      <c r="AB771" t="s">
        <v>96</v>
      </c>
      <c r="AC771" t="s">
        <v>97</v>
      </c>
      <c r="AD771" t="s">
        <v>1099</v>
      </c>
      <c r="AG771" t="s">
        <v>1238</v>
      </c>
      <c r="AH771">
        <v>0</v>
      </c>
      <c r="AI771">
        <v>158</v>
      </c>
      <c r="AJ771">
        <v>31</v>
      </c>
      <c r="AK771">
        <v>0</v>
      </c>
      <c r="AL771">
        <v>0</v>
      </c>
    </row>
    <row r="772" spans="1:38" x14ac:dyDescent="0.3">
      <c r="A772" t="s">
        <v>1096</v>
      </c>
      <c r="B772">
        <v>8355</v>
      </c>
      <c r="C772">
        <v>3</v>
      </c>
      <c r="D772" t="s">
        <v>841</v>
      </c>
      <c r="E772" t="s">
        <v>763</v>
      </c>
      <c r="F772">
        <v>285</v>
      </c>
      <c r="G772">
        <v>24.8</v>
      </c>
      <c r="H772">
        <v>82.01</v>
      </c>
      <c r="I772">
        <v>20.67</v>
      </c>
      <c r="J772">
        <v>68.34</v>
      </c>
      <c r="K772">
        <v>130</v>
      </c>
      <c r="T772">
        <v>3</v>
      </c>
      <c r="U772">
        <v>1</v>
      </c>
      <c r="V772" t="s">
        <v>93</v>
      </c>
      <c r="W772">
        <v>82</v>
      </c>
      <c r="X772">
        <v>5</v>
      </c>
      <c r="Y772">
        <v>5</v>
      </c>
      <c r="Z772" t="s">
        <v>1236</v>
      </c>
      <c r="AA772" t="s">
        <v>1237</v>
      </c>
      <c r="AB772" t="s">
        <v>96</v>
      </c>
      <c r="AC772" t="s">
        <v>97</v>
      </c>
      <c r="AD772" t="s">
        <v>1099</v>
      </c>
      <c r="AG772" t="s">
        <v>1238</v>
      </c>
      <c r="AH772">
        <v>0</v>
      </c>
      <c r="AI772">
        <v>158</v>
      </c>
      <c r="AJ772">
        <v>31</v>
      </c>
      <c r="AK772">
        <v>0</v>
      </c>
      <c r="AL772">
        <v>0</v>
      </c>
    </row>
    <row r="773" spans="1:38" x14ac:dyDescent="0.3">
      <c r="A773" t="s">
        <v>1096</v>
      </c>
      <c r="B773">
        <v>8355</v>
      </c>
      <c r="C773">
        <v>4</v>
      </c>
      <c r="D773" t="s">
        <v>841</v>
      </c>
      <c r="E773" t="s">
        <v>763</v>
      </c>
      <c r="F773">
        <v>285</v>
      </c>
      <c r="G773">
        <v>29.03</v>
      </c>
      <c r="H773">
        <v>95.98</v>
      </c>
      <c r="I773">
        <v>24.19</v>
      </c>
      <c r="J773">
        <v>79.98</v>
      </c>
      <c r="K773">
        <v>5</v>
      </c>
      <c r="T773">
        <v>3</v>
      </c>
      <c r="U773">
        <v>1</v>
      </c>
      <c r="V773" t="s">
        <v>93</v>
      </c>
      <c r="W773">
        <v>95</v>
      </c>
      <c r="X773">
        <v>5</v>
      </c>
      <c r="Y773">
        <v>5</v>
      </c>
      <c r="Z773" t="s">
        <v>1236</v>
      </c>
      <c r="AA773" t="s">
        <v>1237</v>
      </c>
      <c r="AB773" t="s">
        <v>96</v>
      </c>
      <c r="AC773" t="s">
        <v>97</v>
      </c>
      <c r="AD773" t="s">
        <v>1099</v>
      </c>
      <c r="AG773" t="s">
        <v>1238</v>
      </c>
      <c r="AH773">
        <v>0</v>
      </c>
      <c r="AI773">
        <v>158</v>
      </c>
      <c r="AJ773">
        <v>31</v>
      </c>
      <c r="AK773">
        <v>0</v>
      </c>
      <c r="AL773">
        <v>0</v>
      </c>
    </row>
    <row r="774" spans="1:38" x14ac:dyDescent="0.3">
      <c r="A774" t="s">
        <v>1096</v>
      </c>
      <c r="B774">
        <v>8975</v>
      </c>
      <c r="C774">
        <v>1</v>
      </c>
      <c r="D774" t="s">
        <v>1239</v>
      </c>
      <c r="E774" t="s">
        <v>222</v>
      </c>
      <c r="F774">
        <v>350</v>
      </c>
      <c r="G774">
        <v>26.99</v>
      </c>
      <c r="H774">
        <v>89.24</v>
      </c>
      <c r="I774">
        <v>17.88</v>
      </c>
      <c r="J774">
        <v>59.11</v>
      </c>
      <c r="K774">
        <v>350</v>
      </c>
      <c r="T774">
        <v>3</v>
      </c>
      <c r="U774">
        <v>2</v>
      </c>
      <c r="V774" t="s">
        <v>93</v>
      </c>
      <c r="W774">
        <v>89</v>
      </c>
      <c r="X774">
        <v>25</v>
      </c>
      <c r="Y774">
        <v>14</v>
      </c>
      <c r="Z774" t="s">
        <v>1240</v>
      </c>
      <c r="AA774" t="s">
        <v>1241</v>
      </c>
      <c r="AB774" t="s">
        <v>96</v>
      </c>
      <c r="AC774" t="s">
        <v>97</v>
      </c>
      <c r="AD774" t="s">
        <v>1099</v>
      </c>
      <c r="AG774" t="s">
        <v>1242</v>
      </c>
      <c r="AH774">
        <v>0</v>
      </c>
      <c r="AI774">
        <v>247</v>
      </c>
      <c r="AJ774">
        <v>15</v>
      </c>
      <c r="AK774">
        <v>321</v>
      </c>
      <c r="AL774">
        <v>0.92</v>
      </c>
    </row>
    <row r="775" spans="1:38" x14ac:dyDescent="0.3">
      <c r="A775" t="s">
        <v>1096</v>
      </c>
      <c r="B775">
        <v>8271</v>
      </c>
      <c r="C775">
        <v>1</v>
      </c>
      <c r="D775" t="s">
        <v>1243</v>
      </c>
      <c r="E775" t="s">
        <v>827</v>
      </c>
      <c r="F775">
        <v>957</v>
      </c>
      <c r="G775">
        <v>24.11</v>
      </c>
      <c r="H775">
        <v>79.72</v>
      </c>
      <c r="I775">
        <v>18.12</v>
      </c>
      <c r="J775">
        <v>59.93</v>
      </c>
      <c r="K775">
        <v>390</v>
      </c>
      <c r="T775">
        <v>3</v>
      </c>
      <c r="U775">
        <v>1</v>
      </c>
      <c r="V775" t="s">
        <v>93</v>
      </c>
      <c r="W775" t="s">
        <v>134</v>
      </c>
      <c r="X775">
        <v>18</v>
      </c>
      <c r="Y775">
        <v>7</v>
      </c>
      <c r="Z775" t="s">
        <v>1244</v>
      </c>
      <c r="AA775" t="s">
        <v>1245</v>
      </c>
      <c r="AB775" t="s">
        <v>96</v>
      </c>
      <c r="AC775" t="s">
        <v>97</v>
      </c>
      <c r="AD775" t="s">
        <v>1099</v>
      </c>
      <c r="AG775" t="s">
        <v>1246</v>
      </c>
      <c r="AH775">
        <v>0</v>
      </c>
      <c r="AI775">
        <v>261</v>
      </c>
      <c r="AJ775">
        <v>24</v>
      </c>
      <c r="AK775">
        <v>1003</v>
      </c>
      <c r="AL775">
        <v>1.05</v>
      </c>
    </row>
    <row r="776" spans="1:38" x14ac:dyDescent="0.3">
      <c r="A776" t="s">
        <v>1096</v>
      </c>
      <c r="B776">
        <v>8271</v>
      </c>
      <c r="C776">
        <v>2</v>
      </c>
      <c r="D776" t="s">
        <v>1243</v>
      </c>
      <c r="E776" t="s">
        <v>827</v>
      </c>
      <c r="F776">
        <v>957</v>
      </c>
      <c r="G776">
        <v>24.11</v>
      </c>
      <c r="H776">
        <v>79.73</v>
      </c>
      <c r="I776">
        <v>18.13</v>
      </c>
      <c r="J776">
        <v>59.94</v>
      </c>
      <c r="K776">
        <v>15</v>
      </c>
      <c r="T776">
        <v>3</v>
      </c>
      <c r="U776">
        <v>1</v>
      </c>
      <c r="V776" t="s">
        <v>93</v>
      </c>
      <c r="W776" t="s">
        <v>135</v>
      </c>
      <c r="X776">
        <v>18</v>
      </c>
      <c r="Y776">
        <v>7</v>
      </c>
      <c r="Z776" t="s">
        <v>1244</v>
      </c>
      <c r="AA776" t="s">
        <v>1245</v>
      </c>
      <c r="AB776" t="s">
        <v>96</v>
      </c>
      <c r="AC776" t="s">
        <v>97</v>
      </c>
      <c r="AD776" t="s">
        <v>1099</v>
      </c>
      <c r="AG776" t="s">
        <v>1246</v>
      </c>
      <c r="AH776">
        <v>0</v>
      </c>
      <c r="AI776">
        <v>261</v>
      </c>
      <c r="AJ776">
        <v>24</v>
      </c>
      <c r="AK776">
        <v>1003</v>
      </c>
      <c r="AL776">
        <v>1.05</v>
      </c>
    </row>
    <row r="777" spans="1:38" x14ac:dyDescent="0.3">
      <c r="A777" t="s">
        <v>1096</v>
      </c>
      <c r="B777">
        <v>8271</v>
      </c>
      <c r="C777">
        <v>3</v>
      </c>
      <c r="D777" t="s">
        <v>1243</v>
      </c>
      <c r="E777" t="s">
        <v>827</v>
      </c>
      <c r="F777">
        <v>957</v>
      </c>
      <c r="G777">
        <v>32.58</v>
      </c>
      <c r="H777">
        <v>107.72</v>
      </c>
      <c r="I777">
        <v>25.67</v>
      </c>
      <c r="J777">
        <v>84.86</v>
      </c>
      <c r="K777">
        <v>406</v>
      </c>
      <c r="T777">
        <v>3</v>
      </c>
      <c r="U777">
        <v>2</v>
      </c>
      <c r="V777" t="s">
        <v>93</v>
      </c>
      <c r="W777" t="s">
        <v>520</v>
      </c>
      <c r="X777">
        <v>18</v>
      </c>
      <c r="Y777">
        <v>7</v>
      </c>
      <c r="Z777" t="s">
        <v>1244</v>
      </c>
      <c r="AA777" t="s">
        <v>1245</v>
      </c>
      <c r="AB777" t="s">
        <v>96</v>
      </c>
      <c r="AC777" t="s">
        <v>97</v>
      </c>
      <c r="AD777" t="s">
        <v>1099</v>
      </c>
      <c r="AG777" t="s">
        <v>1246</v>
      </c>
      <c r="AH777">
        <v>0</v>
      </c>
      <c r="AI777">
        <v>261</v>
      </c>
      <c r="AJ777">
        <v>24</v>
      </c>
      <c r="AK777">
        <v>1003</v>
      </c>
      <c r="AL777">
        <v>1.05</v>
      </c>
    </row>
    <row r="778" spans="1:38" x14ac:dyDescent="0.3">
      <c r="A778" t="s">
        <v>1096</v>
      </c>
      <c r="B778">
        <v>8271</v>
      </c>
      <c r="C778">
        <v>4</v>
      </c>
      <c r="D778" t="s">
        <v>1243</v>
      </c>
      <c r="E778" t="s">
        <v>827</v>
      </c>
      <c r="F778">
        <v>957</v>
      </c>
      <c r="G778">
        <v>32.58</v>
      </c>
      <c r="H778">
        <v>107.73</v>
      </c>
      <c r="I778">
        <v>25.67</v>
      </c>
      <c r="J778">
        <v>84.87</v>
      </c>
      <c r="K778">
        <v>34</v>
      </c>
      <c r="T778">
        <v>3</v>
      </c>
      <c r="U778">
        <v>2</v>
      </c>
      <c r="V778" t="s">
        <v>93</v>
      </c>
      <c r="W778" t="s">
        <v>519</v>
      </c>
      <c r="X778">
        <v>18</v>
      </c>
      <c r="Y778">
        <v>7</v>
      </c>
      <c r="Z778" t="s">
        <v>1244</v>
      </c>
      <c r="AA778" t="s">
        <v>1245</v>
      </c>
      <c r="AB778" t="s">
        <v>96</v>
      </c>
      <c r="AC778" t="s">
        <v>97</v>
      </c>
      <c r="AD778" t="s">
        <v>1099</v>
      </c>
      <c r="AG778" t="s">
        <v>1246</v>
      </c>
      <c r="AH778">
        <v>0</v>
      </c>
      <c r="AI778">
        <v>261</v>
      </c>
      <c r="AJ778">
        <v>24</v>
      </c>
      <c r="AK778">
        <v>1003</v>
      </c>
      <c r="AL778">
        <v>1.05</v>
      </c>
    </row>
    <row r="779" spans="1:38" x14ac:dyDescent="0.3">
      <c r="A779" t="s">
        <v>1096</v>
      </c>
      <c r="B779">
        <v>8271</v>
      </c>
      <c r="C779">
        <v>5</v>
      </c>
      <c r="D779" t="s">
        <v>1243</v>
      </c>
      <c r="E779" t="s">
        <v>827</v>
      </c>
      <c r="F779">
        <v>957</v>
      </c>
      <c r="G779">
        <v>32.619999999999997</v>
      </c>
      <c r="H779">
        <v>107.84</v>
      </c>
      <c r="I779">
        <v>25.7</v>
      </c>
      <c r="J779">
        <v>84.97</v>
      </c>
      <c r="K779">
        <v>16</v>
      </c>
      <c r="T779">
        <v>3</v>
      </c>
      <c r="U779">
        <v>2</v>
      </c>
      <c r="V779" t="s">
        <v>93</v>
      </c>
      <c r="W779" t="s">
        <v>1247</v>
      </c>
      <c r="X779">
        <v>18</v>
      </c>
      <c r="Y779">
        <v>7</v>
      </c>
      <c r="Z779" t="s">
        <v>1244</v>
      </c>
      <c r="AA779" t="s">
        <v>1245</v>
      </c>
      <c r="AB779" t="s">
        <v>96</v>
      </c>
      <c r="AC779" t="s">
        <v>97</v>
      </c>
      <c r="AD779" t="s">
        <v>1099</v>
      </c>
      <c r="AG779" t="s">
        <v>1246</v>
      </c>
      <c r="AH779">
        <v>0</v>
      </c>
      <c r="AI779">
        <v>261</v>
      </c>
      <c r="AJ779">
        <v>24</v>
      </c>
      <c r="AK779">
        <v>1003</v>
      </c>
      <c r="AL779">
        <v>1.05</v>
      </c>
    </row>
    <row r="780" spans="1:38" x14ac:dyDescent="0.3">
      <c r="A780" t="s">
        <v>1096</v>
      </c>
      <c r="B780">
        <v>8271</v>
      </c>
      <c r="C780">
        <v>6</v>
      </c>
      <c r="D780" t="s">
        <v>1243</v>
      </c>
      <c r="E780" t="s">
        <v>827</v>
      </c>
      <c r="F780">
        <v>957</v>
      </c>
      <c r="G780">
        <v>41.8</v>
      </c>
      <c r="H780">
        <v>138.19999999999999</v>
      </c>
      <c r="I780">
        <v>34.54</v>
      </c>
      <c r="J780">
        <v>114.2</v>
      </c>
      <c r="K780">
        <v>96</v>
      </c>
      <c r="T780">
        <v>4</v>
      </c>
      <c r="U780">
        <v>2</v>
      </c>
      <c r="V780" t="s">
        <v>93</v>
      </c>
      <c r="W780">
        <v>138</v>
      </c>
      <c r="X780">
        <v>18</v>
      </c>
      <c r="Y780">
        <v>7</v>
      </c>
      <c r="Z780" t="s">
        <v>1244</v>
      </c>
      <c r="AA780" t="s">
        <v>1245</v>
      </c>
      <c r="AB780" t="s">
        <v>96</v>
      </c>
      <c r="AC780" t="s">
        <v>97</v>
      </c>
      <c r="AD780" t="s">
        <v>1099</v>
      </c>
      <c r="AG780" t="s">
        <v>1246</v>
      </c>
      <c r="AH780">
        <v>0</v>
      </c>
      <c r="AI780">
        <v>261</v>
      </c>
      <c r="AJ780">
        <v>24</v>
      </c>
      <c r="AK780">
        <v>1003</v>
      </c>
      <c r="AL780">
        <v>1.05</v>
      </c>
    </row>
    <row r="781" spans="1:38" x14ac:dyDescent="0.3">
      <c r="A781" t="s">
        <v>1096</v>
      </c>
      <c r="B781">
        <v>14521</v>
      </c>
      <c r="C781">
        <v>1</v>
      </c>
      <c r="D781" t="s">
        <v>1248</v>
      </c>
      <c r="E781" t="s">
        <v>1249</v>
      </c>
      <c r="F781">
        <v>410</v>
      </c>
      <c r="G781">
        <v>23.05</v>
      </c>
      <c r="H781">
        <v>76.22</v>
      </c>
      <c r="I781">
        <v>18.13</v>
      </c>
      <c r="J781">
        <v>59.96</v>
      </c>
      <c r="K781">
        <v>147</v>
      </c>
      <c r="T781">
        <v>3</v>
      </c>
      <c r="U781">
        <v>1</v>
      </c>
      <c r="V781" t="s">
        <v>93</v>
      </c>
      <c r="W781">
        <v>76</v>
      </c>
      <c r="X781">
        <v>11</v>
      </c>
      <c r="Y781">
        <v>7</v>
      </c>
      <c r="Z781" t="s">
        <v>1250</v>
      </c>
      <c r="AA781" t="s">
        <v>1251</v>
      </c>
      <c r="AB781" t="s">
        <v>96</v>
      </c>
      <c r="AC781" t="s">
        <v>97</v>
      </c>
      <c r="AD781" t="s">
        <v>1099</v>
      </c>
      <c r="AG781" t="s">
        <v>1252</v>
      </c>
      <c r="AH781">
        <v>0</v>
      </c>
      <c r="AI781">
        <v>281</v>
      </c>
      <c r="AJ781">
        <v>32</v>
      </c>
      <c r="AK781">
        <v>419</v>
      </c>
      <c r="AL781">
        <v>1.02</v>
      </c>
    </row>
    <row r="782" spans="1:38" x14ac:dyDescent="0.3">
      <c r="A782" t="s">
        <v>1096</v>
      </c>
      <c r="B782">
        <v>14521</v>
      </c>
      <c r="C782">
        <v>2</v>
      </c>
      <c r="D782" t="s">
        <v>1248</v>
      </c>
      <c r="E782" t="s">
        <v>1249</v>
      </c>
      <c r="F782">
        <v>410</v>
      </c>
      <c r="G782">
        <v>30.24</v>
      </c>
      <c r="H782">
        <v>99.98</v>
      </c>
      <c r="I782">
        <v>23.65</v>
      </c>
      <c r="J782">
        <v>78.19</v>
      </c>
      <c r="K782">
        <v>14</v>
      </c>
      <c r="T782">
        <v>3</v>
      </c>
      <c r="U782">
        <v>2</v>
      </c>
      <c r="V782" t="s">
        <v>93</v>
      </c>
      <c r="W782">
        <v>99</v>
      </c>
      <c r="X782">
        <v>11</v>
      </c>
      <c r="Y782">
        <v>7</v>
      </c>
      <c r="Z782" t="s">
        <v>1250</v>
      </c>
      <c r="AA782" t="s">
        <v>1251</v>
      </c>
      <c r="AB782" t="s">
        <v>96</v>
      </c>
      <c r="AC782" t="s">
        <v>97</v>
      </c>
      <c r="AD782" t="s">
        <v>1099</v>
      </c>
      <c r="AG782" t="s">
        <v>1252</v>
      </c>
      <c r="AH782">
        <v>0</v>
      </c>
      <c r="AI782">
        <v>281</v>
      </c>
      <c r="AJ782">
        <v>32</v>
      </c>
      <c r="AK782">
        <v>419</v>
      </c>
      <c r="AL782">
        <v>1.02</v>
      </c>
    </row>
    <row r="783" spans="1:38" x14ac:dyDescent="0.3">
      <c r="A783" t="s">
        <v>1096</v>
      </c>
      <c r="B783">
        <v>14521</v>
      </c>
      <c r="C783">
        <v>3</v>
      </c>
      <c r="D783" t="s">
        <v>1248</v>
      </c>
      <c r="E783" t="s">
        <v>1249</v>
      </c>
      <c r="F783">
        <v>410</v>
      </c>
      <c r="G783">
        <v>32.76</v>
      </c>
      <c r="H783">
        <v>108.31</v>
      </c>
      <c r="I783">
        <v>25.7</v>
      </c>
      <c r="J783">
        <v>84.99</v>
      </c>
      <c r="K783">
        <v>183</v>
      </c>
      <c r="T783">
        <v>3</v>
      </c>
      <c r="U783">
        <v>2</v>
      </c>
      <c r="V783" t="s">
        <v>93</v>
      </c>
      <c r="W783">
        <v>108</v>
      </c>
      <c r="X783">
        <v>11</v>
      </c>
      <c r="Y783">
        <v>7</v>
      </c>
      <c r="Z783" t="s">
        <v>1250</v>
      </c>
      <c r="AA783" t="s">
        <v>1251</v>
      </c>
      <c r="AB783" t="s">
        <v>96</v>
      </c>
      <c r="AC783" t="s">
        <v>97</v>
      </c>
      <c r="AD783" t="s">
        <v>1099</v>
      </c>
      <c r="AG783" t="s">
        <v>1252</v>
      </c>
      <c r="AH783">
        <v>0</v>
      </c>
      <c r="AI783">
        <v>281</v>
      </c>
      <c r="AJ783">
        <v>32</v>
      </c>
      <c r="AK783">
        <v>419</v>
      </c>
      <c r="AL783">
        <v>1.02</v>
      </c>
    </row>
    <row r="784" spans="1:38" x14ac:dyDescent="0.3">
      <c r="A784" t="s">
        <v>1096</v>
      </c>
      <c r="B784">
        <v>14521</v>
      </c>
      <c r="C784">
        <v>4</v>
      </c>
      <c r="D784" t="s">
        <v>1248</v>
      </c>
      <c r="E784" t="s">
        <v>1249</v>
      </c>
      <c r="F784">
        <v>410</v>
      </c>
      <c r="G784">
        <v>45.17</v>
      </c>
      <c r="H784">
        <v>149.35</v>
      </c>
      <c r="I784">
        <v>33.86</v>
      </c>
      <c r="J784">
        <v>111.94</v>
      </c>
      <c r="K784">
        <v>6</v>
      </c>
      <c r="T784">
        <v>4</v>
      </c>
      <c r="U784">
        <v>2</v>
      </c>
      <c r="V784" t="s">
        <v>93</v>
      </c>
      <c r="W784">
        <v>149</v>
      </c>
      <c r="X784">
        <v>11</v>
      </c>
      <c r="Y784">
        <v>7</v>
      </c>
      <c r="Z784" t="s">
        <v>1250</v>
      </c>
      <c r="AA784" t="s">
        <v>1251</v>
      </c>
      <c r="AB784" t="s">
        <v>96</v>
      </c>
      <c r="AC784" t="s">
        <v>97</v>
      </c>
      <c r="AD784" t="s">
        <v>1099</v>
      </c>
      <c r="AG784" t="s">
        <v>1252</v>
      </c>
      <c r="AH784">
        <v>0</v>
      </c>
      <c r="AI784">
        <v>281</v>
      </c>
      <c r="AJ784">
        <v>32</v>
      </c>
      <c r="AK784">
        <v>419</v>
      </c>
      <c r="AL784">
        <v>1.02</v>
      </c>
    </row>
    <row r="785" spans="1:38" x14ac:dyDescent="0.3">
      <c r="A785" t="s">
        <v>1096</v>
      </c>
      <c r="B785">
        <v>14521</v>
      </c>
      <c r="C785">
        <v>5</v>
      </c>
      <c r="D785" t="s">
        <v>1248</v>
      </c>
      <c r="E785" t="s">
        <v>1249</v>
      </c>
      <c r="F785">
        <v>410</v>
      </c>
      <c r="G785">
        <v>48.9</v>
      </c>
      <c r="H785">
        <v>161.68</v>
      </c>
      <c r="I785">
        <v>36.89</v>
      </c>
      <c r="J785">
        <v>121.97</v>
      </c>
      <c r="K785">
        <v>60</v>
      </c>
      <c r="T785">
        <v>4</v>
      </c>
      <c r="U785">
        <v>2</v>
      </c>
      <c r="V785" t="s">
        <v>93</v>
      </c>
      <c r="W785">
        <v>161</v>
      </c>
      <c r="X785">
        <v>11</v>
      </c>
      <c r="Y785">
        <v>7</v>
      </c>
      <c r="Z785" t="s">
        <v>1250</v>
      </c>
      <c r="AA785" t="s">
        <v>1251</v>
      </c>
      <c r="AB785" t="s">
        <v>96</v>
      </c>
      <c r="AC785" t="s">
        <v>97</v>
      </c>
      <c r="AD785" t="s">
        <v>1099</v>
      </c>
      <c r="AG785" t="s">
        <v>1252</v>
      </c>
      <c r="AH785">
        <v>0</v>
      </c>
      <c r="AI785">
        <v>281</v>
      </c>
      <c r="AJ785">
        <v>32</v>
      </c>
      <c r="AK785">
        <v>419</v>
      </c>
      <c r="AL785">
        <v>1.02</v>
      </c>
    </row>
    <row r="786" spans="1:38" x14ac:dyDescent="0.3">
      <c r="A786" t="s">
        <v>1096</v>
      </c>
      <c r="B786">
        <v>127669</v>
      </c>
      <c r="C786">
        <v>1</v>
      </c>
      <c r="D786" t="s">
        <v>1253</v>
      </c>
      <c r="E786" t="s">
        <v>775</v>
      </c>
      <c r="F786">
        <v>88</v>
      </c>
      <c r="G786">
        <v>20.7</v>
      </c>
      <c r="H786">
        <v>68.45</v>
      </c>
      <c r="I786">
        <v>15.36</v>
      </c>
      <c r="J786">
        <v>50.78</v>
      </c>
      <c r="K786">
        <v>14</v>
      </c>
      <c r="T786">
        <v>2</v>
      </c>
      <c r="U786">
        <v>1</v>
      </c>
      <c r="V786" t="s">
        <v>93</v>
      </c>
      <c r="W786">
        <v>68</v>
      </c>
      <c r="X786">
        <v>16</v>
      </c>
      <c r="Y786">
        <v>9</v>
      </c>
      <c r="Z786" t="s">
        <v>1254</v>
      </c>
      <c r="AA786" t="s">
        <v>1255</v>
      </c>
      <c r="AB786" t="s">
        <v>96</v>
      </c>
      <c r="AC786" t="s">
        <v>97</v>
      </c>
      <c r="AD786" t="s">
        <v>1099</v>
      </c>
      <c r="AG786" t="s">
        <v>1256</v>
      </c>
      <c r="AH786">
        <v>0</v>
      </c>
      <c r="AI786">
        <v>246</v>
      </c>
      <c r="AJ786">
        <v>55</v>
      </c>
      <c r="AK786">
        <v>106</v>
      </c>
      <c r="AL786">
        <v>1.2</v>
      </c>
    </row>
    <row r="787" spans="1:38" x14ac:dyDescent="0.3">
      <c r="A787" t="s">
        <v>1096</v>
      </c>
      <c r="B787">
        <v>127669</v>
      </c>
      <c r="C787">
        <v>2</v>
      </c>
      <c r="D787" t="s">
        <v>1253</v>
      </c>
      <c r="E787" t="s">
        <v>775</v>
      </c>
      <c r="F787">
        <v>88</v>
      </c>
      <c r="G787">
        <v>23.6</v>
      </c>
      <c r="H787">
        <v>78.040000000000006</v>
      </c>
      <c r="I787">
        <v>17.579999999999998</v>
      </c>
      <c r="J787">
        <v>58.14</v>
      </c>
      <c r="K787">
        <v>1</v>
      </c>
      <c r="T787">
        <v>3</v>
      </c>
      <c r="U787">
        <v>2</v>
      </c>
      <c r="V787" t="s">
        <v>93</v>
      </c>
      <c r="W787">
        <v>78</v>
      </c>
      <c r="X787">
        <v>16</v>
      </c>
      <c r="Y787">
        <v>9</v>
      </c>
      <c r="Z787" t="s">
        <v>1254</v>
      </c>
      <c r="AA787" t="s">
        <v>1255</v>
      </c>
      <c r="AB787" t="s">
        <v>96</v>
      </c>
      <c r="AC787" t="s">
        <v>97</v>
      </c>
      <c r="AD787" t="s">
        <v>1099</v>
      </c>
      <c r="AG787" t="s">
        <v>1256</v>
      </c>
      <c r="AH787">
        <v>0</v>
      </c>
      <c r="AI787">
        <v>246</v>
      </c>
      <c r="AJ787">
        <v>55</v>
      </c>
      <c r="AK787">
        <v>106</v>
      </c>
      <c r="AL787">
        <v>1.2</v>
      </c>
    </row>
    <row r="788" spans="1:38" x14ac:dyDescent="0.3">
      <c r="A788" t="s">
        <v>1096</v>
      </c>
      <c r="B788">
        <v>127669</v>
      </c>
      <c r="C788">
        <v>3</v>
      </c>
      <c r="D788" t="s">
        <v>1253</v>
      </c>
      <c r="E788" t="s">
        <v>775</v>
      </c>
      <c r="F788">
        <v>88</v>
      </c>
      <c r="G788">
        <v>24.37</v>
      </c>
      <c r="H788">
        <v>80.58</v>
      </c>
      <c r="I788">
        <v>18.12</v>
      </c>
      <c r="J788">
        <v>59.93</v>
      </c>
      <c r="K788">
        <v>15</v>
      </c>
      <c r="T788">
        <v>3</v>
      </c>
      <c r="U788">
        <v>2</v>
      </c>
      <c r="V788" t="s">
        <v>93</v>
      </c>
      <c r="W788" t="s">
        <v>1257</v>
      </c>
      <c r="X788">
        <v>16</v>
      </c>
      <c r="Y788">
        <v>9</v>
      </c>
      <c r="Z788" t="s">
        <v>1254</v>
      </c>
      <c r="AA788" t="s">
        <v>1255</v>
      </c>
      <c r="AB788" t="s">
        <v>96</v>
      </c>
      <c r="AC788" t="s">
        <v>97</v>
      </c>
      <c r="AD788" t="s">
        <v>1099</v>
      </c>
      <c r="AG788" t="s">
        <v>1256</v>
      </c>
      <c r="AH788">
        <v>0</v>
      </c>
      <c r="AI788">
        <v>246</v>
      </c>
      <c r="AJ788">
        <v>55</v>
      </c>
      <c r="AK788">
        <v>106</v>
      </c>
      <c r="AL788">
        <v>1.2</v>
      </c>
    </row>
    <row r="789" spans="1:38" x14ac:dyDescent="0.3">
      <c r="A789" t="s">
        <v>1096</v>
      </c>
      <c r="B789">
        <v>127669</v>
      </c>
      <c r="C789">
        <v>4</v>
      </c>
      <c r="D789" t="s">
        <v>1253</v>
      </c>
      <c r="E789" t="s">
        <v>775</v>
      </c>
      <c r="F789">
        <v>88</v>
      </c>
      <c r="G789">
        <v>24.32</v>
      </c>
      <c r="H789">
        <v>80.42</v>
      </c>
      <c r="I789">
        <v>18.12</v>
      </c>
      <c r="J789">
        <v>59.93</v>
      </c>
      <c r="K789">
        <v>15</v>
      </c>
      <c r="T789">
        <v>3</v>
      </c>
      <c r="U789">
        <v>2</v>
      </c>
      <c r="V789" t="s">
        <v>93</v>
      </c>
      <c r="W789" t="s">
        <v>1258</v>
      </c>
      <c r="X789">
        <v>16</v>
      </c>
      <c r="Y789">
        <v>9</v>
      </c>
      <c r="Z789" t="s">
        <v>1254</v>
      </c>
      <c r="AA789" t="s">
        <v>1255</v>
      </c>
      <c r="AB789" t="s">
        <v>96</v>
      </c>
      <c r="AC789" t="s">
        <v>97</v>
      </c>
      <c r="AD789" t="s">
        <v>1099</v>
      </c>
      <c r="AG789" t="s">
        <v>1256</v>
      </c>
      <c r="AH789">
        <v>0</v>
      </c>
      <c r="AI789">
        <v>246</v>
      </c>
      <c r="AJ789">
        <v>55</v>
      </c>
      <c r="AK789">
        <v>106</v>
      </c>
      <c r="AL789">
        <v>1.2</v>
      </c>
    </row>
    <row r="790" spans="1:38" x14ac:dyDescent="0.3">
      <c r="A790" t="s">
        <v>1096</v>
      </c>
      <c r="B790">
        <v>127669</v>
      </c>
      <c r="C790">
        <v>5</v>
      </c>
      <c r="D790" t="s">
        <v>1253</v>
      </c>
      <c r="E790" t="s">
        <v>775</v>
      </c>
      <c r="F790">
        <v>88</v>
      </c>
      <c r="G790">
        <v>24.33</v>
      </c>
      <c r="H790">
        <v>80.45</v>
      </c>
      <c r="I790">
        <v>18.079999999999998</v>
      </c>
      <c r="J790">
        <v>59.8</v>
      </c>
      <c r="K790">
        <v>13</v>
      </c>
      <c r="T790">
        <v>3</v>
      </c>
      <c r="U790">
        <v>2</v>
      </c>
      <c r="V790" t="s">
        <v>93</v>
      </c>
      <c r="W790" t="s">
        <v>1259</v>
      </c>
      <c r="X790">
        <v>16</v>
      </c>
      <c r="Y790">
        <v>9</v>
      </c>
      <c r="Z790" t="s">
        <v>1254</v>
      </c>
      <c r="AA790" t="s">
        <v>1255</v>
      </c>
      <c r="AB790" t="s">
        <v>96</v>
      </c>
      <c r="AC790" t="s">
        <v>97</v>
      </c>
      <c r="AD790" t="s">
        <v>1099</v>
      </c>
      <c r="AG790" t="s">
        <v>1256</v>
      </c>
      <c r="AH790">
        <v>0</v>
      </c>
      <c r="AI790">
        <v>246</v>
      </c>
      <c r="AJ790">
        <v>55</v>
      </c>
      <c r="AK790">
        <v>106</v>
      </c>
      <c r="AL790">
        <v>1.2</v>
      </c>
    </row>
    <row r="791" spans="1:38" x14ac:dyDescent="0.3">
      <c r="A791" t="s">
        <v>1096</v>
      </c>
      <c r="B791">
        <v>127669</v>
      </c>
      <c r="C791">
        <v>6</v>
      </c>
      <c r="D791" t="s">
        <v>1253</v>
      </c>
      <c r="E791" t="s">
        <v>775</v>
      </c>
      <c r="F791">
        <v>88</v>
      </c>
      <c r="G791">
        <v>24.23</v>
      </c>
      <c r="H791">
        <v>80.12</v>
      </c>
      <c r="I791">
        <v>18.07</v>
      </c>
      <c r="J791">
        <v>59.76</v>
      </c>
      <c r="K791">
        <v>10</v>
      </c>
      <c r="T791">
        <v>3</v>
      </c>
      <c r="U791">
        <v>2</v>
      </c>
      <c r="V791" t="s">
        <v>93</v>
      </c>
      <c r="W791" t="s">
        <v>511</v>
      </c>
      <c r="X791">
        <v>16</v>
      </c>
      <c r="Y791">
        <v>9</v>
      </c>
      <c r="Z791" t="s">
        <v>1254</v>
      </c>
      <c r="AA791" t="s">
        <v>1255</v>
      </c>
      <c r="AB791" t="s">
        <v>96</v>
      </c>
      <c r="AC791" t="s">
        <v>97</v>
      </c>
      <c r="AD791" t="s">
        <v>1099</v>
      </c>
      <c r="AG791" t="s">
        <v>1256</v>
      </c>
      <c r="AH791">
        <v>0</v>
      </c>
      <c r="AI791">
        <v>246</v>
      </c>
      <c r="AJ791">
        <v>55</v>
      </c>
      <c r="AK791">
        <v>106</v>
      </c>
      <c r="AL791">
        <v>1.2</v>
      </c>
    </row>
    <row r="792" spans="1:38" x14ac:dyDescent="0.3">
      <c r="A792" t="s">
        <v>1096</v>
      </c>
      <c r="B792">
        <v>127669</v>
      </c>
      <c r="C792">
        <v>7</v>
      </c>
      <c r="D792" t="s">
        <v>1253</v>
      </c>
      <c r="E792" t="s">
        <v>775</v>
      </c>
      <c r="F792">
        <v>88</v>
      </c>
      <c r="G792">
        <v>24.26</v>
      </c>
      <c r="H792">
        <v>80.23</v>
      </c>
      <c r="I792">
        <v>18.07</v>
      </c>
      <c r="J792">
        <v>59.76</v>
      </c>
      <c r="K792">
        <v>10</v>
      </c>
      <c r="T792">
        <v>3</v>
      </c>
      <c r="U792">
        <v>2</v>
      </c>
      <c r="V792" t="s">
        <v>93</v>
      </c>
      <c r="W792" t="s">
        <v>516</v>
      </c>
      <c r="X792">
        <v>16</v>
      </c>
      <c r="Y792">
        <v>9</v>
      </c>
      <c r="Z792" t="s">
        <v>1254</v>
      </c>
      <c r="AA792" t="s">
        <v>1255</v>
      </c>
      <c r="AB792" t="s">
        <v>96</v>
      </c>
      <c r="AC792" t="s">
        <v>97</v>
      </c>
      <c r="AD792" t="s">
        <v>1099</v>
      </c>
      <c r="AG792" t="s">
        <v>1256</v>
      </c>
      <c r="AH792">
        <v>0</v>
      </c>
      <c r="AI792">
        <v>246</v>
      </c>
      <c r="AJ792">
        <v>55</v>
      </c>
      <c r="AK792">
        <v>106</v>
      </c>
      <c r="AL792">
        <v>1.2</v>
      </c>
    </row>
    <row r="793" spans="1:38" x14ac:dyDescent="0.3">
      <c r="A793" t="s">
        <v>1096</v>
      </c>
      <c r="B793">
        <v>127669</v>
      </c>
      <c r="C793">
        <v>8</v>
      </c>
      <c r="D793" t="s">
        <v>1253</v>
      </c>
      <c r="E793" t="s">
        <v>775</v>
      </c>
      <c r="F793">
        <v>88</v>
      </c>
      <c r="G793">
        <v>24.4</v>
      </c>
      <c r="H793">
        <v>80.680000000000007</v>
      </c>
      <c r="I793">
        <v>18.13</v>
      </c>
      <c r="J793">
        <v>59.94</v>
      </c>
      <c r="K793">
        <v>7</v>
      </c>
      <c r="T793">
        <v>3</v>
      </c>
      <c r="U793">
        <v>2</v>
      </c>
      <c r="V793" t="s">
        <v>93</v>
      </c>
      <c r="W793" t="s">
        <v>1260</v>
      </c>
      <c r="X793">
        <v>16</v>
      </c>
      <c r="Y793">
        <v>9</v>
      </c>
      <c r="Z793" t="s">
        <v>1254</v>
      </c>
      <c r="AA793" t="s">
        <v>1255</v>
      </c>
      <c r="AB793" t="s">
        <v>96</v>
      </c>
      <c r="AC793" t="s">
        <v>97</v>
      </c>
      <c r="AD793" t="s">
        <v>1099</v>
      </c>
      <c r="AG793" t="s">
        <v>1256</v>
      </c>
      <c r="AH793">
        <v>0</v>
      </c>
      <c r="AI793">
        <v>246</v>
      </c>
      <c r="AJ793">
        <v>55</v>
      </c>
      <c r="AK793">
        <v>106</v>
      </c>
      <c r="AL793">
        <v>1.2</v>
      </c>
    </row>
    <row r="794" spans="1:38" x14ac:dyDescent="0.3">
      <c r="A794" t="s">
        <v>1096</v>
      </c>
      <c r="B794">
        <v>127669</v>
      </c>
      <c r="C794">
        <v>9</v>
      </c>
      <c r="D794" t="s">
        <v>1253</v>
      </c>
      <c r="E794" t="s">
        <v>775</v>
      </c>
      <c r="F794">
        <v>88</v>
      </c>
      <c r="G794">
        <v>24.26</v>
      </c>
      <c r="H794">
        <v>80.23</v>
      </c>
      <c r="I794">
        <v>18.07</v>
      </c>
      <c r="J794">
        <v>59.76</v>
      </c>
      <c r="K794">
        <v>1</v>
      </c>
      <c r="T794">
        <v>3</v>
      </c>
      <c r="U794">
        <v>2</v>
      </c>
      <c r="V794" t="s">
        <v>93</v>
      </c>
      <c r="W794" t="s">
        <v>1261</v>
      </c>
      <c r="X794">
        <v>16</v>
      </c>
      <c r="Y794">
        <v>9</v>
      </c>
      <c r="Z794" t="s">
        <v>1254</v>
      </c>
      <c r="AA794" t="s">
        <v>1255</v>
      </c>
      <c r="AB794" t="s">
        <v>96</v>
      </c>
      <c r="AC794" t="s">
        <v>97</v>
      </c>
      <c r="AD794" t="s">
        <v>1099</v>
      </c>
      <c r="AG794" t="s">
        <v>1256</v>
      </c>
      <c r="AH794">
        <v>0</v>
      </c>
      <c r="AI794">
        <v>246</v>
      </c>
      <c r="AJ794">
        <v>55</v>
      </c>
      <c r="AK794">
        <v>106</v>
      </c>
      <c r="AL794">
        <v>1.2</v>
      </c>
    </row>
    <row r="795" spans="1:38" x14ac:dyDescent="0.3">
      <c r="A795" t="s">
        <v>1096</v>
      </c>
      <c r="B795">
        <v>127669</v>
      </c>
      <c r="C795">
        <v>10</v>
      </c>
      <c r="D795" t="s">
        <v>1253</v>
      </c>
      <c r="E795" t="s">
        <v>775</v>
      </c>
      <c r="F795">
        <v>88</v>
      </c>
      <c r="G795">
        <v>24.4</v>
      </c>
      <c r="H795">
        <v>80.680000000000007</v>
      </c>
      <c r="I795">
        <v>18.13</v>
      </c>
      <c r="J795">
        <v>59.94</v>
      </c>
      <c r="K795">
        <v>1</v>
      </c>
      <c r="T795">
        <v>3</v>
      </c>
      <c r="U795">
        <v>2</v>
      </c>
      <c r="V795" t="s">
        <v>93</v>
      </c>
      <c r="W795" t="s">
        <v>1262</v>
      </c>
      <c r="X795">
        <v>16</v>
      </c>
      <c r="Y795">
        <v>9</v>
      </c>
      <c r="Z795" t="s">
        <v>1254</v>
      </c>
      <c r="AA795" t="s">
        <v>1255</v>
      </c>
      <c r="AB795" t="s">
        <v>96</v>
      </c>
      <c r="AC795" t="s">
        <v>97</v>
      </c>
      <c r="AD795" t="s">
        <v>1099</v>
      </c>
      <c r="AG795" t="s">
        <v>1256</v>
      </c>
      <c r="AH795">
        <v>0</v>
      </c>
      <c r="AI795">
        <v>246</v>
      </c>
      <c r="AJ795">
        <v>55</v>
      </c>
      <c r="AK795">
        <v>106</v>
      </c>
      <c r="AL795">
        <v>1.2</v>
      </c>
    </row>
    <row r="796" spans="1:38" x14ac:dyDescent="0.3">
      <c r="A796" t="s">
        <v>1096</v>
      </c>
      <c r="B796">
        <v>127669</v>
      </c>
      <c r="C796">
        <v>11</v>
      </c>
      <c r="D796" t="s">
        <v>1253</v>
      </c>
      <c r="E796" t="s">
        <v>775</v>
      </c>
      <c r="F796">
        <v>88</v>
      </c>
      <c r="G796">
        <v>24.33</v>
      </c>
      <c r="H796">
        <v>80.45</v>
      </c>
      <c r="I796">
        <v>18.079999999999998</v>
      </c>
      <c r="J796">
        <v>59.8</v>
      </c>
      <c r="K796">
        <v>1</v>
      </c>
      <c r="T796">
        <v>3</v>
      </c>
      <c r="U796">
        <v>2</v>
      </c>
      <c r="V796" t="s">
        <v>93</v>
      </c>
      <c r="W796" t="s">
        <v>1263</v>
      </c>
      <c r="X796">
        <v>16</v>
      </c>
      <c r="Y796">
        <v>9</v>
      </c>
      <c r="Z796" t="s">
        <v>1254</v>
      </c>
      <c r="AA796" t="s">
        <v>1255</v>
      </c>
      <c r="AB796" t="s">
        <v>96</v>
      </c>
      <c r="AC796" t="s">
        <v>97</v>
      </c>
      <c r="AD796" t="s">
        <v>1099</v>
      </c>
      <c r="AG796" t="s">
        <v>1256</v>
      </c>
      <c r="AH796">
        <v>0</v>
      </c>
      <c r="AI796">
        <v>246</v>
      </c>
      <c r="AJ796">
        <v>55</v>
      </c>
      <c r="AK796">
        <v>106</v>
      </c>
      <c r="AL796">
        <v>1.2</v>
      </c>
    </row>
    <row r="797" spans="1:38" x14ac:dyDescent="0.3">
      <c r="A797" t="s">
        <v>1096</v>
      </c>
      <c r="B797">
        <v>14309</v>
      </c>
      <c r="C797">
        <v>1</v>
      </c>
      <c r="D797" t="s">
        <v>1264</v>
      </c>
      <c r="E797" t="s">
        <v>1265</v>
      </c>
      <c r="F797">
        <v>130</v>
      </c>
      <c r="G797">
        <v>23.65</v>
      </c>
      <c r="H797">
        <v>78.19</v>
      </c>
      <c r="I797">
        <v>17.690000000000001</v>
      </c>
      <c r="J797">
        <v>58.49</v>
      </c>
      <c r="K797">
        <v>47</v>
      </c>
      <c r="T797">
        <v>3</v>
      </c>
      <c r="U797">
        <v>1</v>
      </c>
      <c r="V797" t="s">
        <v>138</v>
      </c>
      <c r="W797">
        <v>78</v>
      </c>
      <c r="X797">
        <v>19</v>
      </c>
      <c r="Y797">
        <v>19</v>
      </c>
      <c r="Z797" t="s">
        <v>1266</v>
      </c>
      <c r="AA797" t="s">
        <v>1267</v>
      </c>
      <c r="AB797" t="s">
        <v>96</v>
      </c>
      <c r="AC797" t="s">
        <v>97</v>
      </c>
      <c r="AD797" t="s">
        <v>1099</v>
      </c>
      <c r="AG797" t="s">
        <v>1268</v>
      </c>
      <c r="AH797">
        <v>0</v>
      </c>
      <c r="AI797">
        <v>398</v>
      </c>
      <c r="AJ797">
        <v>44</v>
      </c>
      <c r="AK797">
        <v>125</v>
      </c>
      <c r="AL797">
        <v>0.96</v>
      </c>
    </row>
    <row r="798" spans="1:38" x14ac:dyDescent="0.3">
      <c r="A798" t="s">
        <v>1096</v>
      </c>
      <c r="B798">
        <v>14309</v>
      </c>
      <c r="C798">
        <v>2</v>
      </c>
      <c r="D798" t="s">
        <v>1264</v>
      </c>
      <c r="E798" t="s">
        <v>1265</v>
      </c>
      <c r="F798">
        <v>130</v>
      </c>
      <c r="G798">
        <v>24.58</v>
      </c>
      <c r="H798">
        <v>81.28</v>
      </c>
      <c r="I798">
        <v>18.420000000000002</v>
      </c>
      <c r="J798">
        <v>60.92</v>
      </c>
      <c r="K798">
        <v>16</v>
      </c>
      <c r="T798">
        <v>3</v>
      </c>
      <c r="U798">
        <v>1</v>
      </c>
      <c r="V798" t="s">
        <v>138</v>
      </c>
      <c r="W798">
        <v>81</v>
      </c>
      <c r="X798">
        <v>19</v>
      </c>
      <c r="Y798">
        <v>19</v>
      </c>
      <c r="Z798" t="s">
        <v>1266</v>
      </c>
      <c r="AA798" t="s">
        <v>1267</v>
      </c>
      <c r="AB798" t="s">
        <v>96</v>
      </c>
      <c r="AC798" t="s">
        <v>97</v>
      </c>
      <c r="AD798" t="s">
        <v>1099</v>
      </c>
      <c r="AG798" t="s">
        <v>1268</v>
      </c>
      <c r="AH798">
        <v>0</v>
      </c>
      <c r="AI798">
        <v>398</v>
      </c>
      <c r="AJ798">
        <v>44</v>
      </c>
      <c r="AK798">
        <v>125</v>
      </c>
      <c r="AL798">
        <v>0.96</v>
      </c>
    </row>
    <row r="799" spans="1:38" x14ac:dyDescent="0.3">
      <c r="A799" t="s">
        <v>1096</v>
      </c>
      <c r="B799">
        <v>14309</v>
      </c>
      <c r="C799">
        <v>3</v>
      </c>
      <c r="D799" t="s">
        <v>1264</v>
      </c>
      <c r="E799" t="s">
        <v>1265</v>
      </c>
      <c r="F799">
        <v>130</v>
      </c>
      <c r="G799">
        <v>26.23</v>
      </c>
      <c r="H799">
        <v>86.73</v>
      </c>
      <c r="I799">
        <v>19.66</v>
      </c>
      <c r="J799">
        <v>65.010000000000005</v>
      </c>
      <c r="K799">
        <v>33</v>
      </c>
      <c r="T799">
        <v>3</v>
      </c>
      <c r="U799">
        <v>1</v>
      </c>
      <c r="V799" t="s">
        <v>93</v>
      </c>
      <c r="W799">
        <v>86</v>
      </c>
      <c r="X799">
        <v>19</v>
      </c>
      <c r="Y799">
        <v>19</v>
      </c>
      <c r="Z799" t="s">
        <v>1266</v>
      </c>
      <c r="AA799" t="s">
        <v>1267</v>
      </c>
      <c r="AB799" t="s">
        <v>96</v>
      </c>
      <c r="AC799" t="s">
        <v>97</v>
      </c>
      <c r="AD799" t="s">
        <v>1099</v>
      </c>
      <c r="AG799" t="s">
        <v>1268</v>
      </c>
      <c r="AH799">
        <v>0</v>
      </c>
      <c r="AI799">
        <v>398</v>
      </c>
      <c r="AJ799">
        <v>44</v>
      </c>
      <c r="AK799">
        <v>125</v>
      </c>
      <c r="AL799">
        <v>0.96</v>
      </c>
    </row>
    <row r="800" spans="1:38" x14ac:dyDescent="0.3">
      <c r="A800" t="s">
        <v>1096</v>
      </c>
      <c r="B800">
        <v>14309</v>
      </c>
      <c r="C800">
        <v>4</v>
      </c>
      <c r="D800" t="s">
        <v>1264</v>
      </c>
      <c r="E800" t="s">
        <v>1265</v>
      </c>
      <c r="F800">
        <v>130</v>
      </c>
      <c r="G800">
        <v>34.76</v>
      </c>
      <c r="H800">
        <v>114.91</v>
      </c>
      <c r="I800">
        <v>25.38</v>
      </c>
      <c r="J800">
        <v>83.92</v>
      </c>
      <c r="K800">
        <v>34</v>
      </c>
      <c r="T800">
        <v>3</v>
      </c>
      <c r="U800">
        <v>2</v>
      </c>
      <c r="V800" t="s">
        <v>93</v>
      </c>
      <c r="W800">
        <v>114</v>
      </c>
      <c r="X800">
        <v>19</v>
      </c>
      <c r="Y800">
        <v>19</v>
      </c>
      <c r="Z800" t="s">
        <v>1266</v>
      </c>
      <c r="AA800" t="s">
        <v>1267</v>
      </c>
      <c r="AB800" t="s">
        <v>96</v>
      </c>
      <c r="AC800" t="s">
        <v>97</v>
      </c>
      <c r="AD800" t="s">
        <v>1099</v>
      </c>
      <c r="AG800" t="s">
        <v>1268</v>
      </c>
      <c r="AH800">
        <v>0</v>
      </c>
      <c r="AI800">
        <v>398</v>
      </c>
      <c r="AJ800">
        <v>44</v>
      </c>
      <c r="AK800">
        <v>125</v>
      </c>
      <c r="AL800">
        <v>0.96</v>
      </c>
    </row>
    <row r="801" spans="1:38" x14ac:dyDescent="0.3">
      <c r="A801" t="s">
        <v>1096</v>
      </c>
      <c r="B801">
        <v>8240</v>
      </c>
      <c r="C801">
        <v>1</v>
      </c>
      <c r="D801" t="s">
        <v>1269</v>
      </c>
      <c r="E801" t="s">
        <v>1270</v>
      </c>
      <c r="F801">
        <v>775</v>
      </c>
      <c r="G801">
        <v>13.49</v>
      </c>
      <c r="H801">
        <v>44.6</v>
      </c>
      <c r="I801">
        <v>9.66</v>
      </c>
      <c r="J801">
        <v>31.95</v>
      </c>
      <c r="K801">
        <v>130</v>
      </c>
      <c r="T801">
        <v>1</v>
      </c>
      <c r="U801">
        <v>1</v>
      </c>
      <c r="V801" t="s">
        <v>93</v>
      </c>
      <c r="W801">
        <v>44</v>
      </c>
      <c r="X801">
        <v>5</v>
      </c>
      <c r="Y801">
        <v>5</v>
      </c>
      <c r="Z801" t="s">
        <v>1271</v>
      </c>
      <c r="AA801" t="s">
        <v>1272</v>
      </c>
      <c r="AB801" t="s">
        <v>96</v>
      </c>
      <c r="AC801" t="s">
        <v>97</v>
      </c>
      <c r="AD801" t="s">
        <v>1099</v>
      </c>
      <c r="AG801" t="s">
        <v>1273</v>
      </c>
      <c r="AH801">
        <v>0</v>
      </c>
      <c r="AI801">
        <v>153</v>
      </c>
      <c r="AJ801">
        <v>31</v>
      </c>
      <c r="AK801">
        <v>775</v>
      </c>
      <c r="AL801">
        <v>1</v>
      </c>
    </row>
    <row r="802" spans="1:38" x14ac:dyDescent="0.3">
      <c r="A802" t="s">
        <v>1096</v>
      </c>
      <c r="B802">
        <v>8240</v>
      </c>
      <c r="C802">
        <v>2</v>
      </c>
      <c r="D802" t="s">
        <v>1269</v>
      </c>
      <c r="E802" t="s">
        <v>1270</v>
      </c>
      <c r="F802">
        <v>775</v>
      </c>
      <c r="G802">
        <v>14.52</v>
      </c>
      <c r="H802">
        <v>48</v>
      </c>
      <c r="I802">
        <v>10.5</v>
      </c>
      <c r="J802">
        <v>34.74</v>
      </c>
      <c r="K802">
        <v>400</v>
      </c>
      <c r="T802">
        <v>2</v>
      </c>
      <c r="U802">
        <v>1</v>
      </c>
      <c r="V802" t="s">
        <v>93</v>
      </c>
      <c r="W802">
        <v>48</v>
      </c>
      <c r="X802">
        <v>5</v>
      </c>
      <c r="Y802">
        <v>5</v>
      </c>
      <c r="Z802" t="s">
        <v>1271</v>
      </c>
      <c r="AA802" t="s">
        <v>1272</v>
      </c>
      <c r="AB802" t="s">
        <v>96</v>
      </c>
      <c r="AC802" t="s">
        <v>97</v>
      </c>
      <c r="AD802" t="s">
        <v>1099</v>
      </c>
      <c r="AG802" t="s">
        <v>1273</v>
      </c>
      <c r="AH802">
        <v>0</v>
      </c>
      <c r="AI802">
        <v>153</v>
      </c>
      <c r="AJ802">
        <v>31</v>
      </c>
      <c r="AK802">
        <v>775</v>
      </c>
      <c r="AL802">
        <v>1</v>
      </c>
    </row>
    <row r="803" spans="1:38" x14ac:dyDescent="0.3">
      <c r="A803" t="s">
        <v>1096</v>
      </c>
      <c r="B803">
        <v>8240</v>
      </c>
      <c r="C803">
        <v>3</v>
      </c>
      <c r="D803" t="s">
        <v>1269</v>
      </c>
      <c r="E803" t="s">
        <v>1270</v>
      </c>
      <c r="F803">
        <v>775</v>
      </c>
      <c r="G803">
        <v>16.37</v>
      </c>
      <c r="H803">
        <v>54.12</v>
      </c>
      <c r="I803">
        <v>12.05</v>
      </c>
      <c r="J803">
        <v>39.840000000000003</v>
      </c>
      <c r="K803">
        <v>190</v>
      </c>
      <c r="T803">
        <v>2</v>
      </c>
      <c r="U803">
        <v>1</v>
      </c>
      <c r="V803" t="s">
        <v>93</v>
      </c>
      <c r="W803">
        <v>54</v>
      </c>
      <c r="X803">
        <v>5</v>
      </c>
      <c r="Y803">
        <v>5</v>
      </c>
      <c r="Z803" t="s">
        <v>1271</v>
      </c>
      <c r="AA803" t="s">
        <v>1272</v>
      </c>
      <c r="AB803" t="s">
        <v>96</v>
      </c>
      <c r="AC803" t="s">
        <v>97</v>
      </c>
      <c r="AD803" t="s">
        <v>1099</v>
      </c>
      <c r="AG803" t="s">
        <v>1273</v>
      </c>
      <c r="AH803">
        <v>0</v>
      </c>
      <c r="AI803">
        <v>153</v>
      </c>
      <c r="AJ803">
        <v>31</v>
      </c>
      <c r="AK803">
        <v>775</v>
      </c>
      <c r="AL803">
        <v>1</v>
      </c>
    </row>
    <row r="804" spans="1:38" x14ac:dyDescent="0.3">
      <c r="A804" t="s">
        <v>1096</v>
      </c>
      <c r="B804">
        <v>8240</v>
      </c>
      <c r="C804">
        <v>4</v>
      </c>
      <c r="D804" t="s">
        <v>1269</v>
      </c>
      <c r="E804" t="s">
        <v>1270</v>
      </c>
      <c r="F804">
        <v>775</v>
      </c>
      <c r="G804">
        <v>19</v>
      </c>
      <c r="H804">
        <v>62.82</v>
      </c>
      <c r="I804">
        <v>14.09</v>
      </c>
      <c r="J804">
        <v>46.59</v>
      </c>
      <c r="K804">
        <v>50</v>
      </c>
      <c r="T804">
        <v>3</v>
      </c>
      <c r="U804">
        <v>1</v>
      </c>
      <c r="V804" t="s">
        <v>93</v>
      </c>
      <c r="W804">
        <v>62</v>
      </c>
      <c r="X804">
        <v>5</v>
      </c>
      <c r="Y804">
        <v>5</v>
      </c>
      <c r="Z804" t="s">
        <v>1271</v>
      </c>
      <c r="AA804" t="s">
        <v>1272</v>
      </c>
      <c r="AB804" t="s">
        <v>96</v>
      </c>
      <c r="AC804" t="s">
        <v>97</v>
      </c>
      <c r="AD804" t="s">
        <v>1099</v>
      </c>
      <c r="AG804" t="s">
        <v>1273</v>
      </c>
      <c r="AH804">
        <v>0</v>
      </c>
      <c r="AI804">
        <v>153</v>
      </c>
      <c r="AJ804">
        <v>31</v>
      </c>
      <c r="AK804">
        <v>775</v>
      </c>
      <c r="AL804">
        <v>1</v>
      </c>
    </row>
    <row r="805" spans="1:38" x14ac:dyDescent="0.3">
      <c r="A805" t="s">
        <v>1096</v>
      </c>
      <c r="B805">
        <v>8240</v>
      </c>
      <c r="C805">
        <v>5</v>
      </c>
      <c r="D805" t="s">
        <v>1269</v>
      </c>
      <c r="E805" t="s">
        <v>1270</v>
      </c>
      <c r="F805">
        <v>775</v>
      </c>
      <c r="G805">
        <v>20.239999999999998</v>
      </c>
      <c r="H805">
        <v>66.94</v>
      </c>
      <c r="I805">
        <v>13.83</v>
      </c>
      <c r="J805">
        <v>45.72</v>
      </c>
      <c r="K805">
        <v>5</v>
      </c>
      <c r="T805">
        <v>3</v>
      </c>
      <c r="U805">
        <v>1</v>
      </c>
      <c r="V805" t="s">
        <v>93</v>
      </c>
      <c r="W805">
        <v>66</v>
      </c>
      <c r="X805">
        <v>5</v>
      </c>
      <c r="Y805">
        <v>5</v>
      </c>
      <c r="Z805" t="s">
        <v>1271</v>
      </c>
      <c r="AA805" t="s">
        <v>1272</v>
      </c>
      <c r="AB805" t="s">
        <v>96</v>
      </c>
      <c r="AC805" t="s">
        <v>97</v>
      </c>
      <c r="AD805" t="s">
        <v>1099</v>
      </c>
      <c r="AG805" t="s">
        <v>1273</v>
      </c>
      <c r="AH805">
        <v>0</v>
      </c>
      <c r="AI805">
        <v>153</v>
      </c>
      <c r="AJ805">
        <v>31</v>
      </c>
      <c r="AK805">
        <v>775</v>
      </c>
      <c r="AL805">
        <v>1</v>
      </c>
    </row>
    <row r="806" spans="1:38" x14ac:dyDescent="0.3">
      <c r="A806" t="s">
        <v>1096</v>
      </c>
      <c r="B806">
        <v>8269</v>
      </c>
      <c r="C806">
        <v>1</v>
      </c>
      <c r="D806" t="s">
        <v>1274</v>
      </c>
      <c r="E806" t="s">
        <v>1275</v>
      </c>
      <c r="F806">
        <v>98</v>
      </c>
      <c r="G806">
        <v>18.32</v>
      </c>
      <c r="H806">
        <v>60.57</v>
      </c>
      <c r="I806">
        <v>15.11</v>
      </c>
      <c r="J806">
        <v>49.97</v>
      </c>
      <c r="K806">
        <v>10</v>
      </c>
      <c r="T806">
        <v>2</v>
      </c>
      <c r="U806">
        <v>1</v>
      </c>
      <c r="V806" t="s">
        <v>138</v>
      </c>
      <c r="W806">
        <v>60</v>
      </c>
      <c r="X806">
        <v>11</v>
      </c>
      <c r="Y806">
        <v>10</v>
      </c>
      <c r="Z806" t="s">
        <v>1276</v>
      </c>
      <c r="AA806" t="s">
        <v>1277</v>
      </c>
      <c r="AB806" t="s">
        <v>96</v>
      </c>
      <c r="AC806" t="s">
        <v>97</v>
      </c>
      <c r="AD806" t="s">
        <v>1099</v>
      </c>
      <c r="AG806" t="s">
        <v>1278</v>
      </c>
      <c r="AH806">
        <v>0</v>
      </c>
      <c r="AI806">
        <v>275</v>
      </c>
      <c r="AJ806">
        <v>28</v>
      </c>
      <c r="AK806">
        <v>49</v>
      </c>
      <c r="AL806">
        <v>0.5</v>
      </c>
    </row>
    <row r="807" spans="1:38" x14ac:dyDescent="0.3">
      <c r="A807" t="s">
        <v>1096</v>
      </c>
      <c r="B807">
        <v>8269</v>
      </c>
      <c r="C807">
        <v>2</v>
      </c>
      <c r="D807" t="s">
        <v>1274</v>
      </c>
      <c r="E807" t="s">
        <v>1275</v>
      </c>
      <c r="F807">
        <v>98</v>
      </c>
      <c r="G807">
        <v>18.760000000000002</v>
      </c>
      <c r="H807">
        <v>62.02</v>
      </c>
      <c r="I807">
        <v>15.47</v>
      </c>
      <c r="J807">
        <v>51.17</v>
      </c>
      <c r="K807">
        <v>10</v>
      </c>
      <c r="T807">
        <v>2</v>
      </c>
      <c r="U807">
        <v>1</v>
      </c>
      <c r="V807" t="s">
        <v>138</v>
      </c>
      <c r="W807">
        <v>62</v>
      </c>
      <c r="X807">
        <v>11</v>
      </c>
      <c r="Y807">
        <v>10</v>
      </c>
      <c r="Z807" t="s">
        <v>1276</v>
      </c>
      <c r="AA807" t="s">
        <v>1277</v>
      </c>
      <c r="AB807" t="s">
        <v>96</v>
      </c>
      <c r="AC807" t="s">
        <v>97</v>
      </c>
      <c r="AD807" t="s">
        <v>1099</v>
      </c>
      <c r="AG807" t="s">
        <v>1278</v>
      </c>
      <c r="AH807">
        <v>0</v>
      </c>
      <c r="AI807">
        <v>275</v>
      </c>
      <c r="AJ807">
        <v>28</v>
      </c>
      <c r="AK807">
        <v>49</v>
      </c>
      <c r="AL807">
        <v>0.5</v>
      </c>
    </row>
    <row r="808" spans="1:38" x14ac:dyDescent="0.3">
      <c r="A808" t="s">
        <v>1096</v>
      </c>
      <c r="B808">
        <v>8269</v>
      </c>
      <c r="C808">
        <v>3</v>
      </c>
      <c r="D808" t="s">
        <v>1274</v>
      </c>
      <c r="E808" t="s">
        <v>1275</v>
      </c>
      <c r="F808">
        <v>98</v>
      </c>
      <c r="G808">
        <v>20.76</v>
      </c>
      <c r="H808">
        <v>68.63</v>
      </c>
      <c r="I808">
        <v>17.12</v>
      </c>
      <c r="J808">
        <v>56.62</v>
      </c>
      <c r="K808">
        <v>10</v>
      </c>
      <c r="T808">
        <v>2</v>
      </c>
      <c r="U808">
        <v>1</v>
      </c>
      <c r="V808" t="s">
        <v>138</v>
      </c>
      <c r="W808" t="s">
        <v>1279</v>
      </c>
      <c r="X808">
        <v>11</v>
      </c>
      <c r="Y808">
        <v>10</v>
      </c>
      <c r="Z808" t="s">
        <v>1276</v>
      </c>
      <c r="AA808" t="s">
        <v>1277</v>
      </c>
      <c r="AB808" t="s">
        <v>96</v>
      </c>
      <c r="AC808" t="s">
        <v>97</v>
      </c>
      <c r="AD808" t="s">
        <v>1099</v>
      </c>
      <c r="AG808" t="s">
        <v>1278</v>
      </c>
      <c r="AH808">
        <v>0</v>
      </c>
      <c r="AI808">
        <v>275</v>
      </c>
      <c r="AJ808">
        <v>28</v>
      </c>
      <c r="AK808">
        <v>49</v>
      </c>
      <c r="AL808">
        <v>0.5</v>
      </c>
    </row>
    <row r="809" spans="1:38" x14ac:dyDescent="0.3">
      <c r="A809" t="s">
        <v>1096</v>
      </c>
      <c r="B809">
        <v>8269</v>
      </c>
      <c r="C809">
        <v>4</v>
      </c>
      <c r="D809" t="s">
        <v>1274</v>
      </c>
      <c r="E809" t="s">
        <v>1275</v>
      </c>
      <c r="F809">
        <v>98</v>
      </c>
      <c r="G809">
        <v>20.69</v>
      </c>
      <c r="H809">
        <v>68.400000000000006</v>
      </c>
      <c r="I809">
        <v>17.07</v>
      </c>
      <c r="J809">
        <v>56.43</v>
      </c>
      <c r="K809">
        <v>1</v>
      </c>
      <c r="T809">
        <v>2</v>
      </c>
      <c r="U809">
        <v>1</v>
      </c>
      <c r="V809" t="s">
        <v>138</v>
      </c>
      <c r="W809" t="s">
        <v>1047</v>
      </c>
      <c r="X809">
        <v>11</v>
      </c>
      <c r="Y809">
        <v>10</v>
      </c>
      <c r="Z809" t="s">
        <v>1276</v>
      </c>
      <c r="AA809" t="s">
        <v>1277</v>
      </c>
      <c r="AB809" t="s">
        <v>96</v>
      </c>
      <c r="AC809" t="s">
        <v>97</v>
      </c>
      <c r="AD809" t="s">
        <v>1099</v>
      </c>
      <c r="AG809" t="s">
        <v>1278</v>
      </c>
      <c r="AH809">
        <v>0</v>
      </c>
      <c r="AI809">
        <v>275</v>
      </c>
      <c r="AJ809">
        <v>28</v>
      </c>
      <c r="AK809">
        <v>49</v>
      </c>
      <c r="AL809">
        <v>0.5</v>
      </c>
    </row>
    <row r="810" spans="1:38" x14ac:dyDescent="0.3">
      <c r="A810" t="s">
        <v>1096</v>
      </c>
      <c r="B810">
        <v>8269</v>
      </c>
      <c r="C810">
        <v>5</v>
      </c>
      <c r="D810" t="s">
        <v>1274</v>
      </c>
      <c r="E810" t="s">
        <v>1275</v>
      </c>
      <c r="F810">
        <v>98</v>
      </c>
      <c r="G810">
        <v>21.07</v>
      </c>
      <c r="H810">
        <v>69.680000000000007</v>
      </c>
      <c r="I810">
        <v>17.39</v>
      </c>
      <c r="J810">
        <v>57.49</v>
      </c>
      <c r="K810">
        <v>1</v>
      </c>
      <c r="T810">
        <v>2</v>
      </c>
      <c r="U810">
        <v>1</v>
      </c>
      <c r="V810" t="s">
        <v>93</v>
      </c>
      <c r="W810" t="s">
        <v>102</v>
      </c>
      <c r="X810">
        <v>11</v>
      </c>
      <c r="Y810">
        <v>10</v>
      </c>
      <c r="Z810" t="s">
        <v>1276</v>
      </c>
      <c r="AA810" t="s">
        <v>1277</v>
      </c>
      <c r="AB810" t="s">
        <v>96</v>
      </c>
      <c r="AC810" t="s">
        <v>97</v>
      </c>
      <c r="AD810" t="s">
        <v>1099</v>
      </c>
      <c r="AG810" t="s">
        <v>1278</v>
      </c>
      <c r="AH810">
        <v>0</v>
      </c>
      <c r="AI810">
        <v>275</v>
      </c>
      <c r="AJ810">
        <v>28</v>
      </c>
      <c r="AK810">
        <v>49</v>
      </c>
      <c r="AL810">
        <v>0.5</v>
      </c>
    </row>
    <row r="811" spans="1:38" x14ac:dyDescent="0.3">
      <c r="A811" t="s">
        <v>1096</v>
      </c>
      <c r="B811">
        <v>8269</v>
      </c>
      <c r="C811">
        <v>6</v>
      </c>
      <c r="D811" t="s">
        <v>1274</v>
      </c>
      <c r="E811" t="s">
        <v>1275</v>
      </c>
      <c r="F811">
        <v>98</v>
      </c>
      <c r="G811">
        <v>21.87</v>
      </c>
      <c r="H811">
        <v>72.33</v>
      </c>
      <c r="I811">
        <v>18.05</v>
      </c>
      <c r="J811">
        <v>59.67</v>
      </c>
      <c r="K811">
        <v>6</v>
      </c>
      <c r="T811">
        <v>3</v>
      </c>
      <c r="U811">
        <v>1</v>
      </c>
      <c r="V811" t="s">
        <v>93</v>
      </c>
      <c r="W811">
        <v>72</v>
      </c>
      <c r="X811">
        <v>11</v>
      </c>
      <c r="Y811">
        <v>10</v>
      </c>
      <c r="Z811" t="s">
        <v>1276</v>
      </c>
      <c r="AA811" t="s">
        <v>1277</v>
      </c>
      <c r="AB811" t="s">
        <v>96</v>
      </c>
      <c r="AC811" t="s">
        <v>97</v>
      </c>
      <c r="AD811" t="s">
        <v>1099</v>
      </c>
      <c r="AG811" t="s">
        <v>1278</v>
      </c>
      <c r="AH811">
        <v>0</v>
      </c>
      <c r="AI811">
        <v>275</v>
      </c>
      <c r="AJ811">
        <v>28</v>
      </c>
      <c r="AK811">
        <v>49</v>
      </c>
      <c r="AL811">
        <v>0.5</v>
      </c>
    </row>
    <row r="812" spans="1:38" x14ac:dyDescent="0.3">
      <c r="A812" t="s">
        <v>1096</v>
      </c>
      <c r="B812">
        <v>8269</v>
      </c>
      <c r="C812">
        <v>7</v>
      </c>
      <c r="D812" t="s">
        <v>1274</v>
      </c>
      <c r="E812" t="s">
        <v>1275</v>
      </c>
      <c r="F812">
        <v>98</v>
      </c>
      <c r="G812">
        <v>31</v>
      </c>
      <c r="H812">
        <v>102.49</v>
      </c>
      <c r="I812">
        <v>25.57</v>
      </c>
      <c r="J812">
        <v>84.56</v>
      </c>
      <c r="K812">
        <v>60</v>
      </c>
      <c r="T812">
        <v>3</v>
      </c>
      <c r="U812">
        <v>2</v>
      </c>
      <c r="V812" t="s">
        <v>93</v>
      </c>
      <c r="W812">
        <v>102</v>
      </c>
      <c r="X812">
        <v>11</v>
      </c>
      <c r="Y812">
        <v>10</v>
      </c>
      <c r="Z812" t="s">
        <v>1276</v>
      </c>
      <c r="AA812" t="s">
        <v>1277</v>
      </c>
      <c r="AB812" t="s">
        <v>96</v>
      </c>
      <c r="AC812" t="s">
        <v>97</v>
      </c>
      <c r="AD812" t="s">
        <v>1099</v>
      </c>
      <c r="AG812" t="s">
        <v>1278</v>
      </c>
      <c r="AH812">
        <v>0</v>
      </c>
      <c r="AI812">
        <v>275</v>
      </c>
      <c r="AJ812">
        <v>28</v>
      </c>
      <c r="AK812">
        <v>49</v>
      </c>
      <c r="AL812">
        <v>0.5</v>
      </c>
    </row>
    <row r="813" spans="1:38" x14ac:dyDescent="0.3">
      <c r="A813" t="s">
        <v>1096</v>
      </c>
      <c r="B813">
        <v>125101</v>
      </c>
      <c r="C813">
        <v>1</v>
      </c>
      <c r="D813" t="s">
        <v>1280</v>
      </c>
      <c r="E813" t="s">
        <v>1281</v>
      </c>
      <c r="F813">
        <v>1646</v>
      </c>
      <c r="G813">
        <v>17.079999999999998</v>
      </c>
      <c r="H813">
        <v>56.47</v>
      </c>
      <c r="I813">
        <v>12.08</v>
      </c>
      <c r="J813">
        <v>39.96</v>
      </c>
      <c r="K813">
        <v>85</v>
      </c>
      <c r="T813">
        <v>2</v>
      </c>
      <c r="U813">
        <v>1</v>
      </c>
      <c r="V813" t="s">
        <v>93</v>
      </c>
      <c r="W813">
        <v>56</v>
      </c>
      <c r="X813">
        <v>33</v>
      </c>
      <c r="Y813">
        <v>28</v>
      </c>
      <c r="Z813" t="s">
        <v>1282</v>
      </c>
      <c r="AA813" t="s">
        <v>1283</v>
      </c>
      <c r="AB813" t="s">
        <v>96</v>
      </c>
      <c r="AC813" t="s">
        <v>97</v>
      </c>
      <c r="AD813" t="s">
        <v>1099</v>
      </c>
      <c r="AG813" t="s">
        <v>1284</v>
      </c>
      <c r="AH813">
        <v>83</v>
      </c>
      <c r="AI813">
        <v>249</v>
      </c>
      <c r="AJ813">
        <v>14</v>
      </c>
      <c r="AK813">
        <v>1942</v>
      </c>
      <c r="AL813">
        <v>1.18</v>
      </c>
    </row>
    <row r="814" spans="1:38" x14ac:dyDescent="0.3">
      <c r="A814" t="s">
        <v>1096</v>
      </c>
      <c r="B814">
        <v>125101</v>
      </c>
      <c r="C814">
        <v>2</v>
      </c>
      <c r="D814" t="s">
        <v>1280</v>
      </c>
      <c r="E814" t="s">
        <v>1281</v>
      </c>
      <c r="F814">
        <v>1646</v>
      </c>
      <c r="G814">
        <v>19.89</v>
      </c>
      <c r="H814">
        <v>65.78</v>
      </c>
      <c r="I814">
        <v>14.06</v>
      </c>
      <c r="J814">
        <v>46.48</v>
      </c>
      <c r="K814">
        <v>87</v>
      </c>
      <c r="T814">
        <v>2</v>
      </c>
      <c r="U814">
        <v>1</v>
      </c>
      <c r="V814" t="s">
        <v>93</v>
      </c>
      <c r="W814">
        <v>65</v>
      </c>
      <c r="X814">
        <v>33</v>
      </c>
      <c r="Y814">
        <v>28</v>
      </c>
      <c r="Z814" t="s">
        <v>1282</v>
      </c>
      <c r="AA814" t="s">
        <v>1283</v>
      </c>
      <c r="AB814" t="s">
        <v>96</v>
      </c>
      <c r="AC814" t="s">
        <v>97</v>
      </c>
      <c r="AD814" t="s">
        <v>1099</v>
      </c>
      <c r="AG814" t="s">
        <v>1284</v>
      </c>
      <c r="AH814">
        <v>83</v>
      </c>
      <c r="AI814">
        <v>249</v>
      </c>
      <c r="AJ814">
        <v>14</v>
      </c>
      <c r="AK814">
        <v>1942</v>
      </c>
      <c r="AL814">
        <v>1.18</v>
      </c>
    </row>
    <row r="815" spans="1:38" x14ac:dyDescent="0.3">
      <c r="A815" t="s">
        <v>1096</v>
      </c>
      <c r="B815">
        <v>125101</v>
      </c>
      <c r="C815">
        <v>3</v>
      </c>
      <c r="D815" t="s">
        <v>1280</v>
      </c>
      <c r="E815" t="s">
        <v>1281</v>
      </c>
      <c r="F815">
        <v>1646</v>
      </c>
      <c r="G815">
        <v>24.14</v>
      </c>
      <c r="H815">
        <v>79.83</v>
      </c>
      <c r="I815">
        <v>18.11</v>
      </c>
      <c r="J815">
        <v>59.88</v>
      </c>
      <c r="K815">
        <v>723</v>
      </c>
      <c r="T815">
        <v>3</v>
      </c>
      <c r="U815">
        <v>2</v>
      </c>
      <c r="V815" t="s">
        <v>93</v>
      </c>
      <c r="W815" t="s">
        <v>134</v>
      </c>
      <c r="X815">
        <v>33</v>
      </c>
      <c r="Y815">
        <v>28</v>
      </c>
      <c r="Z815" t="s">
        <v>1282</v>
      </c>
      <c r="AA815" t="s">
        <v>1283</v>
      </c>
      <c r="AB815" t="s">
        <v>96</v>
      </c>
      <c r="AC815" t="s">
        <v>97</v>
      </c>
      <c r="AD815" t="s">
        <v>1099</v>
      </c>
      <c r="AG815" t="s">
        <v>1284</v>
      </c>
      <c r="AH815">
        <v>83</v>
      </c>
      <c r="AI815">
        <v>249</v>
      </c>
      <c r="AJ815">
        <v>14</v>
      </c>
      <c r="AK815">
        <v>1942</v>
      </c>
      <c r="AL815">
        <v>1.18</v>
      </c>
    </row>
    <row r="816" spans="1:38" x14ac:dyDescent="0.3">
      <c r="A816" t="s">
        <v>1096</v>
      </c>
      <c r="B816">
        <v>125101</v>
      </c>
      <c r="C816">
        <v>4</v>
      </c>
      <c r="D816" t="s">
        <v>1280</v>
      </c>
      <c r="E816" t="s">
        <v>1281</v>
      </c>
      <c r="F816">
        <v>1646</v>
      </c>
      <c r="G816">
        <v>24.11</v>
      </c>
      <c r="H816">
        <v>79.709999999999994</v>
      </c>
      <c r="I816">
        <v>18.14</v>
      </c>
      <c r="J816">
        <v>59.97</v>
      </c>
      <c r="K816">
        <v>193</v>
      </c>
      <c r="T816">
        <v>3</v>
      </c>
      <c r="U816">
        <v>2</v>
      </c>
      <c r="V816" t="s">
        <v>93</v>
      </c>
      <c r="W816" t="s">
        <v>135</v>
      </c>
      <c r="X816">
        <v>33</v>
      </c>
      <c r="Y816">
        <v>28</v>
      </c>
      <c r="Z816" t="s">
        <v>1282</v>
      </c>
      <c r="AA816" t="s">
        <v>1283</v>
      </c>
      <c r="AB816" t="s">
        <v>96</v>
      </c>
      <c r="AC816" t="s">
        <v>97</v>
      </c>
      <c r="AD816" t="s">
        <v>1099</v>
      </c>
      <c r="AG816" t="s">
        <v>1284</v>
      </c>
      <c r="AH816">
        <v>83</v>
      </c>
      <c r="AI816">
        <v>249</v>
      </c>
      <c r="AJ816">
        <v>14</v>
      </c>
      <c r="AK816">
        <v>1942</v>
      </c>
      <c r="AL816">
        <v>1.18</v>
      </c>
    </row>
    <row r="817" spans="1:38" x14ac:dyDescent="0.3">
      <c r="A817" t="s">
        <v>1096</v>
      </c>
      <c r="B817">
        <v>125101</v>
      </c>
      <c r="C817">
        <v>5</v>
      </c>
      <c r="D817" t="s">
        <v>1280</v>
      </c>
      <c r="E817" t="s">
        <v>1281</v>
      </c>
      <c r="F817">
        <v>1646</v>
      </c>
      <c r="G817">
        <v>29.64</v>
      </c>
      <c r="H817">
        <v>98</v>
      </c>
      <c r="I817">
        <v>22.66</v>
      </c>
      <c r="J817">
        <v>74.930000000000007</v>
      </c>
      <c r="K817">
        <v>253</v>
      </c>
      <c r="T817">
        <v>3</v>
      </c>
      <c r="U817">
        <v>2</v>
      </c>
      <c r="V817" t="s">
        <v>93</v>
      </c>
      <c r="W817">
        <v>98</v>
      </c>
      <c r="X817">
        <v>33</v>
      </c>
      <c r="Y817">
        <v>28</v>
      </c>
      <c r="Z817" t="s">
        <v>1282</v>
      </c>
      <c r="AA817" t="s">
        <v>1283</v>
      </c>
      <c r="AB817" t="s">
        <v>96</v>
      </c>
      <c r="AC817" t="s">
        <v>97</v>
      </c>
      <c r="AD817" t="s">
        <v>1099</v>
      </c>
      <c r="AG817" t="s">
        <v>1284</v>
      </c>
      <c r="AH817">
        <v>83</v>
      </c>
      <c r="AI817">
        <v>249</v>
      </c>
      <c r="AJ817">
        <v>14</v>
      </c>
      <c r="AK817">
        <v>1942</v>
      </c>
      <c r="AL817">
        <v>1.18</v>
      </c>
    </row>
    <row r="818" spans="1:38" x14ac:dyDescent="0.3">
      <c r="A818" t="s">
        <v>1096</v>
      </c>
      <c r="B818">
        <v>125101</v>
      </c>
      <c r="C818">
        <v>6</v>
      </c>
      <c r="D818" t="s">
        <v>1280</v>
      </c>
      <c r="E818" t="s">
        <v>1281</v>
      </c>
      <c r="F818">
        <v>1646</v>
      </c>
      <c r="G818">
        <v>32.42</v>
      </c>
      <c r="H818">
        <v>107.18</v>
      </c>
      <c r="I818">
        <v>25.68</v>
      </c>
      <c r="J818">
        <v>84.92</v>
      </c>
      <c r="K818">
        <v>305</v>
      </c>
      <c r="T818">
        <v>3</v>
      </c>
      <c r="U818">
        <v>2</v>
      </c>
      <c r="V818" t="s">
        <v>93</v>
      </c>
      <c r="W818">
        <v>107</v>
      </c>
      <c r="X818">
        <v>33</v>
      </c>
      <c r="Y818">
        <v>28</v>
      </c>
      <c r="Z818" t="s">
        <v>1282</v>
      </c>
      <c r="AA818" t="s">
        <v>1283</v>
      </c>
      <c r="AB818" t="s">
        <v>96</v>
      </c>
      <c r="AC818" t="s">
        <v>97</v>
      </c>
      <c r="AD818" t="s">
        <v>1099</v>
      </c>
      <c r="AG818" t="s">
        <v>1284</v>
      </c>
      <c r="AH818">
        <v>83</v>
      </c>
      <c r="AI818">
        <v>249</v>
      </c>
      <c r="AJ818">
        <v>14</v>
      </c>
      <c r="AK818">
        <v>1942</v>
      </c>
      <c r="AL818">
        <v>1.18</v>
      </c>
    </row>
    <row r="819" spans="1:38" x14ac:dyDescent="0.3">
      <c r="A819" t="s">
        <v>1096</v>
      </c>
      <c r="B819">
        <v>8241</v>
      </c>
      <c r="C819">
        <v>1</v>
      </c>
      <c r="D819" t="s">
        <v>122</v>
      </c>
      <c r="E819" t="s">
        <v>390</v>
      </c>
      <c r="F819">
        <v>324</v>
      </c>
      <c r="G819">
        <v>23.42</v>
      </c>
      <c r="H819">
        <v>77.45</v>
      </c>
      <c r="I819">
        <v>18.149999999999999</v>
      </c>
      <c r="J819">
        <v>60</v>
      </c>
      <c r="K819">
        <v>160</v>
      </c>
      <c r="T819">
        <v>3</v>
      </c>
      <c r="U819">
        <v>1</v>
      </c>
      <c r="V819" t="s">
        <v>93</v>
      </c>
      <c r="W819">
        <v>77</v>
      </c>
      <c r="X819">
        <v>20</v>
      </c>
      <c r="Y819">
        <v>15</v>
      </c>
      <c r="Z819" t="s">
        <v>1285</v>
      </c>
      <c r="AA819" t="s">
        <v>1286</v>
      </c>
      <c r="AB819" t="s">
        <v>96</v>
      </c>
      <c r="AC819" t="s">
        <v>97</v>
      </c>
      <c r="AD819" t="s">
        <v>1099</v>
      </c>
      <c r="AG819" t="s">
        <v>1287</v>
      </c>
      <c r="AH819">
        <v>0</v>
      </c>
      <c r="AI819">
        <v>257</v>
      </c>
      <c r="AJ819">
        <v>18</v>
      </c>
      <c r="AK819">
        <v>231</v>
      </c>
      <c r="AL819">
        <v>0.71</v>
      </c>
    </row>
    <row r="820" spans="1:38" x14ac:dyDescent="0.3">
      <c r="A820" t="s">
        <v>1096</v>
      </c>
      <c r="B820">
        <v>8241</v>
      </c>
      <c r="C820">
        <v>2</v>
      </c>
      <c r="D820" t="s">
        <v>122</v>
      </c>
      <c r="E820" t="s">
        <v>390</v>
      </c>
      <c r="F820">
        <v>324</v>
      </c>
      <c r="G820">
        <v>32.020000000000003</v>
      </c>
      <c r="H820">
        <v>105.86</v>
      </c>
      <c r="I820">
        <v>25.7</v>
      </c>
      <c r="J820">
        <v>84.97</v>
      </c>
      <c r="K820">
        <v>164</v>
      </c>
      <c r="T820">
        <v>3</v>
      </c>
      <c r="U820">
        <v>2</v>
      </c>
      <c r="V820" t="s">
        <v>93</v>
      </c>
      <c r="W820">
        <v>105</v>
      </c>
      <c r="X820">
        <v>20</v>
      </c>
      <c r="Y820">
        <v>15</v>
      </c>
      <c r="Z820" t="s">
        <v>1285</v>
      </c>
      <c r="AA820" t="s">
        <v>1286</v>
      </c>
      <c r="AB820" t="s">
        <v>96</v>
      </c>
      <c r="AC820" t="s">
        <v>97</v>
      </c>
      <c r="AD820" t="s">
        <v>1099</v>
      </c>
      <c r="AG820" t="s">
        <v>1287</v>
      </c>
      <c r="AH820">
        <v>0</v>
      </c>
      <c r="AI820">
        <v>257</v>
      </c>
      <c r="AJ820">
        <v>18</v>
      </c>
      <c r="AK820">
        <v>231</v>
      </c>
      <c r="AL820">
        <v>0.71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계산동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1288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계산동 서해2차('90.09.,222^)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1289</v>
      </c>
      <c r="B6" s="16" t="s">
        <v>1290</v>
      </c>
      <c r="C6" s="28">
        <v>222</v>
      </c>
      <c r="D6" s="25">
        <v>73.900000000000006</v>
      </c>
      <c r="E6" s="106">
        <v>22</v>
      </c>
      <c r="F6" s="25">
        <v>58.1</v>
      </c>
      <c r="G6" s="27">
        <v>18</v>
      </c>
      <c r="H6" s="28">
        <v>164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1291</v>
      </c>
      <c r="T6" s="8">
        <v>73</v>
      </c>
      <c r="U6" s="13"/>
      <c r="W6" s="25">
        <f>D6</f>
        <v>73.900000000000006</v>
      </c>
      <c r="X6" s="106">
        <f>E6</f>
        <v>22</v>
      </c>
      <c r="Y6" s="32">
        <f>H6</f>
        <v>164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서해2차</v>
      </c>
      <c r="AI6" s="106">
        <f>IF(E6="","",E6)</f>
        <v>22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1292</v>
      </c>
      <c r="B7" s="16" t="s">
        <v>1293</v>
      </c>
      <c r="C7" s="28">
        <v>222</v>
      </c>
      <c r="D7" s="25">
        <v>76</v>
      </c>
      <c r="E7" s="106">
        <v>23</v>
      </c>
      <c r="F7" s="25">
        <v>59.9</v>
      </c>
      <c r="G7" s="27">
        <v>18</v>
      </c>
      <c r="H7" s="28">
        <v>30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1294</v>
      </c>
      <c r="T7" s="8">
        <v>75</v>
      </c>
      <c r="U7" s="13"/>
      <c r="W7" s="25">
        <f>D7</f>
        <v>76</v>
      </c>
      <c r="X7" s="106">
        <f>E7</f>
        <v>23</v>
      </c>
      <c r="Y7" s="32">
        <f>H7</f>
        <v>30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서해2차</v>
      </c>
      <c r="AI7" s="106">
        <f>IF(E7="","",E7)</f>
        <v>23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1289</v>
      </c>
      <c r="B8" s="16" t="s">
        <v>1295</v>
      </c>
      <c r="C8" s="28">
        <v>222</v>
      </c>
      <c r="D8" s="25">
        <v>83.2</v>
      </c>
      <c r="E8" s="106">
        <v>25</v>
      </c>
      <c r="F8" s="25">
        <v>66</v>
      </c>
      <c r="G8" s="27">
        <v>20</v>
      </c>
      <c r="H8" s="28">
        <v>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1296</v>
      </c>
      <c r="T8" s="8" t="s">
        <v>115</v>
      </c>
      <c r="U8" s="13"/>
      <c r="W8" s="25">
        <f>D8</f>
        <v>83.2</v>
      </c>
      <c r="X8" s="106">
        <f>E8</f>
        <v>25</v>
      </c>
      <c r="Y8" s="32">
        <f>H8</f>
        <v>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서해2차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1297</v>
      </c>
      <c r="B9" s="16" t="s">
        <v>1298</v>
      </c>
      <c r="C9" s="28">
        <v>222</v>
      </c>
      <c r="D9" s="25">
        <v>83.8</v>
      </c>
      <c r="E9" s="106">
        <v>25</v>
      </c>
      <c r="F9" s="25">
        <v>66.5</v>
      </c>
      <c r="G9" s="27">
        <v>20</v>
      </c>
      <c r="H9" s="28">
        <v>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1296</v>
      </c>
      <c r="T9" s="8" t="s">
        <v>116</v>
      </c>
      <c r="U9" s="13"/>
      <c r="W9" s="25">
        <f>D9</f>
        <v>83.8</v>
      </c>
      <c r="X9" s="106">
        <f>E9</f>
        <v>25</v>
      </c>
      <c r="Y9" s="32">
        <f>H9</f>
        <v>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서해2차</v>
      </c>
      <c r="AI9" s="106">
        <f>IF(E9="","",E9)</f>
        <v>25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1297</v>
      </c>
      <c r="B10" s="16" t="s">
        <v>1298</v>
      </c>
      <c r="C10" s="28">
        <v>222</v>
      </c>
      <c r="D10" s="25">
        <v>89.9</v>
      </c>
      <c r="E10" s="106">
        <v>27</v>
      </c>
      <c r="F10" s="25">
        <v>72</v>
      </c>
      <c r="G10" s="27">
        <v>22</v>
      </c>
      <c r="H10" s="28">
        <v>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1296</v>
      </c>
      <c r="T10" s="8">
        <v>89</v>
      </c>
      <c r="U10" s="13"/>
      <c r="W10" s="25">
        <f>D10</f>
        <v>89.9</v>
      </c>
      <c r="X10" s="106">
        <f>E10</f>
        <v>27</v>
      </c>
      <c r="Y10" s="32">
        <f>H10</f>
        <v>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서해2차</v>
      </c>
      <c r="AI10" s="106">
        <f>IF(E10="","",E10)</f>
        <v>27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1297</v>
      </c>
      <c r="B11" s="16" t="s">
        <v>1298</v>
      </c>
      <c r="C11" s="28">
        <v>222</v>
      </c>
      <c r="D11" s="25">
        <v>97</v>
      </c>
      <c r="E11" s="106">
        <v>29</v>
      </c>
      <c r="F11" s="25">
        <v>78.099999999999994</v>
      </c>
      <c r="G11" s="27">
        <v>24</v>
      </c>
      <c r="H11" s="28">
        <v>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1296</v>
      </c>
      <c r="T11" s="8">
        <v>96</v>
      </c>
      <c r="U11" s="13"/>
      <c r="W11" s="25">
        <f>D11</f>
        <v>97</v>
      </c>
      <c r="X11" s="106">
        <f>E11</f>
        <v>29</v>
      </c>
      <c r="Y11" s="32">
        <f>H11</f>
        <v>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서해2차</v>
      </c>
      <c r="AI11" s="106">
        <f>IF(E11="","",E11)</f>
        <v>29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1297</v>
      </c>
      <c r="B12" s="16" t="s">
        <v>1298</v>
      </c>
      <c r="C12" s="28">
        <v>222</v>
      </c>
      <c r="D12" s="25">
        <v>102.6</v>
      </c>
      <c r="E12" s="106">
        <v>31</v>
      </c>
      <c r="F12" s="25">
        <v>77.099999999999994</v>
      </c>
      <c r="G12" s="27">
        <v>23</v>
      </c>
      <c r="H12" s="28">
        <v>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1296</v>
      </c>
      <c r="T12" s="8">
        <v>102</v>
      </c>
      <c r="U12" s="13"/>
      <c r="W12" s="25">
        <f>D12</f>
        <v>102.6</v>
      </c>
      <c r="X12" s="106">
        <f>E12</f>
        <v>31</v>
      </c>
      <c r="Y12" s="32">
        <f>H12</f>
        <v>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서해2차</v>
      </c>
      <c r="AI12" s="106">
        <f>IF(E12="","",E12)</f>
        <v>31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계산동 삼보3차('88.10.,366^)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1299</v>
      </c>
      <c r="B14" s="16" t="s">
        <v>1300</v>
      </c>
      <c r="C14" s="28">
        <v>366</v>
      </c>
      <c r="D14" s="25">
        <v>53.8</v>
      </c>
      <c r="E14" s="106">
        <v>16</v>
      </c>
      <c r="F14" s="25">
        <v>41.7</v>
      </c>
      <c r="G14" s="27">
        <v>13</v>
      </c>
      <c r="H14" s="28">
        <v>60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1296</v>
      </c>
      <c r="T14" s="8">
        <v>53</v>
      </c>
      <c r="U14" s="13"/>
      <c r="W14" s="25">
        <f>D14</f>
        <v>53.8</v>
      </c>
      <c r="X14" s="106">
        <f>E14</f>
        <v>16</v>
      </c>
      <c r="Y14" s="32">
        <f>H14</f>
        <v>60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삼보3차</v>
      </c>
      <c r="AI14" s="106">
        <f>IF(E14="","",E14)</f>
        <v>16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1299</v>
      </c>
      <c r="B15" s="16" t="s">
        <v>1300</v>
      </c>
      <c r="C15" s="28">
        <v>366</v>
      </c>
      <c r="D15" s="25">
        <v>63.3</v>
      </c>
      <c r="E15" s="106">
        <v>19</v>
      </c>
      <c r="F15" s="25">
        <v>49.6</v>
      </c>
      <c r="G15" s="27">
        <v>15</v>
      </c>
      <c r="H15" s="28">
        <v>181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1296</v>
      </c>
      <c r="T15" s="8">
        <v>63</v>
      </c>
      <c r="U15" s="13"/>
      <c r="W15" s="25">
        <f>D15</f>
        <v>63.3</v>
      </c>
      <c r="X15" s="106">
        <f>E15</f>
        <v>19</v>
      </c>
      <c r="Y15" s="32">
        <f>H15</f>
        <v>181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삼보3차</v>
      </c>
      <c r="AI15" s="106">
        <f>IF(E15="","",E15)</f>
        <v>19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1299</v>
      </c>
      <c r="B16" s="16" t="s">
        <v>1300</v>
      </c>
      <c r="C16" s="28">
        <v>366</v>
      </c>
      <c r="D16" s="25">
        <v>73</v>
      </c>
      <c r="E16" s="106">
        <v>22</v>
      </c>
      <c r="F16" s="25">
        <v>58</v>
      </c>
      <c r="G16" s="27">
        <v>18</v>
      </c>
      <c r="H16" s="28">
        <v>120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1296</v>
      </c>
      <c r="T16" s="8">
        <v>72</v>
      </c>
      <c r="U16" s="13"/>
      <c r="W16" s="25">
        <f>D16</f>
        <v>73</v>
      </c>
      <c r="X16" s="106">
        <f>E16</f>
        <v>22</v>
      </c>
      <c r="Y16" s="32">
        <f>H16</f>
        <v>120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삼보3차</v>
      </c>
      <c r="AI16" s="106">
        <f>IF(E16="","",E16)</f>
        <v>22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1299</v>
      </c>
      <c r="B17" s="16" t="s">
        <v>1300</v>
      </c>
      <c r="C17" s="28">
        <v>366</v>
      </c>
      <c r="D17" s="25">
        <v>76.5</v>
      </c>
      <c r="E17" s="106">
        <v>23</v>
      </c>
      <c r="F17" s="25">
        <v>55.7</v>
      </c>
      <c r="G17" s="27">
        <v>17</v>
      </c>
      <c r="H17" s="28">
        <v>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1296</v>
      </c>
      <c r="T17" s="8">
        <v>76</v>
      </c>
      <c r="U17" s="13"/>
      <c r="W17" s="25">
        <f>D17</f>
        <v>76.5</v>
      </c>
      <c r="X17" s="106">
        <f>E17</f>
        <v>23</v>
      </c>
      <c r="Y17" s="32">
        <f>H17</f>
        <v>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삼보3차</v>
      </c>
      <c r="AI17" s="106">
        <f>IF(E17="","",E17)</f>
        <v>23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계산동 태평('90.12.,432^)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1301</v>
      </c>
      <c r="B19" s="16" t="s">
        <v>1302</v>
      </c>
      <c r="C19" s="28">
        <v>432</v>
      </c>
      <c r="D19" s="25">
        <v>57.9</v>
      </c>
      <c r="E19" s="106">
        <v>18</v>
      </c>
      <c r="F19" s="25">
        <v>44.8</v>
      </c>
      <c r="G19" s="27">
        <v>14</v>
      </c>
      <c r="H19" s="28">
        <v>168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1296</v>
      </c>
      <c r="T19" s="8">
        <v>57</v>
      </c>
      <c r="U19" s="13"/>
      <c r="W19" s="25">
        <f>D19</f>
        <v>57.9</v>
      </c>
      <c r="X19" s="106">
        <f>E19</f>
        <v>18</v>
      </c>
      <c r="Y19" s="32">
        <f>H19</f>
        <v>168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2/1</v>
      </c>
      <c r="AH19" s="36" t="str">
        <f>IF(A19="","",A19)</f>
        <v>태평</v>
      </c>
      <c r="AI19" s="106">
        <f>IF(E19="","",E19)</f>
        <v>18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1301</v>
      </c>
      <c r="B20" s="16" t="s">
        <v>1302</v>
      </c>
      <c r="C20" s="28">
        <v>432</v>
      </c>
      <c r="D20" s="25">
        <v>72.3</v>
      </c>
      <c r="E20" s="106">
        <v>22</v>
      </c>
      <c r="F20" s="25">
        <v>57</v>
      </c>
      <c r="G20" s="27">
        <v>17</v>
      </c>
      <c r="H20" s="28">
        <v>168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1296</v>
      </c>
      <c r="T20" s="8">
        <v>72</v>
      </c>
      <c r="U20" s="13"/>
      <c r="W20" s="25">
        <f>D20</f>
        <v>72.3</v>
      </c>
      <c r="X20" s="106">
        <f>E20</f>
        <v>22</v>
      </c>
      <c r="Y20" s="32">
        <f>H20</f>
        <v>168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태평</v>
      </c>
      <c r="AI20" s="106">
        <f>IF(E20="","",E20)</f>
        <v>22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1301</v>
      </c>
      <c r="B21" s="16" t="s">
        <v>1302</v>
      </c>
      <c r="C21" s="28">
        <v>432</v>
      </c>
      <c r="D21" s="25">
        <v>75.5</v>
      </c>
      <c r="E21" s="106">
        <v>23</v>
      </c>
      <c r="F21" s="25">
        <v>59.8</v>
      </c>
      <c r="G21" s="27">
        <v>18</v>
      </c>
      <c r="H21" s="28">
        <v>48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1296</v>
      </c>
      <c r="T21" s="8">
        <v>75</v>
      </c>
      <c r="U21" s="13"/>
      <c r="W21" s="25">
        <f>D21</f>
        <v>75.5</v>
      </c>
      <c r="X21" s="106">
        <f>E21</f>
        <v>23</v>
      </c>
      <c r="Y21" s="32">
        <f>H21</f>
        <v>48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태평</v>
      </c>
      <c r="AI21" s="106">
        <f>IF(E21="","",E21)</f>
        <v>23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1303</v>
      </c>
      <c r="B22" s="16" t="s">
        <v>1304</v>
      </c>
      <c r="C22" s="28">
        <v>432</v>
      </c>
      <c r="D22" s="25">
        <v>79.900000000000006</v>
      </c>
      <c r="E22" s="106">
        <v>24</v>
      </c>
      <c r="F22" s="25">
        <v>63.7</v>
      </c>
      <c r="G22" s="27">
        <v>19</v>
      </c>
      <c r="H22" s="28">
        <v>48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64</v>
      </c>
      <c r="T22" s="8">
        <v>79</v>
      </c>
      <c r="U22" s="13"/>
      <c r="W22" s="25">
        <f>D22</f>
        <v>79.900000000000006</v>
      </c>
      <c r="X22" s="106">
        <f>E22</f>
        <v>24</v>
      </c>
      <c r="Y22" s="32">
        <f>H22</f>
        <v>48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태평</v>
      </c>
      <c r="AI22" s="106">
        <f>IF(E22="","",E22)</f>
        <v>24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계산동 신도브래뉴('05.05.,481^)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1305</v>
      </c>
      <c r="B24" s="16" t="s">
        <v>1306</v>
      </c>
      <c r="C24" s="28">
        <v>481</v>
      </c>
      <c r="D24" s="25">
        <v>79.599999999999994</v>
      </c>
      <c r="E24" s="106">
        <v>24</v>
      </c>
      <c r="F24" s="25">
        <v>57.7</v>
      </c>
      <c r="G24" s="27">
        <v>17</v>
      </c>
      <c r="H24" s="28">
        <v>234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1307</v>
      </c>
      <c r="T24" s="8">
        <v>79</v>
      </c>
      <c r="U24" s="13"/>
      <c r="W24" s="25">
        <f>D24</f>
        <v>79.599999999999994</v>
      </c>
      <c r="X24" s="106">
        <f>E24</f>
        <v>24</v>
      </c>
      <c r="Y24" s="32">
        <f>H24</f>
        <v>234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3/1</v>
      </c>
      <c r="AH24" s="36" t="str">
        <f>IF(A24="","",A24)</f>
        <v>신도브래뉴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1305</v>
      </c>
      <c r="B25" s="16" t="s">
        <v>1306</v>
      </c>
      <c r="C25" s="28">
        <v>481</v>
      </c>
      <c r="D25" s="25">
        <v>105.5</v>
      </c>
      <c r="E25" s="106">
        <v>32</v>
      </c>
      <c r="F25" s="25">
        <v>84.9</v>
      </c>
      <c r="G25" s="27">
        <v>26</v>
      </c>
      <c r="H25" s="28">
        <v>207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1308</v>
      </c>
      <c r="T25" s="8">
        <v>105</v>
      </c>
      <c r="U25" s="13"/>
      <c r="W25" s="25">
        <f>D25</f>
        <v>105.5</v>
      </c>
      <c r="X25" s="106">
        <f>E25</f>
        <v>32</v>
      </c>
      <c r="Y25" s="32">
        <f>H25</f>
        <v>207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신도브래뉴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1305</v>
      </c>
      <c r="B26" s="16" t="s">
        <v>1306</v>
      </c>
      <c r="C26" s="28">
        <v>481</v>
      </c>
      <c r="D26" s="25">
        <v>115.8</v>
      </c>
      <c r="E26" s="106">
        <v>35</v>
      </c>
      <c r="F26" s="25">
        <v>85</v>
      </c>
      <c r="G26" s="27">
        <v>26</v>
      </c>
      <c r="H26" s="28">
        <v>40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1308</v>
      </c>
      <c r="T26" s="8">
        <v>115</v>
      </c>
      <c r="U26" s="13"/>
      <c r="W26" s="25">
        <f>D26</f>
        <v>115.8</v>
      </c>
      <c r="X26" s="106">
        <f>E26</f>
        <v>35</v>
      </c>
      <c r="Y26" s="32">
        <f>H26</f>
        <v>40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신도브래뉴</v>
      </c>
      <c r="AI26" s="106">
        <f>IF(E26="","",E26)</f>
        <v>35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계산동 영남('90.12.,360^)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1309</v>
      </c>
      <c r="B28" s="16" t="s">
        <v>1310</v>
      </c>
      <c r="C28" s="28">
        <v>360</v>
      </c>
      <c r="D28" s="25">
        <v>62.3</v>
      </c>
      <c r="E28" s="106">
        <v>19</v>
      </c>
      <c r="F28" s="25">
        <v>48.3</v>
      </c>
      <c r="G28" s="27">
        <v>15</v>
      </c>
      <c r="H28" s="28">
        <v>60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1308</v>
      </c>
      <c r="T28" s="8">
        <v>62</v>
      </c>
      <c r="U28" s="13"/>
      <c r="W28" s="25">
        <f>D28</f>
        <v>62.3</v>
      </c>
      <c r="X28" s="106">
        <f>E28</f>
        <v>19</v>
      </c>
      <c r="Y28" s="32">
        <f>H28</f>
        <v>60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2/1</v>
      </c>
      <c r="AH28" s="36" t="str">
        <f>IF(A28="","",A28)</f>
        <v>영남</v>
      </c>
      <c r="AI28" s="106">
        <f>IF(E28="","",E28)</f>
        <v>19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1309</v>
      </c>
      <c r="B29" s="16" t="s">
        <v>1310</v>
      </c>
      <c r="C29" s="28">
        <v>360</v>
      </c>
      <c r="D29" s="25">
        <v>69.599999999999994</v>
      </c>
      <c r="E29" s="106">
        <v>21</v>
      </c>
      <c r="F29" s="25">
        <v>54.5</v>
      </c>
      <c r="G29" s="27">
        <v>16</v>
      </c>
      <c r="H29" s="28">
        <v>60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1</v>
      </c>
      <c r="S29" s="113" t="s">
        <v>1308</v>
      </c>
      <c r="T29" s="8">
        <v>69</v>
      </c>
      <c r="U29" s="13"/>
      <c r="W29" s="25">
        <f>D29</f>
        <v>69.599999999999994</v>
      </c>
      <c r="X29" s="106">
        <f>E29</f>
        <v>21</v>
      </c>
      <c r="Y29" s="32">
        <f>H29</f>
        <v>60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3/1</v>
      </c>
      <c r="AH29" s="36" t="str">
        <f>IF(A29="","",A29)</f>
        <v>영남</v>
      </c>
      <c r="AI29" s="106">
        <f>IF(E29="","",E29)</f>
        <v>21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1309</v>
      </c>
      <c r="B30" s="16" t="s">
        <v>1310</v>
      </c>
      <c r="C30" s="28">
        <v>360</v>
      </c>
      <c r="D30" s="25">
        <v>73.5</v>
      </c>
      <c r="E30" s="106">
        <v>22</v>
      </c>
      <c r="F30" s="25">
        <v>57.9</v>
      </c>
      <c r="G30" s="27">
        <v>18</v>
      </c>
      <c r="H30" s="28">
        <v>180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1308</v>
      </c>
      <c r="T30" s="8">
        <v>73</v>
      </c>
      <c r="U30" s="13"/>
      <c r="W30" s="25">
        <f>D30</f>
        <v>73.5</v>
      </c>
      <c r="X30" s="106">
        <f>E30</f>
        <v>22</v>
      </c>
      <c r="Y30" s="32">
        <f>H30</f>
        <v>180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영남</v>
      </c>
      <c r="AI30" s="106">
        <f>IF(E30="","",E30)</f>
        <v>22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1309</v>
      </c>
      <c r="B31" s="16" t="s">
        <v>1310</v>
      </c>
      <c r="C31" s="28">
        <v>360</v>
      </c>
      <c r="D31" s="25">
        <v>75.900000000000006</v>
      </c>
      <c r="E31" s="106">
        <v>23</v>
      </c>
      <c r="F31" s="25">
        <v>59.9</v>
      </c>
      <c r="G31" s="27">
        <v>18</v>
      </c>
      <c r="H31" s="28">
        <v>60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1308</v>
      </c>
      <c r="T31" s="8">
        <v>75</v>
      </c>
      <c r="U31" s="13"/>
      <c r="W31" s="25">
        <f>D31</f>
        <v>75.900000000000006</v>
      </c>
      <c r="X31" s="106">
        <f>E31</f>
        <v>23</v>
      </c>
      <c r="Y31" s="32">
        <f>H31</f>
        <v>60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영남</v>
      </c>
      <c r="AI31" s="106">
        <f>IF(E31="","",E31)</f>
        <v>23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계산동 계양산파크트루엘('20.02.,369^)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1311</v>
      </c>
      <c r="B33" s="16" t="s">
        <v>1312</v>
      </c>
      <c r="C33" s="28">
        <v>369</v>
      </c>
      <c r="D33" s="25">
        <v>82.2</v>
      </c>
      <c r="E33" s="106">
        <v>25</v>
      </c>
      <c r="F33" s="25">
        <v>60</v>
      </c>
      <c r="G33" s="27">
        <v>18</v>
      </c>
      <c r="H33" s="28">
        <v>80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1308</v>
      </c>
      <c r="T33" s="8" t="s">
        <v>185</v>
      </c>
      <c r="U33" s="13"/>
      <c r="W33" s="25">
        <f>D33</f>
        <v>82.2</v>
      </c>
      <c r="X33" s="106">
        <f>E33</f>
        <v>25</v>
      </c>
      <c r="Y33" s="32">
        <f>H33</f>
        <v>80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계양산파크트루엘</v>
      </c>
      <c r="AI33" s="106">
        <f>IF(E33="","",E33)</f>
        <v>25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1311</v>
      </c>
      <c r="B34" s="16" t="s">
        <v>1312</v>
      </c>
      <c r="C34" s="28">
        <v>369</v>
      </c>
      <c r="D34" s="25">
        <v>82.5</v>
      </c>
      <c r="E34" s="106">
        <v>25</v>
      </c>
      <c r="F34" s="25">
        <v>60</v>
      </c>
      <c r="G34" s="27">
        <v>18</v>
      </c>
      <c r="H34" s="28">
        <v>36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1308</v>
      </c>
      <c r="T34" s="8" t="s">
        <v>189</v>
      </c>
      <c r="U34" s="13"/>
      <c r="W34" s="25">
        <f>D34</f>
        <v>82.5</v>
      </c>
      <c r="X34" s="106">
        <f>E34</f>
        <v>25</v>
      </c>
      <c r="Y34" s="32">
        <f>H34</f>
        <v>36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계양산파크트루엘</v>
      </c>
      <c r="AI34" s="106">
        <f>IF(E34="","",E34)</f>
        <v>25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1311</v>
      </c>
      <c r="B35" s="16" t="s">
        <v>1312</v>
      </c>
      <c r="C35" s="28">
        <v>369</v>
      </c>
      <c r="D35" s="25">
        <v>82.7</v>
      </c>
      <c r="E35" s="106">
        <v>25</v>
      </c>
      <c r="F35" s="25">
        <v>60</v>
      </c>
      <c r="G35" s="27">
        <v>18</v>
      </c>
      <c r="H35" s="28">
        <v>13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1308</v>
      </c>
      <c r="T35" s="8" t="s">
        <v>190</v>
      </c>
      <c r="U35" s="13"/>
      <c r="W35" s="25">
        <f>D35</f>
        <v>82.7</v>
      </c>
      <c r="X35" s="106">
        <f>E35</f>
        <v>25</v>
      </c>
      <c r="Y35" s="32">
        <f>H35</f>
        <v>13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계양산파크트루엘</v>
      </c>
      <c r="AI35" s="106">
        <f>IF(E35="","",E35)</f>
        <v>25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1313</v>
      </c>
      <c r="B36" s="16" t="s">
        <v>1314</v>
      </c>
      <c r="C36" s="28">
        <v>369</v>
      </c>
      <c r="D36" s="25">
        <v>83.2</v>
      </c>
      <c r="E36" s="106">
        <v>25</v>
      </c>
      <c r="F36" s="25">
        <v>60</v>
      </c>
      <c r="G36" s="27">
        <v>18</v>
      </c>
      <c r="H36" s="28">
        <v>156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1296</v>
      </c>
      <c r="T36" s="8" t="s">
        <v>115</v>
      </c>
      <c r="U36" s="13"/>
      <c r="W36" s="25">
        <f>D36</f>
        <v>83.2</v>
      </c>
      <c r="X36" s="106">
        <f>E36</f>
        <v>25</v>
      </c>
      <c r="Y36" s="32">
        <f>H36</f>
        <v>156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계양산파크트루엘</v>
      </c>
      <c r="AI36" s="106">
        <f>IF(E36="","",E36)</f>
        <v>25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1315</v>
      </c>
      <c r="B37" s="16" t="s">
        <v>1316</v>
      </c>
      <c r="C37" s="28">
        <v>369</v>
      </c>
      <c r="D37" s="25">
        <v>83.9</v>
      </c>
      <c r="E37" s="106">
        <v>25</v>
      </c>
      <c r="F37" s="25">
        <v>60</v>
      </c>
      <c r="G37" s="27">
        <v>18</v>
      </c>
      <c r="H37" s="28">
        <v>38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1317</v>
      </c>
      <c r="T37" s="8" t="s">
        <v>191</v>
      </c>
      <c r="U37" s="13"/>
      <c r="W37" s="25">
        <f>D37</f>
        <v>83.9</v>
      </c>
      <c r="X37" s="106">
        <f>E37</f>
        <v>25</v>
      </c>
      <c r="Y37" s="32">
        <f>H37</f>
        <v>38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계양산파크트루엘</v>
      </c>
      <c r="AI37" s="106">
        <f>IF(E37="","",E37)</f>
        <v>25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1315</v>
      </c>
      <c r="B38" s="16" t="s">
        <v>1316</v>
      </c>
      <c r="C38" s="28">
        <v>369</v>
      </c>
      <c r="D38" s="25">
        <v>83.8</v>
      </c>
      <c r="E38" s="106">
        <v>25</v>
      </c>
      <c r="F38" s="25">
        <v>60</v>
      </c>
      <c r="G38" s="27">
        <v>18</v>
      </c>
      <c r="H38" s="28">
        <v>35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1317</v>
      </c>
      <c r="T38" s="8" t="s">
        <v>116</v>
      </c>
      <c r="U38" s="13"/>
      <c r="W38" s="25">
        <f>D38</f>
        <v>83.8</v>
      </c>
      <c r="X38" s="106">
        <f>E38</f>
        <v>25</v>
      </c>
      <c r="Y38" s="32">
        <f>H38</f>
        <v>35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계양산파크트루엘</v>
      </c>
      <c r="AI38" s="106">
        <f>IF(E38="","",E38)</f>
        <v>25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1315</v>
      </c>
      <c r="B39" s="16" t="s">
        <v>1316</v>
      </c>
      <c r="C39" s="28">
        <v>369</v>
      </c>
      <c r="D39" s="25">
        <v>83.4</v>
      </c>
      <c r="E39" s="106">
        <v>25</v>
      </c>
      <c r="F39" s="25">
        <v>60</v>
      </c>
      <c r="G39" s="27">
        <v>18</v>
      </c>
      <c r="H39" s="28">
        <v>11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1317</v>
      </c>
      <c r="T39" s="8" t="s">
        <v>192</v>
      </c>
      <c r="U39" s="13"/>
      <c r="W39" s="25">
        <f>D39</f>
        <v>83.4</v>
      </c>
      <c r="X39" s="106">
        <f>E39</f>
        <v>25</v>
      </c>
      <c r="Y39" s="32">
        <f>H39</f>
        <v>11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계양산파크트루엘</v>
      </c>
      <c r="AI39" s="106">
        <f>IF(E39="","",E39)</f>
        <v>25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계산동 태산('90.07.,408^)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1318</v>
      </c>
      <c r="B41" s="16" t="s">
        <v>1319</v>
      </c>
      <c r="C41" s="28">
        <v>408</v>
      </c>
      <c r="D41" s="25">
        <v>55.1</v>
      </c>
      <c r="E41" s="106">
        <v>17</v>
      </c>
      <c r="F41" s="25">
        <v>42.3</v>
      </c>
      <c r="G41" s="27">
        <v>13</v>
      </c>
      <c r="H41" s="28">
        <v>119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1317</v>
      </c>
      <c r="T41" s="8" t="s">
        <v>206</v>
      </c>
      <c r="U41" s="13"/>
      <c r="W41" s="25">
        <f>D41</f>
        <v>55.1</v>
      </c>
      <c r="X41" s="106">
        <f>E41</f>
        <v>17</v>
      </c>
      <c r="Y41" s="32">
        <f>H41</f>
        <v>119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2/1</v>
      </c>
      <c r="AH41" s="36" t="str">
        <f>IF(A41="","",A41)</f>
        <v>태산</v>
      </c>
      <c r="AI41" s="106">
        <f>IF(E41="","",E41)</f>
        <v>17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1318</v>
      </c>
      <c r="B42" s="16" t="s">
        <v>1319</v>
      </c>
      <c r="C42" s="28">
        <v>408</v>
      </c>
      <c r="D42" s="25">
        <v>55.1</v>
      </c>
      <c r="E42" s="106">
        <v>17</v>
      </c>
      <c r="F42" s="25">
        <v>42.3</v>
      </c>
      <c r="G42" s="27">
        <v>13</v>
      </c>
      <c r="H42" s="28">
        <v>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1317</v>
      </c>
      <c r="T42" s="8" t="s">
        <v>210</v>
      </c>
      <c r="U42" s="13"/>
      <c r="W42" s="25">
        <f>D42</f>
        <v>55.1</v>
      </c>
      <c r="X42" s="106">
        <f>E42</f>
        <v>17</v>
      </c>
      <c r="Y42" s="32">
        <f>H42</f>
        <v>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태산</v>
      </c>
      <c r="AI42" s="106">
        <f>IF(E42="","",E42)</f>
        <v>17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1318</v>
      </c>
      <c r="B43" s="16" t="s">
        <v>1319</v>
      </c>
      <c r="C43" s="28">
        <v>408</v>
      </c>
      <c r="D43" s="25">
        <v>58.5</v>
      </c>
      <c r="E43" s="106">
        <v>18</v>
      </c>
      <c r="F43" s="25">
        <v>45.3</v>
      </c>
      <c r="G43" s="27">
        <v>14</v>
      </c>
      <c r="H43" s="28">
        <v>180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2</v>
      </c>
      <c r="R43" s="15">
        <v>1</v>
      </c>
      <c r="S43" s="113" t="s">
        <v>1317</v>
      </c>
      <c r="T43" s="8">
        <v>58</v>
      </c>
      <c r="U43" s="13"/>
      <c r="W43" s="25">
        <f>D43</f>
        <v>58.5</v>
      </c>
      <c r="X43" s="106">
        <f>E43</f>
        <v>18</v>
      </c>
      <c r="Y43" s="32">
        <f>H43</f>
        <v>180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2/1</v>
      </c>
      <c r="AH43" s="36" t="str">
        <f>IF(A43="","",A43)</f>
        <v>태산</v>
      </c>
      <c r="AI43" s="106">
        <f>IF(E43="","",E43)</f>
        <v>18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1318</v>
      </c>
      <c r="B44" s="16" t="s">
        <v>1319</v>
      </c>
      <c r="C44" s="28">
        <v>408</v>
      </c>
      <c r="D44" s="25">
        <v>59.6</v>
      </c>
      <c r="E44" s="106">
        <v>18</v>
      </c>
      <c r="F44" s="25">
        <v>46</v>
      </c>
      <c r="G44" s="27">
        <v>14</v>
      </c>
      <c r="H44" s="28">
        <v>36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1317</v>
      </c>
      <c r="T44" s="8">
        <v>59</v>
      </c>
      <c r="U44" s="13"/>
      <c r="W44" s="25">
        <f>D44</f>
        <v>59.6</v>
      </c>
      <c r="X44" s="106">
        <f>E44</f>
        <v>18</v>
      </c>
      <c r="Y44" s="32">
        <f>H44</f>
        <v>36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3/1</v>
      </c>
      <c r="AH44" s="36" t="str">
        <f>IF(A44="","",A44)</f>
        <v>태산</v>
      </c>
      <c r="AI44" s="106">
        <f>IF(E44="","",E44)</f>
        <v>18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1318</v>
      </c>
      <c r="B45" s="16" t="s">
        <v>1319</v>
      </c>
      <c r="C45" s="28">
        <v>408</v>
      </c>
      <c r="D45" s="25">
        <v>69.599999999999994</v>
      </c>
      <c r="E45" s="106">
        <v>21</v>
      </c>
      <c r="F45" s="25">
        <v>54.5</v>
      </c>
      <c r="G45" s="27">
        <v>16</v>
      </c>
      <c r="H45" s="28">
        <v>72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1317</v>
      </c>
      <c r="T45" s="8">
        <v>69</v>
      </c>
      <c r="U45" s="13"/>
      <c r="W45" s="25">
        <f>D45</f>
        <v>69.599999999999994</v>
      </c>
      <c r="X45" s="106">
        <f>E45</f>
        <v>21</v>
      </c>
      <c r="Y45" s="32">
        <f>H45</f>
        <v>72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태산</v>
      </c>
      <c r="AI45" s="106">
        <f>IF(E45="","",E45)</f>
        <v>21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계산동 은행마을태평('97.06.,574^)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1320</v>
      </c>
      <c r="B47" s="16" t="s">
        <v>1321</v>
      </c>
      <c r="C47" s="28">
        <v>574</v>
      </c>
      <c r="D47" s="25">
        <v>87</v>
      </c>
      <c r="E47" s="106">
        <v>26</v>
      </c>
      <c r="F47" s="25">
        <v>68.099999999999994</v>
      </c>
      <c r="G47" s="27">
        <v>21</v>
      </c>
      <c r="H47" s="28">
        <v>460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1317</v>
      </c>
      <c r="T47" s="8">
        <v>86</v>
      </c>
      <c r="U47" s="13"/>
      <c r="W47" s="25">
        <f>D47</f>
        <v>87</v>
      </c>
      <c r="X47" s="106">
        <f>E47</f>
        <v>26</v>
      </c>
      <c r="Y47" s="32">
        <f>H47</f>
        <v>460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은행마을태평</v>
      </c>
      <c r="AI47" s="106">
        <f>IF(E47="","",E47)</f>
        <v>26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1320</v>
      </c>
      <c r="B48" s="16" t="s">
        <v>1321</v>
      </c>
      <c r="C48" s="28">
        <v>574</v>
      </c>
      <c r="D48" s="25">
        <v>104</v>
      </c>
      <c r="E48" s="106">
        <v>31</v>
      </c>
      <c r="F48" s="25">
        <v>84.2</v>
      </c>
      <c r="G48" s="27">
        <v>25</v>
      </c>
      <c r="H48" s="28">
        <v>114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1317</v>
      </c>
      <c r="T48" s="8">
        <v>103</v>
      </c>
      <c r="U48" s="13"/>
      <c r="W48" s="25">
        <f>D48</f>
        <v>104</v>
      </c>
      <c r="X48" s="106">
        <f>E48</f>
        <v>31</v>
      </c>
      <c r="Y48" s="32">
        <f>H48</f>
        <v>114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은행마을태평</v>
      </c>
      <c r="AI48" s="106">
        <f>IF(E48="","",E48)</f>
        <v>31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계산동 삼천리열망('86.07.,460^)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1322</v>
      </c>
      <c r="B50" s="16" t="s">
        <v>1323</v>
      </c>
      <c r="C50" s="28">
        <v>460</v>
      </c>
      <c r="D50" s="25">
        <v>51.6</v>
      </c>
      <c r="E50" s="106">
        <v>16</v>
      </c>
      <c r="F50" s="25">
        <v>37.6</v>
      </c>
      <c r="G50" s="27">
        <v>11</v>
      </c>
      <c r="H50" s="28">
        <v>90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3" t="s">
        <v>64</v>
      </c>
      <c r="T50" s="8">
        <v>51</v>
      </c>
      <c r="U50" s="13"/>
      <c r="W50" s="25">
        <f>D50</f>
        <v>51.6</v>
      </c>
      <c r="X50" s="106">
        <f>E50</f>
        <v>16</v>
      </c>
      <c r="Y50" s="32">
        <f>H50</f>
        <v>90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2/1</v>
      </c>
      <c r="AH50" s="36" t="str">
        <f>IF(A50="","",A50)</f>
        <v>삼천리열망</v>
      </c>
      <c r="AI50" s="106">
        <f>IF(E50="","",E50)</f>
        <v>16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1322</v>
      </c>
      <c r="B51" s="16" t="s">
        <v>1324</v>
      </c>
      <c r="C51" s="28">
        <v>460</v>
      </c>
      <c r="D51" s="25">
        <v>54.9</v>
      </c>
      <c r="E51" s="106">
        <v>17</v>
      </c>
      <c r="F51" s="25">
        <v>40.4</v>
      </c>
      <c r="G51" s="27">
        <v>12</v>
      </c>
      <c r="H51" s="28">
        <v>80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2</v>
      </c>
      <c r="R51" s="15">
        <v>1</v>
      </c>
      <c r="S51" s="113" t="s">
        <v>64</v>
      </c>
      <c r="T51" s="8">
        <v>54</v>
      </c>
      <c r="U51" s="13"/>
      <c r="W51" s="25">
        <f>D51</f>
        <v>54.9</v>
      </c>
      <c r="X51" s="106">
        <f>E51</f>
        <v>17</v>
      </c>
      <c r="Y51" s="32">
        <f>H51</f>
        <v>80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2/1</v>
      </c>
      <c r="AH51" s="36" t="str">
        <f>IF(A51="","",A51)</f>
        <v>삼천리열망</v>
      </c>
      <c r="AI51" s="106">
        <f>IF(E51="","",E51)</f>
        <v>17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1325</v>
      </c>
      <c r="B52" s="16" t="s">
        <v>1324</v>
      </c>
      <c r="C52" s="28">
        <v>460</v>
      </c>
      <c r="D52" s="25">
        <v>58.1</v>
      </c>
      <c r="E52" s="106">
        <v>18</v>
      </c>
      <c r="F52" s="25">
        <v>43.1</v>
      </c>
      <c r="G52" s="27">
        <v>13</v>
      </c>
      <c r="H52" s="28">
        <v>80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1326</v>
      </c>
      <c r="T52" s="8">
        <v>58</v>
      </c>
      <c r="U52" s="13"/>
      <c r="W52" s="25">
        <f>D52</f>
        <v>58.1</v>
      </c>
      <c r="X52" s="106">
        <f>E52</f>
        <v>18</v>
      </c>
      <c r="Y52" s="32">
        <f>H52</f>
        <v>80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2/1</v>
      </c>
      <c r="AH52" s="36" t="str">
        <f>IF(A52="","",A52)</f>
        <v>삼천리열망</v>
      </c>
      <c r="AI52" s="106">
        <f>IF(E52="","",E52)</f>
        <v>18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1325</v>
      </c>
      <c r="B53" s="16" t="s">
        <v>1324</v>
      </c>
      <c r="C53" s="28">
        <v>460</v>
      </c>
      <c r="D53" s="25">
        <v>62.4</v>
      </c>
      <c r="E53" s="106">
        <v>19</v>
      </c>
      <c r="F53" s="25">
        <v>46.6</v>
      </c>
      <c r="G53" s="27">
        <v>14</v>
      </c>
      <c r="H53" s="28">
        <v>80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1326</v>
      </c>
      <c r="T53" s="8">
        <v>62</v>
      </c>
      <c r="U53" s="13"/>
      <c r="W53" s="25">
        <f>D53</f>
        <v>62.4</v>
      </c>
      <c r="X53" s="106">
        <f>E53</f>
        <v>19</v>
      </c>
      <c r="Y53" s="32">
        <f>H53</f>
        <v>80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3/1</v>
      </c>
      <c r="AH53" s="36" t="str">
        <f>IF(A53="","",A53)</f>
        <v>삼천리열망</v>
      </c>
      <c r="AI53" s="106">
        <f>IF(E53="","",E53)</f>
        <v>19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1325</v>
      </c>
      <c r="B54" s="16" t="s">
        <v>1324</v>
      </c>
      <c r="C54" s="28">
        <v>460</v>
      </c>
      <c r="D54" s="25">
        <v>65.5</v>
      </c>
      <c r="E54" s="106">
        <v>20</v>
      </c>
      <c r="F54" s="25">
        <v>49.3</v>
      </c>
      <c r="G54" s="27">
        <v>15</v>
      </c>
      <c r="H54" s="28">
        <v>100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1326</v>
      </c>
      <c r="T54" s="8">
        <v>65</v>
      </c>
      <c r="U54" s="13"/>
      <c r="W54" s="25">
        <f>D54</f>
        <v>65.5</v>
      </c>
      <c r="X54" s="106">
        <f>E54</f>
        <v>20</v>
      </c>
      <c r="Y54" s="32">
        <f>H54</f>
        <v>100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삼천리열망</v>
      </c>
      <c r="AI54" s="106">
        <f>IF(E54="","",E54)</f>
        <v>20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1322</v>
      </c>
      <c r="B55" s="16" t="s">
        <v>1327</v>
      </c>
      <c r="C55" s="28">
        <v>460</v>
      </c>
      <c r="D55" s="25">
        <v>68.7</v>
      </c>
      <c r="E55" s="106">
        <v>21</v>
      </c>
      <c r="F55" s="25">
        <v>51.9</v>
      </c>
      <c r="G55" s="27">
        <v>16</v>
      </c>
      <c r="H55" s="28">
        <v>30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64</v>
      </c>
      <c r="T55" s="8">
        <v>68</v>
      </c>
      <c r="U55" s="13"/>
      <c r="W55" s="25">
        <f>D55</f>
        <v>68.7</v>
      </c>
      <c r="X55" s="106">
        <f>E55</f>
        <v>21</v>
      </c>
      <c r="Y55" s="32">
        <f>H55</f>
        <v>30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삼천리열망</v>
      </c>
      <c r="AI55" s="106">
        <f>IF(E55="","",E55)</f>
        <v>21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계산동 인정프린스('92.04.,299^)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1328</v>
      </c>
      <c r="B57" s="16" t="s">
        <v>1329</v>
      </c>
      <c r="C57" s="28">
        <v>299</v>
      </c>
      <c r="D57" s="25">
        <v>85.6</v>
      </c>
      <c r="E57" s="106">
        <v>26</v>
      </c>
      <c r="F57" s="25">
        <v>65.8</v>
      </c>
      <c r="G57" s="27">
        <v>20</v>
      </c>
      <c r="H57" s="28">
        <v>22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1330</v>
      </c>
      <c r="T57" s="8">
        <v>85</v>
      </c>
      <c r="U57" s="13"/>
      <c r="W57" s="25">
        <f>D57</f>
        <v>85.6</v>
      </c>
      <c r="X57" s="106">
        <f>E57</f>
        <v>26</v>
      </c>
      <c r="Y57" s="32">
        <f>H57</f>
        <v>22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2/1</v>
      </c>
      <c r="AH57" s="36" t="str">
        <f>IF(A57="","",A57)</f>
        <v>인정프린스</v>
      </c>
      <c r="AI57" s="106">
        <f>IF(E57="","",E57)</f>
        <v>26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1328</v>
      </c>
      <c r="B58" s="16" t="s">
        <v>1329</v>
      </c>
      <c r="C58" s="28">
        <v>299</v>
      </c>
      <c r="D58" s="25">
        <v>93.7</v>
      </c>
      <c r="E58" s="106">
        <v>28</v>
      </c>
      <c r="F58" s="25">
        <v>68.5</v>
      </c>
      <c r="G58" s="27">
        <v>21</v>
      </c>
      <c r="H58" s="28">
        <v>31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2</v>
      </c>
      <c r="R58" s="15">
        <v>1</v>
      </c>
      <c r="S58" s="113" t="s">
        <v>1330</v>
      </c>
      <c r="T58" s="8">
        <v>93</v>
      </c>
      <c r="U58" s="13"/>
      <c r="W58" s="25">
        <f>D58</f>
        <v>93.7</v>
      </c>
      <c r="X58" s="106">
        <f>E58</f>
        <v>28</v>
      </c>
      <c r="Y58" s="32">
        <f>H58</f>
        <v>31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2/1</v>
      </c>
      <c r="AH58" s="36" t="str">
        <f>IF(A58="","",A58)</f>
        <v>인정프린스</v>
      </c>
      <c r="AI58" s="106">
        <f>IF(E58="","",E58)</f>
        <v>28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5" t="s">
        <v>1331</v>
      </c>
      <c r="B59" s="16" t="s">
        <v>1332</v>
      </c>
      <c r="C59" s="28">
        <v>299</v>
      </c>
      <c r="D59" s="25">
        <v>97.9</v>
      </c>
      <c r="E59" s="106">
        <v>30</v>
      </c>
      <c r="F59" s="25">
        <v>75.2</v>
      </c>
      <c r="G59" s="27">
        <v>23</v>
      </c>
      <c r="H59" s="28">
        <v>22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2</v>
      </c>
      <c r="R59" s="15">
        <v>1</v>
      </c>
      <c r="S59" s="113" t="s">
        <v>64</v>
      </c>
      <c r="T59" s="8">
        <v>97</v>
      </c>
      <c r="U59" s="13"/>
      <c r="W59" s="25">
        <f>D59</f>
        <v>97.9</v>
      </c>
      <c r="X59" s="106">
        <f>E59</f>
        <v>30</v>
      </c>
      <c r="Y59" s="32">
        <f>H59</f>
        <v>22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2/1</v>
      </c>
      <c r="AH59" s="36" t="str">
        <f>IF(A59="","",A59)</f>
        <v>인정프린스</v>
      </c>
      <c r="AI59" s="106">
        <f>IF(E59="","",E59)</f>
        <v>30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X</v>
      </c>
      <c r="AV59" s="113" t="str">
        <f>IF(AO59="","",IF(AND(AO59="O",AP59="O",AR59="O",AT59="O",AU59="O"),"후보","X"))</f>
        <v/>
      </c>
    </row>
    <row r="60" spans="1:48" x14ac:dyDescent="0.3">
      <c r="A60" s="5" t="s">
        <v>1331</v>
      </c>
      <c r="B60" s="16" t="s">
        <v>1332</v>
      </c>
      <c r="C60" s="28">
        <v>299</v>
      </c>
      <c r="D60" s="25">
        <v>101.1</v>
      </c>
      <c r="E60" s="106">
        <v>31</v>
      </c>
      <c r="F60" s="25">
        <v>76.7</v>
      </c>
      <c r="G60" s="27">
        <v>23</v>
      </c>
      <c r="H60" s="28">
        <v>61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>
        <v>101</v>
      </c>
      <c r="U60" s="13"/>
      <c r="W60" s="25">
        <f>D60</f>
        <v>101.1</v>
      </c>
      <c r="X60" s="106">
        <f>E60</f>
        <v>31</v>
      </c>
      <c r="Y60" s="32">
        <f>H60</f>
        <v>61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인정프린스</v>
      </c>
      <c r="AI60" s="106">
        <f>IF(E60="","",E60)</f>
        <v>31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X</v>
      </c>
      <c r="AV60" s="113" t="str">
        <f>IF(AO60="","",IF(AND(AO60="O",AP60="O",AR60="O",AT60="O",AU60="O"),"후보","X"))</f>
        <v/>
      </c>
    </row>
    <row r="61" spans="1:48" x14ac:dyDescent="0.3">
      <c r="A61" s="5" t="s">
        <v>1331</v>
      </c>
      <c r="B61" s="16" t="s">
        <v>1332</v>
      </c>
      <c r="C61" s="28">
        <v>299</v>
      </c>
      <c r="D61" s="25">
        <v>108.2</v>
      </c>
      <c r="E61" s="106">
        <v>33</v>
      </c>
      <c r="F61" s="25">
        <v>84.8</v>
      </c>
      <c r="G61" s="27">
        <v>26</v>
      </c>
      <c r="H61" s="28">
        <v>72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1333</v>
      </c>
      <c r="T61" s="8">
        <v>108</v>
      </c>
      <c r="U61" s="13"/>
      <c r="W61" s="25">
        <f>D61</f>
        <v>108.2</v>
      </c>
      <c r="X61" s="106">
        <f>E61</f>
        <v>33</v>
      </c>
      <c r="Y61" s="32">
        <f>H61</f>
        <v>72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인정프린스</v>
      </c>
      <c r="AI61" s="106">
        <f>IF(E61="","",E61)</f>
        <v>33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X</v>
      </c>
      <c r="AV61" s="113" t="str">
        <f>IF(AO61="","",IF(AND(AO61="O",AP61="O",AR61="O",AT61="O",AU61="O"),"후보","X"))</f>
        <v/>
      </c>
    </row>
    <row r="62" spans="1:48" x14ac:dyDescent="0.3">
      <c r="A62" s="5" t="s">
        <v>1331</v>
      </c>
      <c r="B62" s="16" t="s">
        <v>1332</v>
      </c>
      <c r="C62" s="28">
        <v>299</v>
      </c>
      <c r="D62" s="25">
        <v>112.5</v>
      </c>
      <c r="E62" s="106">
        <v>34</v>
      </c>
      <c r="F62" s="25">
        <v>84.4</v>
      </c>
      <c r="G62" s="27">
        <v>26</v>
      </c>
      <c r="H62" s="28">
        <v>28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>
        <v>112</v>
      </c>
      <c r="U62" s="13"/>
      <c r="W62" s="25">
        <f>D62</f>
        <v>112.5</v>
      </c>
      <c r="X62" s="106">
        <f>E62</f>
        <v>34</v>
      </c>
      <c r="Y62" s="32">
        <f>H62</f>
        <v>28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인정프린스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X</v>
      </c>
      <c r="AV62" s="113" t="str">
        <f>IF(AO62="","",IF(AND(AO62="O",AP62="O",AR62="O",AT62="O",AU62="O"),"후보","X"))</f>
        <v/>
      </c>
    </row>
    <row r="63" spans="1:48" x14ac:dyDescent="0.3">
      <c r="A63" s="5" t="s">
        <v>1328</v>
      </c>
      <c r="B63" s="16" t="s">
        <v>1329</v>
      </c>
      <c r="C63" s="28">
        <v>299</v>
      </c>
      <c r="D63" s="25">
        <v>131.4</v>
      </c>
      <c r="E63" s="106">
        <v>40</v>
      </c>
      <c r="F63" s="25">
        <v>104.6</v>
      </c>
      <c r="G63" s="27">
        <v>32</v>
      </c>
      <c r="H63" s="28">
        <v>63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1330</v>
      </c>
      <c r="T63" s="8">
        <v>131</v>
      </c>
      <c r="U63" s="13"/>
      <c r="W63" s="25">
        <f>D63</f>
        <v>131.4</v>
      </c>
      <c r="X63" s="106">
        <f>E63</f>
        <v>40</v>
      </c>
      <c r="Y63" s="32">
        <f>H63</f>
        <v>63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인정프린스</v>
      </c>
      <c r="AI63" s="106">
        <f>IF(E63="","",E63)</f>
        <v>40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X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계산동 동남(55-1)('90.07.,336^)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1334</v>
      </c>
      <c r="B65" s="16" t="s">
        <v>1335</v>
      </c>
      <c r="C65" s="28">
        <v>336</v>
      </c>
      <c r="D65" s="25">
        <v>56.7</v>
      </c>
      <c r="E65" s="106">
        <v>17</v>
      </c>
      <c r="F65" s="25">
        <v>43.7</v>
      </c>
      <c r="G65" s="27">
        <v>13</v>
      </c>
      <c r="H65" s="28">
        <v>84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1330</v>
      </c>
      <c r="T65" s="8">
        <v>56</v>
      </c>
      <c r="U65" s="13"/>
      <c r="W65" s="25">
        <f>D65</f>
        <v>56.7</v>
      </c>
      <c r="X65" s="106">
        <f>E65</f>
        <v>17</v>
      </c>
      <c r="Y65" s="32">
        <f>H65</f>
        <v>84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2/1</v>
      </c>
      <c r="AH65" s="36" t="str">
        <f>IF(A65="","",A65)</f>
        <v>동남(55-1)</v>
      </c>
      <c r="AI65" s="106">
        <f>IF(E65="","",E65)</f>
        <v>17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1334</v>
      </c>
      <c r="B66" s="16" t="s">
        <v>1335</v>
      </c>
      <c r="C66" s="28">
        <v>336</v>
      </c>
      <c r="D66" s="25">
        <v>70.599999999999994</v>
      </c>
      <c r="E66" s="106">
        <v>21</v>
      </c>
      <c r="F66" s="25">
        <v>55.5</v>
      </c>
      <c r="G66" s="27">
        <v>17</v>
      </c>
      <c r="H66" s="28">
        <v>144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1</v>
      </c>
      <c r="S66" s="113" t="s">
        <v>64</v>
      </c>
      <c r="T66" s="8">
        <v>70</v>
      </c>
      <c r="U66" s="13"/>
      <c r="W66" s="25">
        <f>D66</f>
        <v>70.599999999999994</v>
      </c>
      <c r="X66" s="106">
        <f>E66</f>
        <v>21</v>
      </c>
      <c r="Y66" s="32">
        <f>H66</f>
        <v>144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3/1</v>
      </c>
      <c r="AH66" s="36" t="str">
        <f>IF(A66="","",A66)</f>
        <v>동남(55-1)</v>
      </c>
      <c r="AI66" s="106">
        <f>IF(E66="","",E66)</f>
        <v>21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1334</v>
      </c>
      <c r="B67" s="16" t="s">
        <v>1335</v>
      </c>
      <c r="C67" s="28">
        <v>336</v>
      </c>
      <c r="D67" s="25">
        <v>73.8</v>
      </c>
      <c r="E67" s="106">
        <v>22</v>
      </c>
      <c r="F67" s="25">
        <v>58.2</v>
      </c>
      <c r="G67" s="27">
        <v>18</v>
      </c>
      <c r="H67" s="28">
        <v>48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1</v>
      </c>
      <c r="S67" s="113" t="s">
        <v>64</v>
      </c>
      <c r="T67" s="8">
        <v>73</v>
      </c>
      <c r="U67" s="13"/>
      <c r="W67" s="25">
        <f>D67</f>
        <v>73.8</v>
      </c>
      <c r="X67" s="106">
        <f>E67</f>
        <v>22</v>
      </c>
      <c r="Y67" s="32">
        <f>H67</f>
        <v>48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3/1</v>
      </c>
      <c r="AH67" s="36" t="str">
        <f>IF(A67="","",A67)</f>
        <v>동남(55-1)</v>
      </c>
      <c r="AI67" s="106">
        <f>IF(E67="","",E67)</f>
        <v>22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1336</v>
      </c>
      <c r="B68" s="16" t="s">
        <v>1337</v>
      </c>
      <c r="C68" s="28">
        <v>336</v>
      </c>
      <c r="D68" s="25">
        <v>80.3</v>
      </c>
      <c r="E68" s="106">
        <v>24</v>
      </c>
      <c r="F68" s="25">
        <v>64</v>
      </c>
      <c r="G68" s="27">
        <v>19</v>
      </c>
      <c r="H68" s="28">
        <v>60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1330</v>
      </c>
      <c r="T68" s="8">
        <v>80</v>
      </c>
      <c r="U68" s="13"/>
      <c r="W68" s="25">
        <f>D68</f>
        <v>80.3</v>
      </c>
      <c r="X68" s="106">
        <f>E68</f>
        <v>24</v>
      </c>
      <c r="Y68" s="32">
        <f>H68</f>
        <v>60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3/1</v>
      </c>
      <c r="AH68" s="36" t="str">
        <f>IF(A68="","",A68)</f>
        <v>동남(55-1)</v>
      </c>
      <c r="AI68" s="106">
        <f>IF(E68="","",E68)</f>
        <v>24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계산동 극동('85.07.,630^)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1338</v>
      </c>
      <c r="B70" s="16" t="s">
        <v>1339</v>
      </c>
      <c r="C70" s="28">
        <v>630</v>
      </c>
      <c r="D70" s="25">
        <v>48.4</v>
      </c>
      <c r="E70" s="106">
        <v>15</v>
      </c>
      <c r="F70" s="25">
        <v>38.1</v>
      </c>
      <c r="G70" s="27">
        <v>12</v>
      </c>
      <c r="H70" s="28">
        <v>60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1</v>
      </c>
      <c r="S70" s="113" t="s">
        <v>64</v>
      </c>
      <c r="T70" s="8">
        <v>48</v>
      </c>
      <c r="U70" s="13"/>
      <c r="W70" s="25">
        <f>D70</f>
        <v>48.4</v>
      </c>
      <c r="X70" s="106">
        <f>E70</f>
        <v>15</v>
      </c>
      <c r="Y70" s="32">
        <f>H70</f>
        <v>60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2/1</v>
      </c>
      <c r="AH70" s="36" t="str">
        <f>IF(A70="","",A70)</f>
        <v>극동</v>
      </c>
      <c r="AI70" s="106">
        <f>IF(E70="","",E70)</f>
        <v>15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1338</v>
      </c>
      <c r="B71" s="16" t="s">
        <v>1339</v>
      </c>
      <c r="C71" s="28">
        <v>630</v>
      </c>
      <c r="D71" s="25">
        <v>64.2</v>
      </c>
      <c r="E71" s="106">
        <v>19</v>
      </c>
      <c r="F71" s="25">
        <v>52.5</v>
      </c>
      <c r="G71" s="27">
        <v>16</v>
      </c>
      <c r="H71" s="28">
        <v>240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2</v>
      </c>
      <c r="R71" s="15">
        <v>1</v>
      </c>
      <c r="S71" s="113" t="s">
        <v>64</v>
      </c>
      <c r="T71" s="8">
        <v>64</v>
      </c>
      <c r="U71" s="13"/>
      <c r="W71" s="25">
        <f>D71</f>
        <v>64.2</v>
      </c>
      <c r="X71" s="106">
        <f>E71</f>
        <v>19</v>
      </c>
      <c r="Y71" s="32">
        <f>H71</f>
        <v>240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2/1</v>
      </c>
      <c r="AH71" s="36" t="str">
        <f>IF(A71="","",A71)</f>
        <v>극동</v>
      </c>
      <c r="AI71" s="106">
        <f>IF(E71="","",E71)</f>
        <v>19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1338</v>
      </c>
      <c r="B72" s="16" t="s">
        <v>1339</v>
      </c>
      <c r="C72" s="28">
        <v>630</v>
      </c>
      <c r="D72" s="25">
        <v>71.099999999999994</v>
      </c>
      <c r="E72" s="106">
        <v>22</v>
      </c>
      <c r="F72" s="25">
        <v>57.1</v>
      </c>
      <c r="G72" s="27">
        <v>17</v>
      </c>
      <c r="H72" s="28">
        <v>140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2</v>
      </c>
      <c r="R72" s="15">
        <v>1</v>
      </c>
      <c r="S72" s="113" t="s">
        <v>64</v>
      </c>
      <c r="T72" s="8">
        <v>71</v>
      </c>
      <c r="U72" s="13"/>
      <c r="W72" s="25">
        <f>D72</f>
        <v>71.099999999999994</v>
      </c>
      <c r="X72" s="106">
        <f>E72</f>
        <v>22</v>
      </c>
      <c r="Y72" s="32">
        <f>H72</f>
        <v>140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2/1</v>
      </c>
      <c r="AH72" s="36" t="str">
        <f>IF(A72="","",A72)</f>
        <v>극동</v>
      </c>
      <c r="AI72" s="106">
        <f>IF(E72="","",E72)</f>
        <v>22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1338</v>
      </c>
      <c r="B73" s="16" t="s">
        <v>1339</v>
      </c>
      <c r="C73" s="28">
        <v>630</v>
      </c>
      <c r="D73" s="25">
        <v>87.7</v>
      </c>
      <c r="E73" s="106">
        <v>27</v>
      </c>
      <c r="F73" s="25">
        <v>72.7</v>
      </c>
      <c r="G73" s="27">
        <v>22</v>
      </c>
      <c r="H73" s="28">
        <v>160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64</v>
      </c>
      <c r="T73" s="8">
        <v>87</v>
      </c>
      <c r="U73" s="13"/>
      <c r="W73" s="25">
        <f>D73</f>
        <v>87.7</v>
      </c>
      <c r="X73" s="106">
        <f>E73</f>
        <v>27</v>
      </c>
      <c r="Y73" s="32">
        <f>H73</f>
        <v>160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극동</v>
      </c>
      <c r="AI73" s="106">
        <f>IF(E73="","",E73)</f>
        <v>27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1340</v>
      </c>
      <c r="B74" s="16" t="s">
        <v>1341</v>
      </c>
      <c r="C74" s="28">
        <v>630</v>
      </c>
      <c r="D74" s="25">
        <v>101.6</v>
      </c>
      <c r="E74" s="106">
        <v>31</v>
      </c>
      <c r="F74" s="25">
        <v>85</v>
      </c>
      <c r="G74" s="27">
        <v>26</v>
      </c>
      <c r="H74" s="28">
        <v>30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1</v>
      </c>
      <c r="S74" s="113" t="s">
        <v>64</v>
      </c>
      <c r="T74" s="8">
        <v>101</v>
      </c>
      <c r="U74" s="13"/>
      <c r="W74" s="25">
        <f>D74</f>
        <v>101.6</v>
      </c>
      <c r="X74" s="106">
        <f>E74</f>
        <v>31</v>
      </c>
      <c r="Y74" s="32">
        <f>H74</f>
        <v>30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4/1</v>
      </c>
      <c r="AH74" s="36" t="str">
        <f>IF(A74="","",A74)</f>
        <v>극동</v>
      </c>
      <c r="AI74" s="106">
        <f>IF(E74="","",E74)</f>
        <v>31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계산동 현대('92.01.,1248^)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1342</v>
      </c>
      <c r="B76" s="16" t="s">
        <v>1343</v>
      </c>
      <c r="C76" s="28">
        <v>1248</v>
      </c>
      <c r="D76" s="25">
        <v>87.5</v>
      </c>
      <c r="E76" s="106">
        <v>26</v>
      </c>
      <c r="F76" s="25">
        <v>71.2</v>
      </c>
      <c r="G76" s="27">
        <v>22</v>
      </c>
      <c r="H76" s="28">
        <v>306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1326</v>
      </c>
      <c r="T76" s="8">
        <v>87</v>
      </c>
      <c r="U76" s="13"/>
      <c r="W76" s="25">
        <f>D76</f>
        <v>87.5</v>
      </c>
      <c r="X76" s="106">
        <f>E76</f>
        <v>26</v>
      </c>
      <c r="Y76" s="32">
        <f>H76</f>
        <v>306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현대</v>
      </c>
      <c r="AI76" s="106">
        <f>IF(E76="","",E76)</f>
        <v>26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1344</v>
      </c>
      <c r="B77" s="16" t="s">
        <v>1345</v>
      </c>
      <c r="C77" s="28">
        <v>1248</v>
      </c>
      <c r="D77" s="25">
        <v>104.5</v>
      </c>
      <c r="E77" s="106">
        <v>32</v>
      </c>
      <c r="F77" s="25">
        <v>84.9</v>
      </c>
      <c r="G77" s="27">
        <v>26</v>
      </c>
      <c r="H77" s="28">
        <v>806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1330</v>
      </c>
      <c r="T77" s="8">
        <v>104</v>
      </c>
      <c r="U77" s="13"/>
      <c r="W77" s="25">
        <f>D77</f>
        <v>104.5</v>
      </c>
      <c r="X77" s="106">
        <f>E77</f>
        <v>32</v>
      </c>
      <c r="Y77" s="32">
        <f>H77</f>
        <v>806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현대</v>
      </c>
      <c r="AI77" s="106">
        <f>IF(E77="","",E77)</f>
        <v>32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1344</v>
      </c>
      <c r="B78" s="16" t="s">
        <v>1346</v>
      </c>
      <c r="C78" s="28">
        <v>1248</v>
      </c>
      <c r="D78" s="25">
        <v>159.5</v>
      </c>
      <c r="E78" s="106">
        <v>48</v>
      </c>
      <c r="F78" s="25">
        <v>129.69999999999999</v>
      </c>
      <c r="G78" s="27">
        <v>39</v>
      </c>
      <c r="H78" s="28">
        <v>136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1330</v>
      </c>
      <c r="T78" s="8">
        <v>159</v>
      </c>
      <c r="U78" s="13"/>
      <c r="W78" s="25">
        <f>D78</f>
        <v>159.5</v>
      </c>
      <c r="X78" s="106">
        <f>E78</f>
        <v>48</v>
      </c>
      <c r="Y78" s="32">
        <f>H78</f>
        <v>136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현대</v>
      </c>
      <c r="AI78" s="106">
        <f>IF(E78="","",E78)</f>
        <v>48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계산동 은행마을삼보('97.07.,436^)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1347</v>
      </c>
      <c r="B80" s="16" t="s">
        <v>1348</v>
      </c>
      <c r="C80" s="28">
        <v>436</v>
      </c>
      <c r="D80" s="25">
        <v>115.1</v>
      </c>
      <c r="E80" s="106">
        <v>35</v>
      </c>
      <c r="F80" s="25">
        <v>90.2</v>
      </c>
      <c r="G80" s="27">
        <v>27</v>
      </c>
      <c r="H80" s="28">
        <v>260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>
        <v>115</v>
      </c>
      <c r="U80" s="13"/>
      <c r="W80" s="25">
        <f>D80</f>
        <v>115.1</v>
      </c>
      <c r="X80" s="106">
        <f>E80</f>
        <v>35</v>
      </c>
      <c r="Y80" s="32">
        <f>H80</f>
        <v>260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은행마을삼보</v>
      </c>
      <c r="AI80" s="106">
        <f>IF(E80="","",E80)</f>
        <v>35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1349</v>
      </c>
      <c r="B81" s="16" t="s">
        <v>1348</v>
      </c>
      <c r="C81" s="28">
        <v>436</v>
      </c>
      <c r="D81" s="25">
        <v>128.1</v>
      </c>
      <c r="E81" s="106">
        <v>39</v>
      </c>
      <c r="F81" s="25">
        <v>101.9</v>
      </c>
      <c r="G81" s="27">
        <v>31</v>
      </c>
      <c r="H81" s="28">
        <v>88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1350</v>
      </c>
      <c r="T81" s="8">
        <v>128</v>
      </c>
      <c r="U81" s="13"/>
      <c r="W81" s="25">
        <f>D81</f>
        <v>128.1</v>
      </c>
      <c r="X81" s="106">
        <f>E81</f>
        <v>39</v>
      </c>
      <c r="Y81" s="32">
        <f>H81</f>
        <v>88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은행마을삼보</v>
      </c>
      <c r="AI81" s="106">
        <f>IF(E81="","",E81)</f>
        <v>39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1349</v>
      </c>
      <c r="B82" s="16" t="s">
        <v>1348</v>
      </c>
      <c r="C82" s="28">
        <v>436</v>
      </c>
      <c r="D82" s="25">
        <v>142.19999999999999</v>
      </c>
      <c r="E82" s="106">
        <v>43</v>
      </c>
      <c r="F82" s="25">
        <v>114.6</v>
      </c>
      <c r="G82" s="27">
        <v>35</v>
      </c>
      <c r="H82" s="28">
        <v>88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64</v>
      </c>
      <c r="T82" s="8">
        <v>142</v>
      </c>
      <c r="U82" s="13"/>
      <c r="W82" s="25">
        <f>D82</f>
        <v>142.19999999999999</v>
      </c>
      <c r="X82" s="106">
        <f>E82</f>
        <v>43</v>
      </c>
      <c r="Y82" s="32">
        <f>H82</f>
        <v>88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은행마을삼보</v>
      </c>
      <c r="AI82" s="106">
        <f>IF(E82="","",E82)</f>
        <v>43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계산동 한국('91.05.,416^)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1351</v>
      </c>
      <c r="B84" s="16" t="s">
        <v>1352</v>
      </c>
      <c r="C84" s="28">
        <v>416</v>
      </c>
      <c r="D84" s="25">
        <v>99.1</v>
      </c>
      <c r="E84" s="106">
        <v>30</v>
      </c>
      <c r="F84" s="25">
        <v>82.9</v>
      </c>
      <c r="G84" s="27">
        <v>25</v>
      </c>
      <c r="H84" s="28">
        <v>386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1350</v>
      </c>
      <c r="T84" s="8" t="s">
        <v>306</v>
      </c>
      <c r="U84" s="13"/>
      <c r="W84" s="25">
        <f>D84</f>
        <v>99.1</v>
      </c>
      <c r="X84" s="106">
        <f>E84</f>
        <v>30</v>
      </c>
      <c r="Y84" s="32">
        <f>H84</f>
        <v>386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한국</v>
      </c>
      <c r="AI84" s="106">
        <f>IF(E84="","",E84)</f>
        <v>30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1351</v>
      </c>
      <c r="B85" s="16" t="s">
        <v>1352</v>
      </c>
      <c r="C85" s="28">
        <v>416</v>
      </c>
      <c r="D85" s="25">
        <v>99</v>
      </c>
      <c r="E85" s="106">
        <v>30</v>
      </c>
      <c r="F85" s="25">
        <v>83.7</v>
      </c>
      <c r="G85" s="27">
        <v>25</v>
      </c>
      <c r="H85" s="28">
        <v>30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1</v>
      </c>
      <c r="S85" s="113" t="s">
        <v>1350</v>
      </c>
      <c r="T85" s="8" t="s">
        <v>310</v>
      </c>
      <c r="U85" s="13"/>
      <c r="W85" s="25">
        <f>D85</f>
        <v>99</v>
      </c>
      <c r="X85" s="106">
        <f>E85</f>
        <v>30</v>
      </c>
      <c r="Y85" s="32">
        <f>H85</f>
        <v>30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3/1</v>
      </c>
      <c r="AH85" s="36" t="str">
        <f>IF(A85="","",A85)</f>
        <v>한국</v>
      </c>
      <c r="AI85" s="106">
        <f>IF(E85="","",E85)</f>
        <v>30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계산동 은행마을태산('97.08.,544^)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1353</v>
      </c>
      <c r="B87" s="16" t="s">
        <v>1354</v>
      </c>
      <c r="C87" s="28">
        <v>544</v>
      </c>
      <c r="D87" s="25">
        <v>125.5</v>
      </c>
      <c r="E87" s="106">
        <v>38</v>
      </c>
      <c r="F87" s="25">
        <v>100.6</v>
      </c>
      <c r="G87" s="27">
        <v>30</v>
      </c>
      <c r="H87" s="28">
        <v>544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64</v>
      </c>
      <c r="T87" s="8">
        <v>125</v>
      </c>
      <c r="U87" s="13"/>
      <c r="W87" s="25">
        <f>D87</f>
        <v>125.5</v>
      </c>
      <c r="X87" s="106">
        <f>E87</f>
        <v>38</v>
      </c>
      <c r="Y87" s="32">
        <f>H87</f>
        <v>544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은행마을태산</v>
      </c>
      <c r="AI87" s="106">
        <f>IF(E87="","",E87)</f>
        <v>38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9"/>
      <c r="B88" s="113"/>
      <c r="C88" s="10"/>
      <c r="D88" s="13"/>
      <c r="E88" s="20"/>
      <c r="F88" s="26"/>
      <c r="G88" s="13"/>
      <c r="H88" s="13"/>
      <c r="I88" s="13"/>
      <c r="J88" s="13"/>
      <c r="K88" s="13"/>
      <c r="L88" s="13"/>
      <c r="M88" s="13"/>
      <c r="N88" s="13"/>
      <c r="O88" s="29"/>
      <c r="P88" s="29"/>
      <c r="Q88" s="23"/>
      <c r="R88" s="23"/>
      <c r="S88" s="13"/>
      <c r="T88" s="70"/>
      <c r="U88" s="13"/>
      <c r="W88" s="107" t="str">
        <f>$A$4&amp;" "&amp;A89&amp;"("&amp;B89&amp;","&amp;C89&amp;"^)"</f>
        <v>계산동 삼보1,2차('87.10.,474^)</v>
      </c>
      <c r="X88" s="108"/>
      <c r="Y88" s="108"/>
      <c r="Z88" s="108"/>
      <c r="AA88" s="108"/>
      <c r="AB88" s="108"/>
      <c r="AC88" s="108"/>
      <c r="AD88" s="108"/>
      <c r="AE88" s="108"/>
      <c r="AF88" s="109"/>
      <c r="AH88" s="36" t="str">
        <f>IF(A88="","",A88)</f>
        <v/>
      </c>
      <c r="AI88" s="37" t="str">
        <f>IF(E88="","",E88)</f>
        <v/>
      </c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</row>
    <row r="89" spans="1:48" x14ac:dyDescent="0.3">
      <c r="A89" s="5" t="s">
        <v>1355</v>
      </c>
      <c r="B89" s="16" t="s">
        <v>1356</v>
      </c>
      <c r="C89" s="28">
        <v>474</v>
      </c>
      <c r="D89" s="25">
        <v>51.6</v>
      </c>
      <c r="E89" s="106">
        <v>16</v>
      </c>
      <c r="F89" s="25">
        <v>40.6</v>
      </c>
      <c r="G89" s="27">
        <v>12</v>
      </c>
      <c r="H89" s="28">
        <v>360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2</v>
      </c>
      <c r="R89" s="15">
        <v>1</v>
      </c>
      <c r="S89" s="113" t="s">
        <v>1350</v>
      </c>
      <c r="T89" s="8">
        <v>51</v>
      </c>
      <c r="U89" s="13"/>
      <c r="W89" s="25">
        <f>D89</f>
        <v>51.6</v>
      </c>
      <c r="X89" s="106">
        <f>E89</f>
        <v>16</v>
      </c>
      <c r="Y89" s="32">
        <f>H89</f>
        <v>360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2/1</v>
      </c>
      <c r="AH89" s="36" t="str">
        <f>IF(A89="","",A89)</f>
        <v>삼보1,2차</v>
      </c>
      <c r="AI89" s="106">
        <f>IF(E89="","",E89)</f>
        <v>16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1357</v>
      </c>
      <c r="B90" s="16" t="s">
        <v>1358</v>
      </c>
      <c r="C90" s="28">
        <v>474</v>
      </c>
      <c r="D90" s="25">
        <v>61.6</v>
      </c>
      <c r="E90" s="106">
        <v>19</v>
      </c>
      <c r="F90" s="25">
        <v>49.6</v>
      </c>
      <c r="G90" s="27">
        <v>15</v>
      </c>
      <c r="H90" s="28">
        <v>72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2</v>
      </c>
      <c r="R90" s="15">
        <v>1</v>
      </c>
      <c r="S90" s="113" t="s">
        <v>1350</v>
      </c>
      <c r="T90" s="8">
        <v>61</v>
      </c>
      <c r="U90" s="13"/>
      <c r="W90" s="25">
        <f>D90</f>
        <v>61.6</v>
      </c>
      <c r="X90" s="106">
        <f>E90</f>
        <v>19</v>
      </c>
      <c r="Y90" s="32">
        <f>H90</f>
        <v>72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2/1</v>
      </c>
      <c r="AH90" s="36" t="str">
        <f>IF(A90="","",A90)</f>
        <v>삼보1,2차</v>
      </c>
      <c r="AI90" s="106">
        <f>IF(E90="","",E90)</f>
        <v>19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1357</v>
      </c>
      <c r="B91" s="16" t="s">
        <v>1358</v>
      </c>
      <c r="C91" s="28">
        <v>474</v>
      </c>
      <c r="D91" s="25">
        <v>71.599999999999994</v>
      </c>
      <c r="E91" s="106">
        <v>22</v>
      </c>
      <c r="F91" s="25">
        <v>58.2</v>
      </c>
      <c r="G91" s="27">
        <v>18</v>
      </c>
      <c r="H91" s="28">
        <v>36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1</v>
      </c>
      <c r="S91" s="113" t="s">
        <v>1350</v>
      </c>
      <c r="T91" s="8">
        <v>71</v>
      </c>
      <c r="U91" s="13"/>
      <c r="W91" s="25">
        <f>D91</f>
        <v>71.599999999999994</v>
      </c>
      <c r="X91" s="106">
        <f>E91</f>
        <v>22</v>
      </c>
      <c r="Y91" s="32">
        <f>H91</f>
        <v>36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3/1</v>
      </c>
      <c r="AH91" s="36" t="str">
        <f>IF(A91="","",A91)</f>
        <v>삼보1,2차</v>
      </c>
      <c r="AI91" s="106">
        <f>IF(E91="","",E91)</f>
        <v>22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1357</v>
      </c>
      <c r="B92" s="16" t="s">
        <v>1358</v>
      </c>
      <c r="C92" s="28">
        <v>474</v>
      </c>
      <c r="D92" s="25">
        <v>85.9</v>
      </c>
      <c r="E92" s="106">
        <v>26</v>
      </c>
      <c r="F92" s="25">
        <v>66.3</v>
      </c>
      <c r="G92" s="27">
        <v>20</v>
      </c>
      <c r="H92" s="28">
        <v>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1</v>
      </c>
      <c r="S92" s="113" t="s">
        <v>64</v>
      </c>
      <c r="T92" s="8">
        <v>85</v>
      </c>
      <c r="U92" s="13"/>
      <c r="W92" s="25">
        <f>D92</f>
        <v>85.9</v>
      </c>
      <c r="X92" s="106">
        <f>E92</f>
        <v>26</v>
      </c>
      <c r="Y92" s="32">
        <f>H92</f>
        <v>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3/1</v>
      </c>
      <c r="AH92" s="36" t="str">
        <f>IF(A92="","",A92)</f>
        <v>삼보1,2차</v>
      </c>
      <c r="AI92" s="106">
        <f>IF(E92="","",E92)</f>
        <v>26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9"/>
      <c r="B93" s="113"/>
      <c r="C93" s="10"/>
      <c r="D93" s="13"/>
      <c r="E93" s="20"/>
      <c r="F93" s="26"/>
      <c r="G93" s="13"/>
      <c r="H93" s="13"/>
      <c r="I93" s="13"/>
      <c r="J93" s="13"/>
      <c r="K93" s="13"/>
      <c r="L93" s="13"/>
      <c r="M93" s="13"/>
      <c r="N93" s="13"/>
      <c r="O93" s="29"/>
      <c r="P93" s="29"/>
      <c r="Q93" s="23"/>
      <c r="R93" s="23"/>
      <c r="S93" s="13"/>
      <c r="T93" s="70"/>
      <c r="U93" s="13"/>
      <c r="W93" s="107" t="str">
        <f>$A$4&amp;" "&amp;A94&amp;"("&amp;B94&amp;","&amp;C94&amp;"^)"</f>
        <v>계산동 삼환1차('89.12.,276^)</v>
      </c>
      <c r="X93" s="108"/>
      <c r="Y93" s="108"/>
      <c r="Z93" s="108"/>
      <c r="AA93" s="108"/>
      <c r="AB93" s="108"/>
      <c r="AC93" s="108"/>
      <c r="AD93" s="108"/>
      <c r="AE93" s="108"/>
      <c r="AF93" s="109"/>
      <c r="AH93" s="36" t="str">
        <f>IF(A93="","",A93)</f>
        <v/>
      </c>
      <c r="AI93" s="37" t="str">
        <f>IF(E93="","",E93)</f>
        <v/>
      </c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</row>
    <row r="94" spans="1:48" x14ac:dyDescent="0.3">
      <c r="A94" s="5" t="s">
        <v>1359</v>
      </c>
      <c r="B94" s="16" t="s">
        <v>1360</v>
      </c>
      <c r="C94" s="28">
        <v>276</v>
      </c>
      <c r="D94" s="25">
        <v>70.400000000000006</v>
      </c>
      <c r="E94" s="106">
        <v>21</v>
      </c>
      <c r="F94" s="25">
        <v>57.8</v>
      </c>
      <c r="G94" s="27">
        <v>17</v>
      </c>
      <c r="H94" s="28">
        <v>84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2</v>
      </c>
      <c r="R94" s="15">
        <v>1</v>
      </c>
      <c r="S94" s="113" t="s">
        <v>64</v>
      </c>
      <c r="T94" s="8">
        <v>70</v>
      </c>
      <c r="U94" s="13"/>
      <c r="W94" s="25">
        <f>D94</f>
        <v>70.400000000000006</v>
      </c>
      <c r="X94" s="106">
        <f>E94</f>
        <v>21</v>
      </c>
      <c r="Y94" s="32">
        <f>H94</f>
        <v>84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2/1</v>
      </c>
      <c r="AH94" s="36" t="str">
        <f>IF(A94="","",A94)</f>
        <v>삼환1차</v>
      </c>
      <c r="AI94" s="106">
        <f>IF(E94="","",E94)</f>
        <v>21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X</v>
      </c>
      <c r="AV94" s="113" t="str">
        <f>IF(AO94="","",IF(AND(AO94="O",AP94="O",AR94="O",AT94="O",AU94="O"),"후보","X"))</f>
        <v/>
      </c>
    </row>
    <row r="95" spans="1:48" x14ac:dyDescent="0.3">
      <c r="A95" s="5" t="s">
        <v>1361</v>
      </c>
      <c r="B95" s="16" t="s">
        <v>1362</v>
      </c>
      <c r="C95" s="28">
        <v>276</v>
      </c>
      <c r="D95" s="25">
        <v>79.2</v>
      </c>
      <c r="E95" s="106">
        <v>24</v>
      </c>
      <c r="F95" s="25">
        <v>65.900000000000006</v>
      </c>
      <c r="G95" s="27">
        <v>20</v>
      </c>
      <c r="H95" s="28">
        <v>84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1</v>
      </c>
      <c r="S95" s="113" t="s">
        <v>64</v>
      </c>
      <c r="T95" s="8">
        <v>79</v>
      </c>
      <c r="U95" s="13"/>
      <c r="W95" s="25">
        <f>D95</f>
        <v>79.2</v>
      </c>
      <c r="X95" s="106">
        <f>E95</f>
        <v>24</v>
      </c>
      <c r="Y95" s="32">
        <f>H95</f>
        <v>84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3/1</v>
      </c>
      <c r="AH95" s="36" t="str">
        <f>IF(A95="","",A95)</f>
        <v>삼환1차</v>
      </c>
      <c r="AI95" s="106">
        <f>IF(E95="","",E95)</f>
        <v>24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X</v>
      </c>
      <c r="AV95" s="113" t="str">
        <f>IF(AO95="","",IF(AND(AO95="O",AP95="O",AR95="O",AT95="O",AU95="O"),"후보","X"))</f>
        <v/>
      </c>
    </row>
    <row r="96" spans="1:48" x14ac:dyDescent="0.3">
      <c r="A96" s="5" t="s">
        <v>1359</v>
      </c>
      <c r="B96" s="16" t="s">
        <v>1360</v>
      </c>
      <c r="C96" s="28">
        <v>276</v>
      </c>
      <c r="D96" s="25">
        <v>87.8</v>
      </c>
      <c r="E96" s="106">
        <v>27</v>
      </c>
      <c r="F96" s="25">
        <v>73.5</v>
      </c>
      <c r="G96" s="27">
        <v>22</v>
      </c>
      <c r="H96" s="28">
        <v>108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1</v>
      </c>
      <c r="S96" s="113" t="s">
        <v>64</v>
      </c>
      <c r="T96" s="8">
        <v>87</v>
      </c>
      <c r="U96" s="13"/>
      <c r="W96" s="25">
        <f>D96</f>
        <v>87.8</v>
      </c>
      <c r="X96" s="106">
        <f>E96</f>
        <v>27</v>
      </c>
      <c r="Y96" s="32">
        <f>H96</f>
        <v>108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3/1</v>
      </c>
      <c r="AH96" s="36" t="str">
        <f>IF(A96="","",A96)</f>
        <v>삼환1차</v>
      </c>
      <c r="AI96" s="106">
        <f>IF(E96="","",E96)</f>
        <v>27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X</v>
      </c>
      <c r="AV96" s="113" t="str">
        <f>IF(AO96="","",IF(AND(AO96="O",AP96="O",AR96="O",AT96="O",AU96="O"),"후보","X"))</f>
        <v/>
      </c>
    </row>
    <row r="97" spans="1:48" x14ac:dyDescent="0.3">
      <c r="A97" s="9"/>
      <c r="B97" s="113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70"/>
      <c r="U97" s="13"/>
      <c r="W97" s="107" t="str">
        <f>$A$4&amp;" "&amp;A98&amp;"("&amp;B98&amp;","&amp;C98&amp;"^)"</f>
        <v>계산동 팬더1,2차('89.09.,504^)</v>
      </c>
      <c r="X97" s="108"/>
      <c r="Y97" s="108"/>
      <c r="Z97" s="108"/>
      <c r="AA97" s="108"/>
      <c r="AB97" s="108"/>
      <c r="AC97" s="108"/>
      <c r="AD97" s="108"/>
      <c r="AE97" s="108"/>
      <c r="AF97" s="109"/>
      <c r="AH97" s="36" t="str">
        <f>IF(A97="","",A97)</f>
        <v/>
      </c>
      <c r="AI97" s="37" t="str">
        <f>IF(E97="","",E97)</f>
        <v/>
      </c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</row>
    <row r="98" spans="1:48" x14ac:dyDescent="0.3">
      <c r="A98" s="5" t="s">
        <v>1363</v>
      </c>
      <c r="B98" s="16" t="s">
        <v>1364</v>
      </c>
      <c r="C98" s="28">
        <v>504</v>
      </c>
      <c r="D98" s="25">
        <v>53.7</v>
      </c>
      <c r="E98" s="106">
        <v>16</v>
      </c>
      <c r="F98" s="25">
        <v>40.799999999999997</v>
      </c>
      <c r="G98" s="27">
        <v>12</v>
      </c>
      <c r="H98" s="28">
        <v>204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2</v>
      </c>
      <c r="R98" s="15">
        <v>1</v>
      </c>
      <c r="S98" s="113" t="s">
        <v>64</v>
      </c>
      <c r="T98" s="8" t="s">
        <v>175</v>
      </c>
      <c r="U98" s="13"/>
      <c r="W98" s="25">
        <f>D98</f>
        <v>53.7</v>
      </c>
      <c r="X98" s="106">
        <f>E98</f>
        <v>16</v>
      </c>
      <c r="Y98" s="32">
        <f>H98</f>
        <v>204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2/1</v>
      </c>
      <c r="AH98" s="36" t="str">
        <f>IF(A98="","",A98)</f>
        <v>팬더1,2차</v>
      </c>
      <c r="AI98" s="106">
        <f>IF(E98="","",E98)</f>
        <v>16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1363</v>
      </c>
      <c r="B99" s="16" t="s">
        <v>1364</v>
      </c>
      <c r="C99" s="28">
        <v>504</v>
      </c>
      <c r="D99" s="25">
        <v>54.2</v>
      </c>
      <c r="E99" s="106">
        <v>16</v>
      </c>
      <c r="F99" s="25">
        <v>41.2</v>
      </c>
      <c r="G99" s="27">
        <v>12</v>
      </c>
      <c r="H99" s="28">
        <v>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2</v>
      </c>
      <c r="R99" s="15">
        <v>1</v>
      </c>
      <c r="S99" s="113" t="s">
        <v>64</v>
      </c>
      <c r="T99" s="8" t="s">
        <v>352</v>
      </c>
      <c r="U99" s="13"/>
      <c r="W99" s="25">
        <f>D99</f>
        <v>54.2</v>
      </c>
      <c r="X99" s="106">
        <f>E99</f>
        <v>16</v>
      </c>
      <c r="Y99" s="32">
        <f>H99</f>
        <v>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2/1</v>
      </c>
      <c r="AH99" s="36" t="str">
        <f>IF(A99="","",A99)</f>
        <v>팬더1,2차</v>
      </c>
      <c r="AI99" s="106">
        <f>IF(E99="","",E99)</f>
        <v>16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1363</v>
      </c>
      <c r="B100" s="16" t="s">
        <v>1364</v>
      </c>
      <c r="C100" s="28">
        <v>504</v>
      </c>
      <c r="D100" s="25">
        <v>63.5</v>
      </c>
      <c r="E100" s="106">
        <v>19</v>
      </c>
      <c r="F100" s="25">
        <v>49.1</v>
      </c>
      <c r="G100" s="27">
        <v>15</v>
      </c>
      <c r="H100" s="28">
        <v>150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1</v>
      </c>
      <c r="S100" s="113" t="s">
        <v>64</v>
      </c>
      <c r="T100" s="8">
        <v>63</v>
      </c>
      <c r="U100" s="13"/>
      <c r="W100" s="25">
        <f>D100</f>
        <v>63.5</v>
      </c>
      <c r="X100" s="106">
        <f>E100</f>
        <v>19</v>
      </c>
      <c r="Y100" s="32">
        <f>H100</f>
        <v>150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3/1</v>
      </c>
      <c r="AH100" s="36" t="str">
        <f>IF(A100="","",A100)</f>
        <v>팬더1,2차</v>
      </c>
      <c r="AI100" s="106">
        <f>IF(E100="","",E100)</f>
        <v>19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1363</v>
      </c>
      <c r="B101" s="16" t="s">
        <v>1364</v>
      </c>
      <c r="C101" s="28">
        <v>504</v>
      </c>
      <c r="D101" s="25">
        <v>69</v>
      </c>
      <c r="E101" s="106">
        <v>21</v>
      </c>
      <c r="F101" s="25">
        <v>53.9</v>
      </c>
      <c r="G101" s="27">
        <v>16</v>
      </c>
      <c r="H101" s="28">
        <v>36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1</v>
      </c>
      <c r="S101" s="113" t="s">
        <v>64</v>
      </c>
      <c r="T101" s="8">
        <v>69</v>
      </c>
      <c r="U101" s="13"/>
      <c r="W101" s="25">
        <f>D101</f>
        <v>69</v>
      </c>
      <c r="X101" s="106">
        <f>E101</f>
        <v>21</v>
      </c>
      <c r="Y101" s="32">
        <f>H101</f>
        <v>36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3/1</v>
      </c>
      <c r="AH101" s="36" t="str">
        <f>IF(A101="","",A101)</f>
        <v>팬더1,2차</v>
      </c>
      <c r="AI101" s="106">
        <f>IF(E101="","",E101)</f>
        <v>21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1363</v>
      </c>
      <c r="B102" s="16" t="s">
        <v>1364</v>
      </c>
      <c r="C102" s="28">
        <v>504</v>
      </c>
      <c r="D102" s="25">
        <v>72.2</v>
      </c>
      <c r="E102" s="106">
        <v>22</v>
      </c>
      <c r="F102" s="25">
        <v>51.5</v>
      </c>
      <c r="G102" s="27">
        <v>16</v>
      </c>
      <c r="H102" s="28">
        <v>6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64</v>
      </c>
      <c r="T102" s="8" t="s">
        <v>162</v>
      </c>
      <c r="U102" s="13"/>
      <c r="W102" s="25">
        <f>D102</f>
        <v>72.2</v>
      </c>
      <c r="X102" s="106">
        <f>E102</f>
        <v>22</v>
      </c>
      <c r="Y102" s="32">
        <f>H102</f>
        <v>6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3/1</v>
      </c>
      <c r="AH102" s="36" t="str">
        <f>IF(A102="","",A102)</f>
        <v>팬더1,2차</v>
      </c>
      <c r="AI102" s="106">
        <f>IF(E102="","",E102)</f>
        <v>22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1363</v>
      </c>
      <c r="B103" s="16" t="s">
        <v>1365</v>
      </c>
      <c r="C103" s="28">
        <v>504</v>
      </c>
      <c r="D103" s="25">
        <v>74.3</v>
      </c>
      <c r="E103" s="106">
        <v>22</v>
      </c>
      <c r="F103" s="25">
        <v>58.4</v>
      </c>
      <c r="G103" s="27">
        <v>18</v>
      </c>
      <c r="H103" s="28">
        <v>60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64</v>
      </c>
      <c r="T103" s="8" t="s">
        <v>353</v>
      </c>
      <c r="U103" s="13"/>
      <c r="W103" s="25">
        <f>D103</f>
        <v>74.3</v>
      </c>
      <c r="X103" s="106">
        <f>E103</f>
        <v>22</v>
      </c>
      <c r="Y103" s="32">
        <f>H103</f>
        <v>60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3/1</v>
      </c>
      <c r="AH103" s="36" t="str">
        <f>IF(A103="","",A103)</f>
        <v>팬더1,2차</v>
      </c>
      <c r="AI103" s="106">
        <f>IF(E103="","",E103)</f>
        <v>22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1363</v>
      </c>
      <c r="B104" s="16" t="s">
        <v>1364</v>
      </c>
      <c r="C104" s="28">
        <v>504</v>
      </c>
      <c r="D104" s="25">
        <v>75.7</v>
      </c>
      <c r="E104" s="106">
        <v>23</v>
      </c>
      <c r="F104" s="25">
        <v>59.6</v>
      </c>
      <c r="G104" s="27">
        <v>18</v>
      </c>
      <c r="H104" s="28">
        <v>36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1350</v>
      </c>
      <c r="T104" s="8">
        <v>75</v>
      </c>
      <c r="U104" s="13"/>
      <c r="W104" s="25">
        <f>D104</f>
        <v>75.7</v>
      </c>
      <c r="X104" s="106">
        <f>E104</f>
        <v>23</v>
      </c>
      <c r="Y104" s="32">
        <f>H104</f>
        <v>36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3/1</v>
      </c>
      <c r="AH104" s="36" t="str">
        <f>IF(A104="","",A104)</f>
        <v>팬더1,2차</v>
      </c>
      <c r="AI104" s="106">
        <f>IF(E104="","",E104)</f>
        <v>23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1366</v>
      </c>
      <c r="B105" s="16" t="s">
        <v>1365</v>
      </c>
      <c r="C105" s="28">
        <v>504</v>
      </c>
      <c r="D105" s="25">
        <v>78.099999999999994</v>
      </c>
      <c r="E105" s="106">
        <v>24</v>
      </c>
      <c r="F105" s="25">
        <v>56.5</v>
      </c>
      <c r="G105" s="27">
        <v>17</v>
      </c>
      <c r="H105" s="28">
        <v>6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1</v>
      </c>
      <c r="S105" s="113" t="s">
        <v>1350</v>
      </c>
      <c r="T105" s="8">
        <v>78</v>
      </c>
      <c r="U105" s="13"/>
      <c r="W105" s="25">
        <f>D105</f>
        <v>78.099999999999994</v>
      </c>
      <c r="X105" s="106">
        <f>E105</f>
        <v>24</v>
      </c>
      <c r="Y105" s="32">
        <f>H105</f>
        <v>6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3/1</v>
      </c>
      <c r="AH105" s="36" t="str">
        <f>IF(A105="","",A105)</f>
        <v>팬더1,2차</v>
      </c>
      <c r="AI105" s="106">
        <f>IF(E105="","",E105)</f>
        <v>24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계산동 하나('87.08.,994^)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1367</v>
      </c>
      <c r="B107" s="16" t="s">
        <v>1368</v>
      </c>
      <c r="C107" s="28">
        <v>994</v>
      </c>
      <c r="D107" s="25">
        <v>47</v>
      </c>
      <c r="E107" s="106">
        <v>14</v>
      </c>
      <c r="F107" s="25">
        <v>37.200000000000003</v>
      </c>
      <c r="G107" s="27">
        <v>11</v>
      </c>
      <c r="H107" s="28">
        <v>289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2</v>
      </c>
      <c r="R107" s="15">
        <v>1</v>
      </c>
      <c r="S107" s="113" t="s">
        <v>1350</v>
      </c>
      <c r="T107" s="8">
        <v>46</v>
      </c>
      <c r="U107" s="13"/>
      <c r="W107" s="25">
        <f>D107</f>
        <v>47</v>
      </c>
      <c r="X107" s="106">
        <f>E107</f>
        <v>14</v>
      </c>
      <c r="Y107" s="32">
        <f>H107</f>
        <v>289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2/1</v>
      </c>
      <c r="AH107" s="36" t="str">
        <f>IF(A107="","",A107)</f>
        <v>하나</v>
      </c>
      <c r="AI107" s="106">
        <f>IF(E107="","",E107)</f>
        <v>14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1369</v>
      </c>
      <c r="B108" s="16" t="s">
        <v>1370</v>
      </c>
      <c r="C108" s="28">
        <v>994</v>
      </c>
      <c r="D108" s="25">
        <v>50.5</v>
      </c>
      <c r="E108" s="106">
        <v>15</v>
      </c>
      <c r="F108" s="25">
        <v>40</v>
      </c>
      <c r="G108" s="27">
        <v>12</v>
      </c>
      <c r="H108" s="28">
        <v>549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2</v>
      </c>
      <c r="R108" s="15">
        <v>1</v>
      </c>
      <c r="S108" s="113" t="s">
        <v>64</v>
      </c>
      <c r="T108" s="8">
        <v>50</v>
      </c>
      <c r="U108" s="13"/>
      <c r="W108" s="25">
        <f>D108</f>
        <v>50.5</v>
      </c>
      <c r="X108" s="106">
        <f>E108</f>
        <v>15</v>
      </c>
      <c r="Y108" s="32">
        <f>H108</f>
        <v>549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2/1</v>
      </c>
      <c r="AH108" s="36" t="str">
        <f>IF(A108="","",A108)</f>
        <v>하나</v>
      </c>
      <c r="AI108" s="106">
        <f>IF(E108="","",E108)</f>
        <v>15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1371</v>
      </c>
      <c r="B109" s="16" t="s">
        <v>1372</v>
      </c>
      <c r="C109" s="28">
        <v>994</v>
      </c>
      <c r="D109" s="25">
        <v>53.4</v>
      </c>
      <c r="E109" s="106">
        <v>16</v>
      </c>
      <c r="F109" s="25">
        <v>42.8</v>
      </c>
      <c r="G109" s="27">
        <v>13</v>
      </c>
      <c r="H109" s="28">
        <v>48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2</v>
      </c>
      <c r="R109" s="15">
        <v>1</v>
      </c>
      <c r="S109" s="113" t="s">
        <v>64</v>
      </c>
      <c r="T109" s="8">
        <v>53</v>
      </c>
      <c r="U109" s="13"/>
      <c r="W109" s="25">
        <f>D109</f>
        <v>53.4</v>
      </c>
      <c r="X109" s="106">
        <f>E109</f>
        <v>16</v>
      </c>
      <c r="Y109" s="32">
        <f>H109</f>
        <v>48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2/1</v>
      </c>
      <c r="AH109" s="36" t="str">
        <f>IF(A109="","",A109)</f>
        <v>하나</v>
      </c>
      <c r="AI109" s="106">
        <f>IF(E109="","",E109)</f>
        <v>16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1371</v>
      </c>
      <c r="B110" s="16" t="s">
        <v>1372</v>
      </c>
      <c r="C110" s="28">
        <v>994</v>
      </c>
      <c r="D110" s="25">
        <v>62.2</v>
      </c>
      <c r="E110" s="106">
        <v>19</v>
      </c>
      <c r="F110" s="25">
        <v>51.1</v>
      </c>
      <c r="G110" s="27">
        <v>15</v>
      </c>
      <c r="H110" s="28">
        <v>108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2</v>
      </c>
      <c r="R110" s="15">
        <v>1</v>
      </c>
      <c r="S110" s="113" t="s">
        <v>64</v>
      </c>
      <c r="T110" s="8">
        <v>62</v>
      </c>
      <c r="U110" s="13"/>
      <c r="W110" s="25">
        <f>D110</f>
        <v>62.2</v>
      </c>
      <c r="X110" s="106">
        <f>E110</f>
        <v>19</v>
      </c>
      <c r="Y110" s="32">
        <f>H110</f>
        <v>108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2/1</v>
      </c>
      <c r="AH110" s="36" t="str">
        <f>IF(A110="","",A110)</f>
        <v>하나</v>
      </c>
      <c r="AI110" s="106">
        <f>IF(E110="","",E110)</f>
        <v>19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9"/>
      <c r="B111" s="113"/>
      <c r="C111" s="10"/>
      <c r="D111" s="13"/>
      <c r="E111" s="20"/>
      <c r="F111" s="26"/>
      <c r="G111" s="13"/>
      <c r="H111" s="13"/>
      <c r="I111" s="13"/>
      <c r="J111" s="13"/>
      <c r="K111" s="13"/>
      <c r="L111" s="13"/>
      <c r="M111" s="13"/>
      <c r="N111" s="13"/>
      <c r="O111" s="29"/>
      <c r="P111" s="29"/>
      <c r="Q111" s="23"/>
      <c r="R111" s="23"/>
      <c r="S111" s="13"/>
      <c r="T111" s="70"/>
      <c r="U111" s="13"/>
      <c r="W111" s="107" t="str">
        <f>$A$4&amp;" "&amp;A112&amp;"("&amp;B112&amp;","&amp;C112&amp;"^)"</f>
        <v>계산동 서해그린3차('91.08.,498^)</v>
      </c>
      <c r="X111" s="108"/>
      <c r="Y111" s="108"/>
      <c r="Z111" s="108"/>
      <c r="AA111" s="108"/>
      <c r="AB111" s="108"/>
      <c r="AC111" s="108"/>
      <c r="AD111" s="108"/>
      <c r="AE111" s="108"/>
      <c r="AF111" s="109"/>
      <c r="AH111" s="36" t="str">
        <f>IF(A111="","",A111)</f>
        <v/>
      </c>
      <c r="AI111" s="37" t="str">
        <f>IF(E111="","",E111)</f>
        <v/>
      </c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</row>
    <row r="112" spans="1:48" x14ac:dyDescent="0.3">
      <c r="A112" s="5" t="s">
        <v>1373</v>
      </c>
      <c r="B112" s="16" t="s">
        <v>1374</v>
      </c>
      <c r="C112" s="28">
        <v>498</v>
      </c>
      <c r="D112" s="25">
        <v>76.8</v>
      </c>
      <c r="E112" s="106">
        <v>23</v>
      </c>
      <c r="F112" s="25">
        <v>58.3</v>
      </c>
      <c r="G112" s="27">
        <v>18</v>
      </c>
      <c r="H112" s="28">
        <v>204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1</v>
      </c>
      <c r="S112" s="113" t="s">
        <v>1375</v>
      </c>
      <c r="T112" s="8">
        <v>76</v>
      </c>
      <c r="U112" s="13"/>
      <c r="W112" s="25">
        <f>D112</f>
        <v>76.8</v>
      </c>
      <c r="X112" s="106">
        <f>E112</f>
        <v>23</v>
      </c>
      <c r="Y112" s="32">
        <f>H112</f>
        <v>204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3/1</v>
      </c>
      <c r="AH112" s="36" t="str">
        <f>IF(A112="","",A112)</f>
        <v>서해그린3차</v>
      </c>
      <c r="AI112" s="106">
        <f>IF(E112="","",E112)</f>
        <v>23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1373</v>
      </c>
      <c r="B113" s="16" t="s">
        <v>1374</v>
      </c>
      <c r="C113" s="28">
        <v>498</v>
      </c>
      <c r="D113" s="25">
        <v>79.7</v>
      </c>
      <c r="E113" s="106">
        <v>24</v>
      </c>
      <c r="F113" s="25">
        <v>60</v>
      </c>
      <c r="G113" s="27">
        <v>18</v>
      </c>
      <c r="H113" s="28">
        <v>252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1</v>
      </c>
      <c r="S113" s="113" t="s">
        <v>1375</v>
      </c>
      <c r="T113" s="8">
        <v>79</v>
      </c>
      <c r="U113" s="13"/>
      <c r="W113" s="25">
        <f>D113</f>
        <v>79.7</v>
      </c>
      <c r="X113" s="106">
        <f>E113</f>
        <v>24</v>
      </c>
      <c r="Y113" s="32">
        <f>H113</f>
        <v>252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3/1</v>
      </c>
      <c r="AH113" s="36" t="str">
        <f>IF(A113="","",A113)</f>
        <v>서해그린3차</v>
      </c>
      <c r="AI113" s="106">
        <f>IF(E113="","",E113)</f>
        <v>24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1373</v>
      </c>
      <c r="B114" s="16" t="s">
        <v>1374</v>
      </c>
      <c r="C114" s="28">
        <v>498</v>
      </c>
      <c r="D114" s="25">
        <v>87.1</v>
      </c>
      <c r="E114" s="106">
        <v>26</v>
      </c>
      <c r="F114" s="25">
        <v>60</v>
      </c>
      <c r="G114" s="27">
        <v>18</v>
      </c>
      <c r="H114" s="28">
        <v>6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1</v>
      </c>
      <c r="S114" s="113" t="s">
        <v>1375</v>
      </c>
      <c r="T114" s="8">
        <v>87</v>
      </c>
      <c r="U114" s="13"/>
      <c r="W114" s="25">
        <f>D114</f>
        <v>87.1</v>
      </c>
      <c r="X114" s="106">
        <f>E114</f>
        <v>26</v>
      </c>
      <c r="Y114" s="32">
        <f>H114</f>
        <v>6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3/1</v>
      </c>
      <c r="AH114" s="36" t="str">
        <f>IF(A114="","",A114)</f>
        <v>서해그린3차</v>
      </c>
      <c r="AI114" s="106">
        <f>IF(E114="","",E114)</f>
        <v>26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1373</v>
      </c>
      <c r="B115" s="16" t="s">
        <v>1376</v>
      </c>
      <c r="C115" s="28">
        <v>498</v>
      </c>
      <c r="D115" s="25">
        <v>100.6</v>
      </c>
      <c r="E115" s="106">
        <v>30</v>
      </c>
      <c r="F115" s="25">
        <v>78.3</v>
      </c>
      <c r="G115" s="27">
        <v>24</v>
      </c>
      <c r="H115" s="28">
        <v>12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1</v>
      </c>
      <c r="S115" s="113" t="s">
        <v>1375</v>
      </c>
      <c r="T115" s="8">
        <v>100</v>
      </c>
      <c r="U115" s="13"/>
      <c r="W115" s="25">
        <f>D115</f>
        <v>100.6</v>
      </c>
      <c r="X115" s="106">
        <f>E115</f>
        <v>30</v>
      </c>
      <c r="Y115" s="32">
        <f>H115</f>
        <v>12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3/1</v>
      </c>
      <c r="AH115" s="36" t="str">
        <f>IF(A115="","",A115)</f>
        <v>서해그린3차</v>
      </c>
      <c r="AI115" s="106">
        <f>IF(E115="","",E115)</f>
        <v>30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1377</v>
      </c>
      <c r="B116" s="16" t="s">
        <v>1378</v>
      </c>
      <c r="C116" s="28">
        <v>498</v>
      </c>
      <c r="D116" s="25">
        <v>102.8</v>
      </c>
      <c r="E116" s="106">
        <v>31</v>
      </c>
      <c r="F116" s="25">
        <v>81.599999999999994</v>
      </c>
      <c r="G116" s="27">
        <v>25</v>
      </c>
      <c r="H116" s="28">
        <v>24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1</v>
      </c>
      <c r="S116" s="113" t="s">
        <v>1375</v>
      </c>
      <c r="T116" s="8">
        <v>102</v>
      </c>
      <c r="U116" s="13"/>
      <c r="W116" s="25">
        <f>D116</f>
        <v>102.8</v>
      </c>
      <c r="X116" s="106">
        <f>E116</f>
        <v>31</v>
      </c>
      <c r="Y116" s="32">
        <f>H116</f>
        <v>24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3/1</v>
      </c>
      <c r="AH116" s="36" t="str">
        <f>IF(A116="","",A116)</f>
        <v>서해그린3차</v>
      </c>
      <c r="AI116" s="106">
        <f>IF(E116="","",E116)</f>
        <v>31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9"/>
      <c r="B117" s="113"/>
      <c r="C117" s="10"/>
      <c r="D117" s="13"/>
      <c r="E117" s="20"/>
      <c r="F117" s="26"/>
      <c r="G117" s="13"/>
      <c r="H117" s="13"/>
      <c r="I117" s="13"/>
      <c r="J117" s="13"/>
      <c r="K117" s="13"/>
      <c r="L117" s="13"/>
      <c r="M117" s="13"/>
      <c r="N117" s="13"/>
      <c r="O117" s="29"/>
      <c r="P117" s="29"/>
      <c r="Q117" s="23"/>
      <c r="R117" s="23"/>
      <c r="S117" s="13"/>
      <c r="T117" s="70"/>
      <c r="U117" s="13"/>
      <c r="W117" s="107" t="str">
        <f>$A$4&amp;" "&amp;A118&amp;"("&amp;B118&amp;","&amp;C118&amp;"^)"</f>
        <v>계산동 은행마을아주('97.07.,612^)</v>
      </c>
      <c r="X117" s="108"/>
      <c r="Y117" s="108"/>
      <c r="Z117" s="108"/>
      <c r="AA117" s="108"/>
      <c r="AB117" s="108"/>
      <c r="AC117" s="108"/>
      <c r="AD117" s="108"/>
      <c r="AE117" s="108"/>
      <c r="AF117" s="109"/>
      <c r="AH117" s="36" t="str">
        <f>IF(A117="","",A117)</f>
        <v/>
      </c>
      <c r="AI117" s="37" t="str">
        <f>IF(E117="","",E117)</f>
        <v/>
      </c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</row>
    <row r="118" spans="1:48" x14ac:dyDescent="0.3">
      <c r="A118" s="5" t="s">
        <v>1379</v>
      </c>
      <c r="B118" s="16" t="s">
        <v>1348</v>
      </c>
      <c r="C118" s="28">
        <v>612</v>
      </c>
      <c r="D118" s="25">
        <v>76.8</v>
      </c>
      <c r="E118" s="106">
        <v>23</v>
      </c>
      <c r="F118" s="25">
        <v>60.3</v>
      </c>
      <c r="G118" s="27">
        <v>18</v>
      </c>
      <c r="H118" s="28">
        <v>144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1</v>
      </c>
      <c r="S118" s="113" t="s">
        <v>64</v>
      </c>
      <c r="T118" s="8">
        <v>76</v>
      </c>
      <c r="U118" s="13"/>
      <c r="W118" s="25">
        <f>D118</f>
        <v>76.8</v>
      </c>
      <c r="X118" s="106">
        <f>E118</f>
        <v>23</v>
      </c>
      <c r="Y118" s="32">
        <f>H118</f>
        <v>144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3/1</v>
      </c>
      <c r="AH118" s="36" t="str">
        <f>IF(A118="","",A118)</f>
        <v>은행마을아주</v>
      </c>
      <c r="AI118" s="106">
        <f>IF(E118="","",E118)</f>
        <v>23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1380</v>
      </c>
      <c r="B119" s="16" t="s">
        <v>1348</v>
      </c>
      <c r="C119" s="28">
        <v>612</v>
      </c>
      <c r="D119" s="25">
        <v>79.099999999999994</v>
      </c>
      <c r="E119" s="106">
        <v>24</v>
      </c>
      <c r="F119" s="25">
        <v>62.2</v>
      </c>
      <c r="G119" s="27">
        <v>19</v>
      </c>
      <c r="H119" s="28">
        <v>22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64</v>
      </c>
      <c r="T119" s="8">
        <v>79</v>
      </c>
      <c r="U119" s="13"/>
      <c r="W119" s="25">
        <f>D119</f>
        <v>79.099999999999994</v>
      </c>
      <c r="X119" s="106">
        <f>E119</f>
        <v>24</v>
      </c>
      <c r="Y119" s="32">
        <f>H119</f>
        <v>22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은행마을아주</v>
      </c>
      <c r="AI119" s="106">
        <f>IF(E119="","",E119)</f>
        <v>24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1379</v>
      </c>
      <c r="B120" s="16" t="s">
        <v>1348</v>
      </c>
      <c r="C120" s="28">
        <v>612</v>
      </c>
      <c r="D120" s="25">
        <v>93.2</v>
      </c>
      <c r="E120" s="106">
        <v>28</v>
      </c>
      <c r="F120" s="25">
        <v>73.2</v>
      </c>
      <c r="G120" s="27">
        <v>22</v>
      </c>
      <c r="H120" s="28">
        <v>446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1381</v>
      </c>
      <c r="T120" s="8">
        <v>93</v>
      </c>
      <c r="U120" s="13"/>
      <c r="W120" s="25">
        <f>D120</f>
        <v>93.2</v>
      </c>
      <c r="X120" s="106">
        <f>E120</f>
        <v>28</v>
      </c>
      <c r="Y120" s="32">
        <f>H120</f>
        <v>446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은행마을아주</v>
      </c>
      <c r="AI120" s="106">
        <f>IF(E120="","",E120)</f>
        <v>28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계산동 계산주공('90.06.,1140^)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1382</v>
      </c>
      <c r="B122" s="16" t="s">
        <v>1383</v>
      </c>
      <c r="C122" s="28">
        <v>1140</v>
      </c>
      <c r="D122" s="25">
        <v>52.6</v>
      </c>
      <c r="E122" s="106">
        <v>16</v>
      </c>
      <c r="F122" s="25">
        <v>36.200000000000003</v>
      </c>
      <c r="G122" s="27">
        <v>11</v>
      </c>
      <c r="H122" s="28">
        <v>300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2</v>
      </c>
      <c r="R122" s="15">
        <v>1</v>
      </c>
      <c r="S122" s="113" t="s">
        <v>1384</v>
      </c>
      <c r="T122" s="8" t="s">
        <v>396</v>
      </c>
      <c r="U122" s="13"/>
      <c r="W122" s="25">
        <f>D122</f>
        <v>52.6</v>
      </c>
      <c r="X122" s="106">
        <f>E122</f>
        <v>16</v>
      </c>
      <c r="Y122" s="32">
        <f>H122</f>
        <v>300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복</v>
      </c>
      <c r="AF122" s="15" t="str">
        <f>Q122&amp;"/"&amp;R122</f>
        <v>2/1</v>
      </c>
      <c r="AH122" s="36" t="str">
        <f>IF(A122="","",A122)</f>
        <v>계산주공</v>
      </c>
      <c r="AI122" s="106">
        <f>IF(E122="","",E122)</f>
        <v>16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1382</v>
      </c>
      <c r="B123" s="16" t="s">
        <v>1383</v>
      </c>
      <c r="C123" s="28">
        <v>1140</v>
      </c>
      <c r="D123" s="25">
        <v>52.8</v>
      </c>
      <c r="E123" s="106">
        <v>16</v>
      </c>
      <c r="F123" s="25">
        <v>36.299999999999997</v>
      </c>
      <c r="G123" s="27">
        <v>11</v>
      </c>
      <c r="H123" s="28">
        <v>60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2</v>
      </c>
      <c r="R123" s="15">
        <v>1</v>
      </c>
      <c r="S123" s="113" t="s">
        <v>1384</v>
      </c>
      <c r="T123" s="8" t="s">
        <v>400</v>
      </c>
      <c r="U123" s="13"/>
      <c r="W123" s="25">
        <f>D123</f>
        <v>52.8</v>
      </c>
      <c r="X123" s="106">
        <f>E123</f>
        <v>16</v>
      </c>
      <c r="Y123" s="32">
        <f>H123</f>
        <v>60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복</v>
      </c>
      <c r="AF123" s="15" t="str">
        <f>Q123&amp;"/"&amp;R123</f>
        <v>2/1</v>
      </c>
      <c r="AH123" s="36" t="str">
        <f>IF(A123="","",A123)</f>
        <v>계산주공</v>
      </c>
      <c r="AI123" s="106">
        <f>IF(E123="","",E123)</f>
        <v>16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1382</v>
      </c>
      <c r="B124" s="16" t="s">
        <v>1383</v>
      </c>
      <c r="C124" s="28">
        <v>1140</v>
      </c>
      <c r="D124" s="25">
        <v>57.2</v>
      </c>
      <c r="E124" s="106">
        <v>17</v>
      </c>
      <c r="F124" s="25">
        <v>41.3</v>
      </c>
      <c r="G124" s="27">
        <v>12</v>
      </c>
      <c r="H124" s="28">
        <v>180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2</v>
      </c>
      <c r="R124" s="15">
        <v>1</v>
      </c>
      <c r="S124" s="113" t="s">
        <v>1384</v>
      </c>
      <c r="T124" s="8" t="s">
        <v>326</v>
      </c>
      <c r="U124" s="13"/>
      <c r="W124" s="25">
        <f>D124</f>
        <v>57.2</v>
      </c>
      <c r="X124" s="106">
        <f>E124</f>
        <v>17</v>
      </c>
      <c r="Y124" s="32">
        <f>H124</f>
        <v>180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복</v>
      </c>
      <c r="AF124" s="15" t="str">
        <f>Q124&amp;"/"&amp;R124</f>
        <v>2/1</v>
      </c>
      <c r="AH124" s="36" t="str">
        <f>IF(A124="","",A124)</f>
        <v>계산주공</v>
      </c>
      <c r="AI124" s="106">
        <f>IF(E124="","",E124)</f>
        <v>17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1382</v>
      </c>
      <c r="B125" s="16" t="s">
        <v>1383</v>
      </c>
      <c r="C125" s="28">
        <v>1140</v>
      </c>
      <c r="D125" s="25">
        <v>57.2</v>
      </c>
      <c r="E125" s="106">
        <v>17</v>
      </c>
      <c r="F125" s="25">
        <v>41.3</v>
      </c>
      <c r="G125" s="27">
        <v>12</v>
      </c>
      <c r="H125" s="28">
        <v>90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2</v>
      </c>
      <c r="R125" s="15">
        <v>1</v>
      </c>
      <c r="S125" s="113" t="s">
        <v>1384</v>
      </c>
      <c r="T125" s="8" t="s">
        <v>284</v>
      </c>
      <c r="U125" s="13"/>
      <c r="W125" s="25">
        <f>D125</f>
        <v>57.2</v>
      </c>
      <c r="X125" s="106">
        <f>E125</f>
        <v>17</v>
      </c>
      <c r="Y125" s="32">
        <f>H125</f>
        <v>90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복</v>
      </c>
      <c r="AF125" s="15" t="str">
        <f>Q125&amp;"/"&amp;R125</f>
        <v>2/1</v>
      </c>
      <c r="AH125" s="36" t="str">
        <f>IF(A125="","",A125)</f>
        <v>계산주공</v>
      </c>
      <c r="AI125" s="106">
        <f>IF(E125="","",E125)</f>
        <v>17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1382</v>
      </c>
      <c r="B126" s="16" t="s">
        <v>1383</v>
      </c>
      <c r="C126" s="28">
        <v>1140</v>
      </c>
      <c r="D126" s="25">
        <v>60.3</v>
      </c>
      <c r="E126" s="106">
        <v>18</v>
      </c>
      <c r="F126" s="25">
        <v>41.3</v>
      </c>
      <c r="G126" s="27">
        <v>12</v>
      </c>
      <c r="H126" s="28">
        <v>60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2</v>
      </c>
      <c r="R126" s="15">
        <v>1</v>
      </c>
      <c r="S126" s="113" t="s">
        <v>1384</v>
      </c>
      <c r="T126" s="8">
        <v>60</v>
      </c>
      <c r="U126" s="13"/>
      <c r="W126" s="25">
        <f>D126</f>
        <v>60.3</v>
      </c>
      <c r="X126" s="106">
        <f>E126</f>
        <v>18</v>
      </c>
      <c r="Y126" s="32">
        <f>H126</f>
        <v>60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복</v>
      </c>
      <c r="AF126" s="15" t="str">
        <f>Q126&amp;"/"&amp;R126</f>
        <v>2/1</v>
      </c>
      <c r="AH126" s="36" t="str">
        <f>IF(A126="","",A126)</f>
        <v>계산주공</v>
      </c>
      <c r="AI126" s="106">
        <f>IF(E126="","",E126)</f>
        <v>18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1382</v>
      </c>
      <c r="B127" s="16" t="s">
        <v>1383</v>
      </c>
      <c r="C127" s="28">
        <v>1140</v>
      </c>
      <c r="D127" s="25">
        <v>69.099999999999994</v>
      </c>
      <c r="E127" s="106">
        <v>21</v>
      </c>
      <c r="F127" s="25">
        <v>49.9</v>
      </c>
      <c r="G127" s="27">
        <v>15</v>
      </c>
      <c r="H127" s="28">
        <v>270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2</v>
      </c>
      <c r="R127" s="15">
        <v>1</v>
      </c>
      <c r="S127" s="113" t="s">
        <v>1384</v>
      </c>
      <c r="T127" s="8">
        <v>69</v>
      </c>
      <c r="U127" s="13"/>
      <c r="W127" s="25">
        <f>D127</f>
        <v>69.099999999999994</v>
      </c>
      <c r="X127" s="106">
        <f>E127</f>
        <v>21</v>
      </c>
      <c r="Y127" s="32">
        <f>H127</f>
        <v>270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복</v>
      </c>
      <c r="AF127" s="15" t="str">
        <f>Q127&amp;"/"&amp;R127</f>
        <v>2/1</v>
      </c>
      <c r="AH127" s="36" t="str">
        <f>IF(A127="","",A127)</f>
        <v>계산주공</v>
      </c>
      <c r="AI127" s="106">
        <f>IF(E127="","",E127)</f>
        <v>21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1382</v>
      </c>
      <c r="B128" s="16" t="s">
        <v>1383</v>
      </c>
      <c r="C128" s="28">
        <v>1140</v>
      </c>
      <c r="D128" s="25">
        <v>73</v>
      </c>
      <c r="E128" s="106">
        <v>22</v>
      </c>
      <c r="F128" s="25">
        <v>49.9</v>
      </c>
      <c r="G128" s="27">
        <v>15</v>
      </c>
      <c r="H128" s="28">
        <v>180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2</v>
      </c>
      <c r="R128" s="15">
        <v>1</v>
      </c>
      <c r="S128" s="113" t="s">
        <v>1384</v>
      </c>
      <c r="T128" s="8">
        <v>72</v>
      </c>
      <c r="U128" s="13"/>
      <c r="W128" s="25">
        <f>D128</f>
        <v>73</v>
      </c>
      <c r="X128" s="106">
        <f>E128</f>
        <v>22</v>
      </c>
      <c r="Y128" s="32">
        <f>H128</f>
        <v>180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복</v>
      </c>
      <c r="AF128" s="15" t="str">
        <f>Q128&amp;"/"&amp;R128</f>
        <v>2/1</v>
      </c>
      <c r="AH128" s="36" t="str">
        <f>IF(A128="","",A128)</f>
        <v>계산주공</v>
      </c>
      <c r="AI128" s="106">
        <f>IF(E128="","",E128)</f>
        <v>22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9"/>
      <c r="B129" s="113"/>
      <c r="C129" s="10"/>
      <c r="D129" s="13"/>
      <c r="E129" s="20"/>
      <c r="F129" s="26"/>
      <c r="G129" s="13"/>
      <c r="H129" s="13"/>
      <c r="I129" s="13"/>
      <c r="J129" s="13"/>
      <c r="K129" s="13"/>
      <c r="L129" s="13"/>
      <c r="M129" s="13"/>
      <c r="N129" s="13"/>
      <c r="O129" s="29"/>
      <c r="P129" s="29"/>
      <c r="Q129" s="23"/>
      <c r="R129" s="23"/>
      <c r="S129" s="13"/>
      <c r="T129" s="70"/>
      <c r="U129" s="13"/>
      <c r="W129" s="107" t="str">
        <f>$A$4&amp;" "&amp;A130&amp;"("&amp;B130&amp;","&amp;C130&amp;"^)"</f>
        <v>계산동 은행마을강북('97.07.,216^)</v>
      </c>
      <c r="X129" s="108"/>
      <c r="Y129" s="108"/>
      <c r="Z129" s="108"/>
      <c r="AA129" s="108"/>
      <c r="AB129" s="108"/>
      <c r="AC129" s="108"/>
      <c r="AD129" s="108"/>
      <c r="AE129" s="108"/>
      <c r="AF129" s="109"/>
      <c r="AH129" s="36" t="str">
        <f>IF(A129="","",A129)</f>
        <v/>
      </c>
      <c r="AI129" s="37" t="str">
        <f>IF(E129="","",E129)</f>
        <v/>
      </c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</row>
    <row r="130" spans="1:48" x14ac:dyDescent="0.3">
      <c r="A130" s="5" t="s">
        <v>1385</v>
      </c>
      <c r="B130" s="16" t="s">
        <v>1348</v>
      </c>
      <c r="C130" s="28">
        <v>216</v>
      </c>
      <c r="D130" s="25">
        <v>117.8</v>
      </c>
      <c r="E130" s="106">
        <v>36</v>
      </c>
      <c r="F130" s="25">
        <v>102.5</v>
      </c>
      <c r="G130" s="27">
        <v>31</v>
      </c>
      <c r="H130" s="28">
        <v>216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2</v>
      </c>
      <c r="S130" s="113" t="s">
        <v>64</v>
      </c>
      <c r="T130" s="8">
        <v>117</v>
      </c>
      <c r="U130" s="13"/>
      <c r="W130" s="25">
        <f>D130</f>
        <v>117.8</v>
      </c>
      <c r="X130" s="106">
        <f>E130</f>
        <v>36</v>
      </c>
      <c r="Y130" s="32">
        <f>H130</f>
        <v>216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4/2</v>
      </c>
      <c r="AH130" s="36" t="str">
        <f>IF(A130="","",A130)</f>
        <v>은행마을강북</v>
      </c>
      <c r="AI130" s="106">
        <f>IF(E130="","",E130)</f>
        <v>36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X</v>
      </c>
      <c r="AV130" s="113" t="str">
        <f>IF(AO130="","",IF(AND(AO130="O",AP130="O",AR130="O",AT130="O",AU130="O"),"후보","X"))</f>
        <v/>
      </c>
    </row>
  </sheetData>
  <mergeCells count="1">
    <mergeCell ref="AJ1:AN1"/>
  </mergeCells>
  <phoneticPr fontId="2" type="noConversion"/>
  <conditionalFormatting sqref="AV4:AV6">
    <cfRule type="expression" dxfId="7619" priority="2054">
      <formula>AV4="X"</formula>
    </cfRule>
    <cfRule type="expression" dxfId="7618" priority="2055">
      <formula>AV4="후보"</formula>
    </cfRule>
  </conditionalFormatting>
  <conditionalFormatting sqref="Z2:Z6">
    <cfRule type="colorScale" priority="20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617" priority="2051" operator="greaterThan">
      <formula>0.9</formula>
    </cfRule>
    <cfRule type="cellIs" dxfId="7616" priority="2052" operator="greaterThan">
      <formula>0.85</formula>
    </cfRule>
  </conditionalFormatting>
  <conditionalFormatting sqref="N1:N2">
    <cfRule type="cellIs" dxfId="7615" priority="2049" operator="greaterThan">
      <formula>0.9</formula>
    </cfRule>
    <cfRule type="cellIs" dxfId="7614" priority="2050" operator="greaterThan">
      <formula>0.85</formula>
    </cfRule>
  </conditionalFormatting>
  <conditionalFormatting sqref="N6">
    <cfRule type="cellIs" dxfId="7613" priority="2047" operator="greaterThan">
      <formula>0.9</formula>
    </cfRule>
    <cfRule type="cellIs" dxfId="7612" priority="2048" operator="greaterThan">
      <formula>0.85</formula>
    </cfRule>
  </conditionalFormatting>
  <conditionalFormatting sqref="E6">
    <cfRule type="expression" dxfId="7611" priority="2043">
      <formula>AND(IF(OR($Q6=1,$Q6=2),1,0),IF($X6&lt;=20,1,0))</formula>
    </cfRule>
    <cfRule type="expression" dxfId="7610" priority="2044">
      <formula>AND(IF($Q6=2,1,0),IF($X6&lt;30,1,0))</formula>
    </cfRule>
    <cfRule type="expression" dxfId="7609" priority="2045">
      <formula>AND(IF($Q6=3,1,0),IF($X6&lt;30,1,0))</formula>
    </cfRule>
    <cfRule type="expression" dxfId="7608" priority="2046">
      <formula>AND(IF($Q6=3,1,IF($Q6=4,1,0)),IF($F6&lt;=85,1,0))</formula>
    </cfRule>
  </conditionalFormatting>
  <conditionalFormatting sqref="X6">
    <cfRule type="expression" dxfId="7607" priority="2039">
      <formula>AND(IF(OR($Q6=1,$Q6=2),1,0),IF($X6&lt;=20,1,0))</formula>
    </cfRule>
    <cfRule type="expression" dxfId="7606" priority="2040">
      <formula>AND(IF($Q6=2,1,0),IF($X6&lt;30,1,0))</formula>
    </cfRule>
    <cfRule type="expression" dxfId="7605" priority="2041">
      <formula>AND(IF($Q6=3,1,0),IF($X6&lt;30,1,0))</formula>
    </cfRule>
    <cfRule type="expression" dxfId="7604" priority="2042">
      <formula>AND(IF($Q6=3,1,IF($Q6=4,1,0)),IF($F6&lt;=85,1,0))</formula>
    </cfRule>
  </conditionalFormatting>
  <conditionalFormatting sqref="AI6">
    <cfRule type="expression" dxfId="7603" priority="2035">
      <formula>AND(IF(OR($Q6=1,$Q6=2),1,0),IF($X6&lt;=20,1,0))</formula>
    </cfRule>
    <cfRule type="expression" dxfId="7602" priority="2036">
      <formula>AND(IF($Q6=2,1,0),IF($X6&lt;30,1,0))</formula>
    </cfRule>
    <cfRule type="expression" dxfId="7601" priority="2037">
      <formula>AND(IF($Q6=3,1,0),IF($X6&lt;30,1,0))</formula>
    </cfRule>
    <cfRule type="expression" dxfId="7600" priority="2038">
      <formula>AND(IF($Q6=3,1,IF($Q6=4,1,0)),IF($F6&lt;=85,1,0))</formula>
    </cfRule>
  </conditionalFormatting>
  <conditionalFormatting sqref="AV7">
    <cfRule type="expression" dxfId="7599" priority="2033">
      <formula>AV7="X"</formula>
    </cfRule>
    <cfRule type="expression" dxfId="7598" priority="2034">
      <formula>AV7="후보"</formula>
    </cfRule>
  </conditionalFormatting>
  <conditionalFormatting sqref="Z7">
    <cfRule type="colorScale" priority="2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597" priority="2030" operator="greaterThan">
      <formula>0.9</formula>
    </cfRule>
    <cfRule type="cellIs" dxfId="7596" priority="2031" operator="greaterThan">
      <formula>0.85</formula>
    </cfRule>
  </conditionalFormatting>
  <conditionalFormatting sqref="N7">
    <cfRule type="cellIs" dxfId="7595" priority="2028" operator="greaterThan">
      <formula>0.9</formula>
    </cfRule>
    <cfRule type="cellIs" dxfId="7594" priority="2029" operator="greaterThan">
      <formula>0.85</formula>
    </cfRule>
  </conditionalFormatting>
  <conditionalFormatting sqref="E7">
    <cfRule type="expression" dxfId="7593" priority="2024">
      <formula>AND(IF(OR($Q7=1,$Q7=2),1,0),IF($X7&lt;=20,1,0))</formula>
    </cfRule>
    <cfRule type="expression" dxfId="7592" priority="2025">
      <formula>AND(IF($Q7=2,1,0),IF($X7&lt;30,1,0))</formula>
    </cfRule>
    <cfRule type="expression" dxfId="7591" priority="2026">
      <formula>AND(IF($Q7=3,1,0),IF($X7&lt;30,1,0))</formula>
    </cfRule>
    <cfRule type="expression" dxfId="7590" priority="2027">
      <formula>AND(IF($Q7=3,1,IF($Q7=4,1,0)),IF($F7&lt;=85,1,0))</formula>
    </cfRule>
  </conditionalFormatting>
  <conditionalFormatting sqref="X7">
    <cfRule type="expression" dxfId="7589" priority="2020">
      <formula>AND(IF(OR($Q7=1,$Q7=2),1,0),IF($X7&lt;=20,1,0))</formula>
    </cfRule>
    <cfRule type="expression" dxfId="7588" priority="2021">
      <formula>AND(IF($Q7=2,1,0),IF($X7&lt;30,1,0))</formula>
    </cfRule>
    <cfRule type="expression" dxfId="7587" priority="2022">
      <formula>AND(IF($Q7=3,1,0),IF($X7&lt;30,1,0))</formula>
    </cfRule>
    <cfRule type="expression" dxfId="7586" priority="2023">
      <formula>AND(IF($Q7=3,1,IF($Q7=4,1,0)),IF($F7&lt;=85,1,0))</formula>
    </cfRule>
  </conditionalFormatting>
  <conditionalFormatting sqref="AI7">
    <cfRule type="expression" dxfId="7585" priority="2016">
      <formula>AND(IF(OR($Q7=1,$Q7=2),1,0),IF($X7&lt;=20,1,0))</formula>
    </cfRule>
    <cfRule type="expression" dxfId="7584" priority="2017">
      <formula>AND(IF($Q7=2,1,0),IF($X7&lt;30,1,0))</formula>
    </cfRule>
    <cfRule type="expression" dxfId="7583" priority="2018">
      <formula>AND(IF($Q7=3,1,0),IF($X7&lt;30,1,0))</formula>
    </cfRule>
    <cfRule type="expression" dxfId="7582" priority="2019">
      <formula>AND(IF($Q7=3,1,IF($Q7=4,1,0)),IF($F7&lt;=85,1,0))</formula>
    </cfRule>
  </conditionalFormatting>
  <conditionalFormatting sqref="AV8">
    <cfRule type="expression" dxfId="7581" priority="2014">
      <formula>AV8="X"</formula>
    </cfRule>
    <cfRule type="expression" dxfId="7580" priority="2015">
      <formula>AV8="후보"</formula>
    </cfRule>
  </conditionalFormatting>
  <conditionalFormatting sqref="Z8">
    <cfRule type="colorScale" priority="2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579" priority="2011" operator="greaterThan">
      <formula>0.9</formula>
    </cfRule>
    <cfRule type="cellIs" dxfId="7578" priority="2012" operator="greaterThan">
      <formula>0.85</formula>
    </cfRule>
  </conditionalFormatting>
  <conditionalFormatting sqref="N8">
    <cfRule type="cellIs" dxfId="7577" priority="2009" operator="greaterThan">
      <formula>0.9</formula>
    </cfRule>
    <cfRule type="cellIs" dxfId="7576" priority="2010" operator="greaterThan">
      <formula>0.85</formula>
    </cfRule>
  </conditionalFormatting>
  <conditionalFormatting sqref="E8">
    <cfRule type="expression" dxfId="7575" priority="2005">
      <formula>AND(IF(OR($Q8=1,$Q8=2),1,0),IF($X8&lt;=20,1,0))</formula>
    </cfRule>
    <cfRule type="expression" dxfId="7574" priority="2006">
      <formula>AND(IF($Q8=2,1,0),IF($X8&lt;30,1,0))</formula>
    </cfRule>
    <cfRule type="expression" dxfId="7573" priority="2007">
      <formula>AND(IF($Q8=3,1,0),IF($X8&lt;30,1,0))</formula>
    </cfRule>
    <cfRule type="expression" dxfId="7572" priority="2008">
      <formula>AND(IF($Q8=3,1,IF($Q8=4,1,0)),IF($F8&lt;=85,1,0))</formula>
    </cfRule>
  </conditionalFormatting>
  <conditionalFormatting sqref="X8">
    <cfRule type="expression" dxfId="7571" priority="2001">
      <formula>AND(IF(OR($Q8=1,$Q8=2),1,0),IF($X8&lt;=20,1,0))</formula>
    </cfRule>
    <cfRule type="expression" dxfId="7570" priority="2002">
      <formula>AND(IF($Q8=2,1,0),IF($X8&lt;30,1,0))</formula>
    </cfRule>
    <cfRule type="expression" dxfId="7569" priority="2003">
      <formula>AND(IF($Q8=3,1,0),IF($X8&lt;30,1,0))</formula>
    </cfRule>
    <cfRule type="expression" dxfId="7568" priority="2004">
      <formula>AND(IF($Q8=3,1,IF($Q8=4,1,0)),IF($F8&lt;=85,1,0))</formula>
    </cfRule>
  </conditionalFormatting>
  <conditionalFormatting sqref="AI8">
    <cfRule type="expression" dxfId="7567" priority="1997">
      <formula>AND(IF(OR($Q8=1,$Q8=2),1,0),IF($X8&lt;=20,1,0))</formula>
    </cfRule>
    <cfRule type="expression" dxfId="7566" priority="1998">
      <formula>AND(IF($Q8=2,1,0),IF($X8&lt;30,1,0))</formula>
    </cfRule>
    <cfRule type="expression" dxfId="7565" priority="1999">
      <formula>AND(IF($Q8=3,1,0),IF($X8&lt;30,1,0))</formula>
    </cfRule>
    <cfRule type="expression" dxfId="7564" priority="2000">
      <formula>AND(IF($Q8=3,1,IF($Q8=4,1,0)),IF($F8&lt;=85,1,0))</formula>
    </cfRule>
  </conditionalFormatting>
  <conditionalFormatting sqref="AV9">
    <cfRule type="expression" dxfId="7563" priority="1995">
      <formula>AV9="X"</formula>
    </cfRule>
    <cfRule type="expression" dxfId="7562" priority="1996">
      <formula>AV9="후보"</formula>
    </cfRule>
  </conditionalFormatting>
  <conditionalFormatting sqref="Z9">
    <cfRule type="colorScale" priority="1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561" priority="1992" operator="greaterThan">
      <formula>0.9</formula>
    </cfRule>
    <cfRule type="cellIs" dxfId="7560" priority="1993" operator="greaterThan">
      <formula>0.85</formula>
    </cfRule>
  </conditionalFormatting>
  <conditionalFormatting sqref="N9">
    <cfRule type="cellIs" dxfId="7559" priority="1990" operator="greaterThan">
      <formula>0.9</formula>
    </cfRule>
    <cfRule type="cellIs" dxfId="7558" priority="1991" operator="greaterThan">
      <formula>0.85</formula>
    </cfRule>
  </conditionalFormatting>
  <conditionalFormatting sqref="E9">
    <cfRule type="expression" dxfId="7557" priority="1986">
      <formula>AND(IF(OR($Q9=1,$Q9=2),1,0),IF($X9&lt;=20,1,0))</formula>
    </cfRule>
    <cfRule type="expression" dxfId="7556" priority="1987">
      <formula>AND(IF($Q9=2,1,0),IF($X9&lt;30,1,0))</formula>
    </cfRule>
    <cfRule type="expression" dxfId="7555" priority="1988">
      <formula>AND(IF($Q9=3,1,0),IF($X9&lt;30,1,0))</formula>
    </cfRule>
    <cfRule type="expression" dxfId="7554" priority="1989">
      <formula>AND(IF($Q9=3,1,IF($Q9=4,1,0)),IF($F9&lt;=85,1,0))</formula>
    </cfRule>
  </conditionalFormatting>
  <conditionalFormatting sqref="X9">
    <cfRule type="expression" dxfId="7553" priority="1982">
      <formula>AND(IF(OR($Q9=1,$Q9=2),1,0),IF($X9&lt;=20,1,0))</formula>
    </cfRule>
    <cfRule type="expression" dxfId="7552" priority="1983">
      <formula>AND(IF($Q9=2,1,0),IF($X9&lt;30,1,0))</formula>
    </cfRule>
    <cfRule type="expression" dxfId="7551" priority="1984">
      <formula>AND(IF($Q9=3,1,0),IF($X9&lt;30,1,0))</formula>
    </cfRule>
    <cfRule type="expression" dxfId="7550" priority="1985">
      <formula>AND(IF($Q9=3,1,IF($Q9=4,1,0)),IF($F9&lt;=85,1,0))</formula>
    </cfRule>
  </conditionalFormatting>
  <conditionalFormatting sqref="AI9">
    <cfRule type="expression" dxfId="7549" priority="1978">
      <formula>AND(IF(OR($Q9=1,$Q9=2),1,0),IF($X9&lt;=20,1,0))</formula>
    </cfRule>
    <cfRule type="expression" dxfId="7548" priority="1979">
      <formula>AND(IF($Q9=2,1,0),IF($X9&lt;30,1,0))</formula>
    </cfRule>
    <cfRule type="expression" dxfId="7547" priority="1980">
      <formula>AND(IF($Q9=3,1,0),IF($X9&lt;30,1,0))</formula>
    </cfRule>
    <cfRule type="expression" dxfId="7546" priority="1981">
      <formula>AND(IF($Q9=3,1,IF($Q9=4,1,0)),IF($F9&lt;=85,1,0))</formula>
    </cfRule>
  </conditionalFormatting>
  <conditionalFormatting sqref="AV10">
    <cfRule type="expression" dxfId="7545" priority="1976">
      <formula>AV10="X"</formula>
    </cfRule>
    <cfRule type="expression" dxfId="7544" priority="1977">
      <formula>AV10="후보"</formula>
    </cfRule>
  </conditionalFormatting>
  <conditionalFormatting sqref="Z10">
    <cfRule type="colorScale" priority="1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543" priority="1973" operator="greaterThan">
      <formula>0.9</formula>
    </cfRule>
    <cfRule type="cellIs" dxfId="7542" priority="1974" operator="greaterThan">
      <formula>0.85</formula>
    </cfRule>
  </conditionalFormatting>
  <conditionalFormatting sqref="N10">
    <cfRule type="cellIs" dxfId="7541" priority="1971" operator="greaterThan">
      <formula>0.9</formula>
    </cfRule>
    <cfRule type="cellIs" dxfId="7540" priority="1972" operator="greaterThan">
      <formula>0.85</formula>
    </cfRule>
  </conditionalFormatting>
  <conditionalFormatting sqref="E10">
    <cfRule type="expression" dxfId="7539" priority="1967">
      <formula>AND(IF(OR($Q10=1,$Q10=2),1,0),IF($X10&lt;=20,1,0))</formula>
    </cfRule>
    <cfRule type="expression" dxfId="7538" priority="1968">
      <formula>AND(IF($Q10=2,1,0),IF($X10&lt;30,1,0))</formula>
    </cfRule>
    <cfRule type="expression" dxfId="7537" priority="1969">
      <formula>AND(IF($Q10=3,1,0),IF($X10&lt;30,1,0))</formula>
    </cfRule>
    <cfRule type="expression" dxfId="7536" priority="1970">
      <formula>AND(IF($Q10=3,1,IF($Q10=4,1,0)),IF($F10&lt;=85,1,0))</formula>
    </cfRule>
  </conditionalFormatting>
  <conditionalFormatting sqref="X10">
    <cfRule type="expression" dxfId="7535" priority="1963">
      <formula>AND(IF(OR($Q10=1,$Q10=2),1,0),IF($X10&lt;=20,1,0))</formula>
    </cfRule>
    <cfRule type="expression" dxfId="7534" priority="1964">
      <formula>AND(IF($Q10=2,1,0),IF($X10&lt;30,1,0))</formula>
    </cfRule>
    <cfRule type="expression" dxfId="7533" priority="1965">
      <formula>AND(IF($Q10=3,1,0),IF($X10&lt;30,1,0))</formula>
    </cfRule>
    <cfRule type="expression" dxfId="7532" priority="1966">
      <formula>AND(IF($Q10=3,1,IF($Q10=4,1,0)),IF($F10&lt;=85,1,0))</formula>
    </cfRule>
  </conditionalFormatting>
  <conditionalFormatting sqref="AI10">
    <cfRule type="expression" dxfId="7531" priority="1959">
      <formula>AND(IF(OR($Q10=1,$Q10=2),1,0),IF($X10&lt;=20,1,0))</formula>
    </cfRule>
    <cfRule type="expression" dxfId="7530" priority="1960">
      <formula>AND(IF($Q10=2,1,0),IF($X10&lt;30,1,0))</formula>
    </cfRule>
    <cfRule type="expression" dxfId="7529" priority="1961">
      <formula>AND(IF($Q10=3,1,0),IF($X10&lt;30,1,0))</formula>
    </cfRule>
    <cfRule type="expression" dxfId="7528" priority="1962">
      <formula>AND(IF($Q10=3,1,IF($Q10=4,1,0)),IF($F10&lt;=85,1,0))</formula>
    </cfRule>
  </conditionalFormatting>
  <conditionalFormatting sqref="AV11">
    <cfRule type="expression" dxfId="7527" priority="1957">
      <formula>AV11="X"</formula>
    </cfRule>
    <cfRule type="expression" dxfId="7526" priority="1958">
      <formula>AV11="후보"</formula>
    </cfRule>
  </conditionalFormatting>
  <conditionalFormatting sqref="Z11">
    <cfRule type="colorScale" priority="1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525" priority="1954" operator="greaterThan">
      <formula>0.9</formula>
    </cfRule>
    <cfRule type="cellIs" dxfId="7524" priority="1955" operator="greaterThan">
      <formula>0.85</formula>
    </cfRule>
  </conditionalFormatting>
  <conditionalFormatting sqref="N11">
    <cfRule type="cellIs" dxfId="7523" priority="1952" operator="greaterThan">
      <formula>0.9</formula>
    </cfRule>
    <cfRule type="cellIs" dxfId="7522" priority="1953" operator="greaterThan">
      <formula>0.85</formula>
    </cfRule>
  </conditionalFormatting>
  <conditionalFormatting sqref="E11">
    <cfRule type="expression" dxfId="7521" priority="1948">
      <formula>AND(IF(OR($Q11=1,$Q11=2),1,0),IF($X11&lt;=20,1,0))</formula>
    </cfRule>
    <cfRule type="expression" dxfId="7520" priority="1949">
      <formula>AND(IF($Q11=2,1,0),IF($X11&lt;30,1,0))</formula>
    </cfRule>
    <cfRule type="expression" dxfId="7519" priority="1950">
      <formula>AND(IF($Q11=3,1,0),IF($X11&lt;30,1,0))</formula>
    </cfRule>
    <cfRule type="expression" dxfId="7518" priority="1951">
      <formula>AND(IF($Q11=3,1,IF($Q11=4,1,0)),IF($F11&lt;=85,1,0))</formula>
    </cfRule>
  </conditionalFormatting>
  <conditionalFormatting sqref="X11">
    <cfRule type="expression" dxfId="7517" priority="1944">
      <formula>AND(IF(OR($Q11=1,$Q11=2),1,0),IF($X11&lt;=20,1,0))</formula>
    </cfRule>
    <cfRule type="expression" dxfId="7516" priority="1945">
      <formula>AND(IF($Q11=2,1,0),IF($X11&lt;30,1,0))</formula>
    </cfRule>
    <cfRule type="expression" dxfId="7515" priority="1946">
      <formula>AND(IF($Q11=3,1,0),IF($X11&lt;30,1,0))</formula>
    </cfRule>
    <cfRule type="expression" dxfId="7514" priority="1947">
      <formula>AND(IF($Q11=3,1,IF($Q11=4,1,0)),IF($F11&lt;=85,1,0))</formula>
    </cfRule>
  </conditionalFormatting>
  <conditionalFormatting sqref="AI11">
    <cfRule type="expression" dxfId="7513" priority="1940">
      <formula>AND(IF(OR($Q11=1,$Q11=2),1,0),IF($X11&lt;=20,1,0))</formula>
    </cfRule>
    <cfRule type="expression" dxfId="7512" priority="1941">
      <formula>AND(IF($Q11=2,1,0),IF($X11&lt;30,1,0))</formula>
    </cfRule>
    <cfRule type="expression" dxfId="7511" priority="1942">
      <formula>AND(IF($Q11=3,1,0),IF($X11&lt;30,1,0))</formula>
    </cfRule>
    <cfRule type="expression" dxfId="7510" priority="1943">
      <formula>AND(IF($Q11=3,1,IF($Q11=4,1,0)),IF($F11&lt;=85,1,0))</formula>
    </cfRule>
  </conditionalFormatting>
  <conditionalFormatting sqref="AV12">
    <cfRule type="expression" dxfId="7509" priority="1938">
      <formula>AV12="X"</formula>
    </cfRule>
    <cfRule type="expression" dxfId="7508" priority="1939">
      <formula>AV12="후보"</formula>
    </cfRule>
  </conditionalFormatting>
  <conditionalFormatting sqref="Z12">
    <cfRule type="colorScale" priority="1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507" priority="1935" operator="greaterThan">
      <formula>0.9</formula>
    </cfRule>
    <cfRule type="cellIs" dxfId="7506" priority="1936" operator="greaterThan">
      <formula>0.85</formula>
    </cfRule>
  </conditionalFormatting>
  <conditionalFormatting sqref="N12">
    <cfRule type="cellIs" dxfId="7505" priority="1933" operator="greaterThan">
      <formula>0.9</formula>
    </cfRule>
    <cfRule type="cellIs" dxfId="7504" priority="1934" operator="greaterThan">
      <formula>0.85</formula>
    </cfRule>
  </conditionalFormatting>
  <conditionalFormatting sqref="E12">
    <cfRule type="expression" dxfId="7503" priority="1929">
      <formula>AND(IF(OR($Q12=1,$Q12=2),1,0),IF($X12&lt;=20,1,0))</formula>
    </cfRule>
    <cfRule type="expression" dxfId="7502" priority="1930">
      <formula>AND(IF($Q12=2,1,0),IF($X12&lt;30,1,0))</formula>
    </cfRule>
    <cfRule type="expression" dxfId="7501" priority="1931">
      <formula>AND(IF($Q12=3,1,0),IF($X12&lt;30,1,0))</formula>
    </cfRule>
    <cfRule type="expression" dxfId="7500" priority="1932">
      <formula>AND(IF($Q12=3,1,IF($Q12=4,1,0)),IF($F12&lt;=85,1,0))</formula>
    </cfRule>
  </conditionalFormatting>
  <conditionalFormatting sqref="X12">
    <cfRule type="expression" dxfId="7499" priority="1925">
      <formula>AND(IF(OR($Q12=1,$Q12=2),1,0),IF($X12&lt;=20,1,0))</formula>
    </cfRule>
    <cfRule type="expression" dxfId="7498" priority="1926">
      <formula>AND(IF($Q12=2,1,0),IF($X12&lt;30,1,0))</formula>
    </cfRule>
    <cfRule type="expression" dxfId="7497" priority="1927">
      <formula>AND(IF($Q12=3,1,0),IF($X12&lt;30,1,0))</formula>
    </cfRule>
    <cfRule type="expression" dxfId="7496" priority="1928">
      <formula>AND(IF($Q12=3,1,IF($Q12=4,1,0)),IF($F12&lt;=85,1,0))</formula>
    </cfRule>
  </conditionalFormatting>
  <conditionalFormatting sqref="AI12">
    <cfRule type="expression" dxfId="7495" priority="1921">
      <formula>AND(IF(OR($Q12=1,$Q12=2),1,0),IF($X12&lt;=20,1,0))</formula>
    </cfRule>
    <cfRule type="expression" dxfId="7494" priority="1922">
      <formula>AND(IF($Q12=2,1,0),IF($X12&lt;30,1,0))</formula>
    </cfRule>
    <cfRule type="expression" dxfId="7493" priority="1923">
      <formula>AND(IF($Q12=3,1,0),IF($X12&lt;30,1,0))</formula>
    </cfRule>
    <cfRule type="expression" dxfId="7492" priority="1924">
      <formula>AND(IF($Q12=3,1,IF($Q12=4,1,0)),IF($F12&lt;=85,1,0))</formula>
    </cfRule>
  </conditionalFormatting>
  <conditionalFormatting sqref="AV13">
    <cfRule type="expression" dxfId="7491" priority="1919">
      <formula>AV13="X"</formula>
    </cfRule>
    <cfRule type="expression" dxfId="7490" priority="1920">
      <formula>AV13="후보"</formula>
    </cfRule>
  </conditionalFormatting>
  <conditionalFormatting sqref="Z13">
    <cfRule type="colorScale" priority="1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7489" priority="1916" operator="greaterThan">
      <formula>0.9</formula>
    </cfRule>
    <cfRule type="cellIs" dxfId="7488" priority="1917" operator="greaterThan">
      <formula>0.85</formula>
    </cfRule>
  </conditionalFormatting>
  <conditionalFormatting sqref="AV14">
    <cfRule type="expression" dxfId="7487" priority="1914">
      <formula>AV14="X"</formula>
    </cfRule>
    <cfRule type="expression" dxfId="7486" priority="1915">
      <formula>AV14="후보"</formula>
    </cfRule>
  </conditionalFormatting>
  <conditionalFormatting sqref="Z14">
    <cfRule type="colorScale" priority="1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485" priority="1911" operator="greaterThan">
      <formula>0.9</formula>
    </cfRule>
    <cfRule type="cellIs" dxfId="7484" priority="1912" operator="greaterThan">
      <formula>0.85</formula>
    </cfRule>
  </conditionalFormatting>
  <conditionalFormatting sqref="N14">
    <cfRule type="cellIs" dxfId="7483" priority="1909" operator="greaterThan">
      <formula>0.9</formula>
    </cfRule>
    <cfRule type="cellIs" dxfId="7482" priority="1910" operator="greaterThan">
      <formula>0.85</formula>
    </cfRule>
  </conditionalFormatting>
  <conditionalFormatting sqref="E14">
    <cfRule type="expression" dxfId="7481" priority="1905">
      <formula>AND(IF(OR($Q14=1,$Q14=2),1,0),IF($X14&lt;=20,1,0))</formula>
    </cfRule>
    <cfRule type="expression" dxfId="7480" priority="1906">
      <formula>AND(IF($Q14=2,1,0),IF($X14&lt;30,1,0))</formula>
    </cfRule>
    <cfRule type="expression" dxfId="7479" priority="1907">
      <formula>AND(IF($Q14=3,1,0),IF($X14&lt;30,1,0))</formula>
    </cfRule>
    <cfRule type="expression" dxfId="7478" priority="1908">
      <formula>AND(IF($Q14=3,1,IF($Q14=4,1,0)),IF($F14&lt;=85,1,0))</formula>
    </cfRule>
  </conditionalFormatting>
  <conditionalFormatting sqref="X14">
    <cfRule type="expression" dxfId="7477" priority="1901">
      <formula>AND(IF(OR($Q14=1,$Q14=2),1,0),IF($X14&lt;=20,1,0))</formula>
    </cfRule>
    <cfRule type="expression" dxfId="7476" priority="1902">
      <formula>AND(IF($Q14=2,1,0),IF($X14&lt;30,1,0))</formula>
    </cfRule>
    <cfRule type="expression" dxfId="7475" priority="1903">
      <formula>AND(IF($Q14=3,1,0),IF($X14&lt;30,1,0))</formula>
    </cfRule>
    <cfRule type="expression" dxfId="7474" priority="1904">
      <formula>AND(IF($Q14=3,1,IF($Q14=4,1,0)),IF($F14&lt;=85,1,0))</formula>
    </cfRule>
  </conditionalFormatting>
  <conditionalFormatting sqref="AI14">
    <cfRule type="expression" dxfId="7473" priority="1897">
      <formula>AND(IF(OR($Q14=1,$Q14=2),1,0),IF($X14&lt;=20,1,0))</formula>
    </cfRule>
    <cfRule type="expression" dxfId="7472" priority="1898">
      <formula>AND(IF($Q14=2,1,0),IF($X14&lt;30,1,0))</formula>
    </cfRule>
    <cfRule type="expression" dxfId="7471" priority="1899">
      <formula>AND(IF($Q14=3,1,0),IF($X14&lt;30,1,0))</formula>
    </cfRule>
    <cfRule type="expression" dxfId="7470" priority="1900">
      <formula>AND(IF($Q14=3,1,IF($Q14=4,1,0)),IF($F14&lt;=85,1,0))</formula>
    </cfRule>
  </conditionalFormatting>
  <conditionalFormatting sqref="AV15">
    <cfRule type="expression" dxfId="7469" priority="1895">
      <formula>AV15="X"</formula>
    </cfRule>
    <cfRule type="expression" dxfId="7468" priority="1896">
      <formula>AV15="후보"</formula>
    </cfRule>
  </conditionalFormatting>
  <conditionalFormatting sqref="Z15">
    <cfRule type="colorScale" priority="1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467" priority="1892" operator="greaterThan">
      <formula>0.9</formula>
    </cfRule>
    <cfRule type="cellIs" dxfId="7466" priority="1893" operator="greaterThan">
      <formula>0.85</formula>
    </cfRule>
  </conditionalFormatting>
  <conditionalFormatting sqref="N15">
    <cfRule type="cellIs" dxfId="7465" priority="1890" operator="greaterThan">
      <formula>0.9</formula>
    </cfRule>
    <cfRule type="cellIs" dxfId="7464" priority="1891" operator="greaterThan">
      <formula>0.85</formula>
    </cfRule>
  </conditionalFormatting>
  <conditionalFormatting sqref="E15">
    <cfRule type="expression" dxfId="7463" priority="1886">
      <formula>AND(IF(OR($Q15=1,$Q15=2),1,0),IF($X15&lt;=20,1,0))</formula>
    </cfRule>
    <cfRule type="expression" dxfId="7462" priority="1887">
      <formula>AND(IF($Q15=2,1,0),IF($X15&lt;30,1,0))</formula>
    </cfRule>
    <cfRule type="expression" dxfId="7461" priority="1888">
      <formula>AND(IF($Q15=3,1,0),IF($X15&lt;30,1,0))</formula>
    </cfRule>
    <cfRule type="expression" dxfId="7460" priority="1889">
      <formula>AND(IF($Q15=3,1,IF($Q15=4,1,0)),IF($F15&lt;=85,1,0))</formula>
    </cfRule>
  </conditionalFormatting>
  <conditionalFormatting sqref="X15">
    <cfRule type="expression" dxfId="7459" priority="1882">
      <formula>AND(IF(OR($Q15=1,$Q15=2),1,0),IF($X15&lt;=20,1,0))</formula>
    </cfRule>
    <cfRule type="expression" dxfId="7458" priority="1883">
      <formula>AND(IF($Q15=2,1,0),IF($X15&lt;30,1,0))</formula>
    </cfRule>
    <cfRule type="expression" dxfId="7457" priority="1884">
      <formula>AND(IF($Q15=3,1,0),IF($X15&lt;30,1,0))</formula>
    </cfRule>
    <cfRule type="expression" dxfId="7456" priority="1885">
      <formula>AND(IF($Q15=3,1,IF($Q15=4,1,0)),IF($F15&lt;=85,1,0))</formula>
    </cfRule>
  </conditionalFormatting>
  <conditionalFormatting sqref="AI15">
    <cfRule type="expression" dxfId="7455" priority="1878">
      <formula>AND(IF(OR($Q15=1,$Q15=2),1,0),IF($X15&lt;=20,1,0))</formula>
    </cfRule>
    <cfRule type="expression" dxfId="7454" priority="1879">
      <formula>AND(IF($Q15=2,1,0),IF($X15&lt;30,1,0))</formula>
    </cfRule>
    <cfRule type="expression" dxfId="7453" priority="1880">
      <formula>AND(IF($Q15=3,1,0),IF($X15&lt;30,1,0))</formula>
    </cfRule>
    <cfRule type="expression" dxfId="7452" priority="1881">
      <formula>AND(IF($Q15=3,1,IF($Q15=4,1,0)),IF($F15&lt;=85,1,0))</formula>
    </cfRule>
  </conditionalFormatting>
  <conditionalFormatting sqref="AV16">
    <cfRule type="expression" dxfId="7451" priority="1876">
      <formula>AV16="X"</formula>
    </cfRule>
    <cfRule type="expression" dxfId="7450" priority="1877">
      <formula>AV16="후보"</formula>
    </cfRule>
  </conditionalFormatting>
  <conditionalFormatting sqref="Z16">
    <cfRule type="colorScale" priority="1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449" priority="1873" operator="greaterThan">
      <formula>0.9</formula>
    </cfRule>
    <cfRule type="cellIs" dxfId="7448" priority="1874" operator="greaterThan">
      <formula>0.85</formula>
    </cfRule>
  </conditionalFormatting>
  <conditionalFormatting sqref="N16">
    <cfRule type="cellIs" dxfId="7447" priority="1871" operator="greaterThan">
      <formula>0.9</formula>
    </cfRule>
    <cfRule type="cellIs" dxfId="7446" priority="1872" operator="greaterThan">
      <formula>0.85</formula>
    </cfRule>
  </conditionalFormatting>
  <conditionalFormatting sqref="E16">
    <cfRule type="expression" dxfId="7445" priority="1867">
      <formula>AND(IF(OR($Q16=1,$Q16=2),1,0),IF($X16&lt;=20,1,0))</formula>
    </cfRule>
    <cfRule type="expression" dxfId="7444" priority="1868">
      <formula>AND(IF($Q16=2,1,0),IF($X16&lt;30,1,0))</formula>
    </cfRule>
    <cfRule type="expression" dxfId="7443" priority="1869">
      <formula>AND(IF($Q16=3,1,0),IF($X16&lt;30,1,0))</formula>
    </cfRule>
    <cfRule type="expression" dxfId="7442" priority="1870">
      <formula>AND(IF($Q16=3,1,IF($Q16=4,1,0)),IF($F16&lt;=85,1,0))</formula>
    </cfRule>
  </conditionalFormatting>
  <conditionalFormatting sqref="X16">
    <cfRule type="expression" dxfId="7441" priority="1863">
      <formula>AND(IF(OR($Q16=1,$Q16=2),1,0),IF($X16&lt;=20,1,0))</formula>
    </cfRule>
    <cfRule type="expression" dxfId="7440" priority="1864">
      <formula>AND(IF($Q16=2,1,0),IF($X16&lt;30,1,0))</formula>
    </cfRule>
    <cfRule type="expression" dxfId="7439" priority="1865">
      <formula>AND(IF($Q16=3,1,0),IF($X16&lt;30,1,0))</formula>
    </cfRule>
    <cfRule type="expression" dxfId="7438" priority="1866">
      <formula>AND(IF($Q16=3,1,IF($Q16=4,1,0)),IF($F16&lt;=85,1,0))</formula>
    </cfRule>
  </conditionalFormatting>
  <conditionalFormatting sqref="AI16">
    <cfRule type="expression" dxfId="7437" priority="1859">
      <formula>AND(IF(OR($Q16=1,$Q16=2),1,0),IF($X16&lt;=20,1,0))</formula>
    </cfRule>
    <cfRule type="expression" dxfId="7436" priority="1860">
      <formula>AND(IF($Q16=2,1,0),IF($X16&lt;30,1,0))</formula>
    </cfRule>
    <cfRule type="expression" dxfId="7435" priority="1861">
      <formula>AND(IF($Q16=3,1,0),IF($X16&lt;30,1,0))</formula>
    </cfRule>
    <cfRule type="expression" dxfId="7434" priority="1862">
      <formula>AND(IF($Q16=3,1,IF($Q16=4,1,0)),IF($F16&lt;=85,1,0))</formula>
    </cfRule>
  </conditionalFormatting>
  <conditionalFormatting sqref="AV17">
    <cfRule type="expression" dxfId="7433" priority="1857">
      <formula>AV17="X"</formula>
    </cfRule>
    <cfRule type="expression" dxfId="7432" priority="1858">
      <formula>AV17="후보"</formula>
    </cfRule>
  </conditionalFormatting>
  <conditionalFormatting sqref="Z17">
    <cfRule type="colorScale" priority="1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431" priority="1854" operator="greaterThan">
      <formula>0.9</formula>
    </cfRule>
    <cfRule type="cellIs" dxfId="7430" priority="1855" operator="greaterThan">
      <formula>0.85</formula>
    </cfRule>
  </conditionalFormatting>
  <conditionalFormatting sqref="N17">
    <cfRule type="cellIs" dxfId="7429" priority="1852" operator="greaterThan">
      <formula>0.9</formula>
    </cfRule>
    <cfRule type="cellIs" dxfId="7428" priority="1853" operator="greaterThan">
      <formula>0.85</formula>
    </cfRule>
  </conditionalFormatting>
  <conditionalFormatting sqref="E17">
    <cfRule type="expression" dxfId="7427" priority="1848">
      <formula>AND(IF(OR($Q17=1,$Q17=2),1,0),IF($X17&lt;=20,1,0))</formula>
    </cfRule>
    <cfRule type="expression" dxfId="7426" priority="1849">
      <formula>AND(IF($Q17=2,1,0),IF($X17&lt;30,1,0))</formula>
    </cfRule>
    <cfRule type="expression" dxfId="7425" priority="1850">
      <formula>AND(IF($Q17=3,1,0),IF($X17&lt;30,1,0))</formula>
    </cfRule>
    <cfRule type="expression" dxfId="7424" priority="1851">
      <formula>AND(IF($Q17=3,1,IF($Q17=4,1,0)),IF($F17&lt;=85,1,0))</formula>
    </cfRule>
  </conditionalFormatting>
  <conditionalFormatting sqref="X17">
    <cfRule type="expression" dxfId="7423" priority="1844">
      <formula>AND(IF(OR($Q17=1,$Q17=2),1,0),IF($X17&lt;=20,1,0))</formula>
    </cfRule>
    <cfRule type="expression" dxfId="7422" priority="1845">
      <formula>AND(IF($Q17=2,1,0),IF($X17&lt;30,1,0))</formula>
    </cfRule>
    <cfRule type="expression" dxfId="7421" priority="1846">
      <formula>AND(IF($Q17=3,1,0),IF($X17&lt;30,1,0))</formula>
    </cfRule>
    <cfRule type="expression" dxfId="7420" priority="1847">
      <formula>AND(IF($Q17=3,1,IF($Q17=4,1,0)),IF($F17&lt;=85,1,0))</formula>
    </cfRule>
  </conditionalFormatting>
  <conditionalFormatting sqref="AI17">
    <cfRule type="expression" dxfId="7419" priority="1840">
      <formula>AND(IF(OR($Q17=1,$Q17=2),1,0),IF($X17&lt;=20,1,0))</formula>
    </cfRule>
    <cfRule type="expression" dxfId="7418" priority="1841">
      <formula>AND(IF($Q17=2,1,0),IF($X17&lt;30,1,0))</formula>
    </cfRule>
    <cfRule type="expression" dxfId="7417" priority="1842">
      <formula>AND(IF($Q17=3,1,0),IF($X17&lt;30,1,0))</formula>
    </cfRule>
    <cfRule type="expression" dxfId="7416" priority="1843">
      <formula>AND(IF($Q17=3,1,IF($Q17=4,1,0)),IF($F17&lt;=85,1,0))</formula>
    </cfRule>
  </conditionalFormatting>
  <conditionalFormatting sqref="AV18">
    <cfRule type="expression" dxfId="7415" priority="1838">
      <formula>AV18="X"</formula>
    </cfRule>
    <cfRule type="expression" dxfId="7414" priority="1839">
      <formula>AV18="후보"</formula>
    </cfRule>
  </conditionalFormatting>
  <conditionalFormatting sqref="Z18">
    <cfRule type="colorScale" priority="1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7413" priority="1835" operator="greaterThan">
      <formula>0.9</formula>
    </cfRule>
    <cfRule type="cellIs" dxfId="7412" priority="1836" operator="greaterThan">
      <formula>0.85</formula>
    </cfRule>
  </conditionalFormatting>
  <conditionalFormatting sqref="AV19">
    <cfRule type="expression" dxfId="7411" priority="1833">
      <formula>AV19="X"</formula>
    </cfRule>
    <cfRule type="expression" dxfId="7410" priority="1834">
      <formula>AV19="후보"</formula>
    </cfRule>
  </conditionalFormatting>
  <conditionalFormatting sqref="Z19">
    <cfRule type="colorScale" priority="1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409" priority="1830" operator="greaterThan">
      <formula>0.9</formula>
    </cfRule>
    <cfRule type="cellIs" dxfId="7408" priority="1831" operator="greaterThan">
      <formula>0.85</formula>
    </cfRule>
  </conditionalFormatting>
  <conditionalFormatting sqref="N19">
    <cfRule type="cellIs" dxfId="7407" priority="1828" operator="greaterThan">
      <formula>0.9</formula>
    </cfRule>
    <cfRule type="cellIs" dxfId="7406" priority="1829" operator="greaterThan">
      <formula>0.85</formula>
    </cfRule>
  </conditionalFormatting>
  <conditionalFormatting sqref="E19">
    <cfRule type="expression" dxfId="7405" priority="1824">
      <formula>AND(IF(OR($Q19=1,$Q19=2),1,0),IF($X19&lt;=20,1,0))</formula>
    </cfRule>
    <cfRule type="expression" dxfId="7404" priority="1825">
      <formula>AND(IF($Q19=2,1,0),IF($X19&lt;30,1,0))</formula>
    </cfRule>
    <cfRule type="expression" dxfId="7403" priority="1826">
      <formula>AND(IF($Q19=3,1,0),IF($X19&lt;30,1,0))</formula>
    </cfRule>
    <cfRule type="expression" dxfId="7402" priority="1827">
      <formula>AND(IF($Q19=3,1,IF($Q19=4,1,0)),IF($F19&lt;=85,1,0))</formula>
    </cfRule>
  </conditionalFormatting>
  <conditionalFormatting sqref="X19">
    <cfRule type="expression" dxfId="7401" priority="1820">
      <formula>AND(IF(OR($Q19=1,$Q19=2),1,0),IF($X19&lt;=20,1,0))</formula>
    </cfRule>
    <cfRule type="expression" dxfId="7400" priority="1821">
      <formula>AND(IF($Q19=2,1,0),IF($X19&lt;30,1,0))</formula>
    </cfRule>
    <cfRule type="expression" dxfId="7399" priority="1822">
      <formula>AND(IF($Q19=3,1,0),IF($X19&lt;30,1,0))</formula>
    </cfRule>
    <cfRule type="expression" dxfId="7398" priority="1823">
      <formula>AND(IF($Q19=3,1,IF($Q19=4,1,0)),IF($F19&lt;=85,1,0))</formula>
    </cfRule>
  </conditionalFormatting>
  <conditionalFormatting sqref="AI19">
    <cfRule type="expression" dxfId="7397" priority="1816">
      <formula>AND(IF(OR($Q19=1,$Q19=2),1,0),IF($X19&lt;=20,1,0))</formula>
    </cfRule>
    <cfRule type="expression" dxfId="7396" priority="1817">
      <formula>AND(IF($Q19=2,1,0),IF($X19&lt;30,1,0))</formula>
    </cfRule>
    <cfRule type="expression" dxfId="7395" priority="1818">
      <formula>AND(IF($Q19=3,1,0),IF($X19&lt;30,1,0))</formula>
    </cfRule>
    <cfRule type="expression" dxfId="7394" priority="1819">
      <formula>AND(IF($Q19=3,1,IF($Q19=4,1,0)),IF($F19&lt;=85,1,0))</formula>
    </cfRule>
  </conditionalFormatting>
  <conditionalFormatting sqref="AV20">
    <cfRule type="expression" dxfId="7393" priority="1814">
      <formula>AV20="X"</formula>
    </cfRule>
    <cfRule type="expression" dxfId="7392" priority="1815">
      <formula>AV20="후보"</formula>
    </cfRule>
  </conditionalFormatting>
  <conditionalFormatting sqref="Z20">
    <cfRule type="colorScale" priority="1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391" priority="1811" operator="greaterThan">
      <formula>0.9</formula>
    </cfRule>
    <cfRule type="cellIs" dxfId="7390" priority="1812" operator="greaterThan">
      <formula>0.85</formula>
    </cfRule>
  </conditionalFormatting>
  <conditionalFormatting sqref="N20">
    <cfRule type="cellIs" dxfId="7389" priority="1809" operator="greaterThan">
      <formula>0.9</formula>
    </cfRule>
    <cfRule type="cellIs" dxfId="7388" priority="1810" operator="greaterThan">
      <formula>0.85</formula>
    </cfRule>
  </conditionalFormatting>
  <conditionalFormatting sqref="E20">
    <cfRule type="expression" dxfId="7387" priority="1805">
      <formula>AND(IF(OR($Q20=1,$Q20=2),1,0),IF($X20&lt;=20,1,0))</formula>
    </cfRule>
    <cfRule type="expression" dxfId="7386" priority="1806">
      <formula>AND(IF($Q20=2,1,0),IF($X20&lt;30,1,0))</formula>
    </cfRule>
    <cfRule type="expression" dxfId="7385" priority="1807">
      <formula>AND(IF($Q20=3,1,0),IF($X20&lt;30,1,0))</formula>
    </cfRule>
    <cfRule type="expression" dxfId="7384" priority="1808">
      <formula>AND(IF($Q20=3,1,IF($Q20=4,1,0)),IF($F20&lt;=85,1,0))</formula>
    </cfRule>
  </conditionalFormatting>
  <conditionalFormatting sqref="X20">
    <cfRule type="expression" dxfId="7383" priority="1801">
      <formula>AND(IF(OR($Q20=1,$Q20=2),1,0),IF($X20&lt;=20,1,0))</formula>
    </cfRule>
    <cfRule type="expression" dxfId="7382" priority="1802">
      <formula>AND(IF($Q20=2,1,0),IF($X20&lt;30,1,0))</formula>
    </cfRule>
    <cfRule type="expression" dxfId="7381" priority="1803">
      <formula>AND(IF($Q20=3,1,0),IF($X20&lt;30,1,0))</formula>
    </cfRule>
    <cfRule type="expression" dxfId="7380" priority="1804">
      <formula>AND(IF($Q20=3,1,IF($Q20=4,1,0)),IF($F20&lt;=85,1,0))</formula>
    </cfRule>
  </conditionalFormatting>
  <conditionalFormatting sqref="AI20">
    <cfRule type="expression" dxfId="7379" priority="1797">
      <formula>AND(IF(OR($Q20=1,$Q20=2),1,0),IF($X20&lt;=20,1,0))</formula>
    </cfRule>
    <cfRule type="expression" dxfId="7378" priority="1798">
      <formula>AND(IF($Q20=2,1,0),IF($X20&lt;30,1,0))</formula>
    </cfRule>
    <cfRule type="expression" dxfId="7377" priority="1799">
      <formula>AND(IF($Q20=3,1,0),IF($X20&lt;30,1,0))</formula>
    </cfRule>
    <cfRule type="expression" dxfId="7376" priority="1800">
      <formula>AND(IF($Q20=3,1,IF($Q20=4,1,0)),IF($F20&lt;=85,1,0))</formula>
    </cfRule>
  </conditionalFormatting>
  <conditionalFormatting sqref="AV21">
    <cfRule type="expression" dxfId="7375" priority="1795">
      <formula>AV21="X"</formula>
    </cfRule>
    <cfRule type="expression" dxfId="7374" priority="1796">
      <formula>AV21="후보"</formula>
    </cfRule>
  </conditionalFormatting>
  <conditionalFormatting sqref="Z21">
    <cfRule type="colorScale" priority="1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373" priority="1792" operator="greaterThan">
      <formula>0.9</formula>
    </cfRule>
    <cfRule type="cellIs" dxfId="7372" priority="1793" operator="greaterThan">
      <formula>0.85</formula>
    </cfRule>
  </conditionalFormatting>
  <conditionalFormatting sqref="N21">
    <cfRule type="cellIs" dxfId="7371" priority="1790" operator="greaterThan">
      <formula>0.9</formula>
    </cfRule>
    <cfRule type="cellIs" dxfId="7370" priority="1791" operator="greaterThan">
      <formula>0.85</formula>
    </cfRule>
  </conditionalFormatting>
  <conditionalFormatting sqref="E21">
    <cfRule type="expression" dxfId="7369" priority="1786">
      <formula>AND(IF(OR($Q21=1,$Q21=2),1,0),IF($X21&lt;=20,1,0))</formula>
    </cfRule>
    <cfRule type="expression" dxfId="7368" priority="1787">
      <formula>AND(IF($Q21=2,1,0),IF($X21&lt;30,1,0))</formula>
    </cfRule>
    <cfRule type="expression" dxfId="7367" priority="1788">
      <formula>AND(IF($Q21=3,1,0),IF($X21&lt;30,1,0))</formula>
    </cfRule>
    <cfRule type="expression" dxfId="7366" priority="1789">
      <formula>AND(IF($Q21=3,1,IF($Q21=4,1,0)),IF($F21&lt;=85,1,0))</formula>
    </cfRule>
  </conditionalFormatting>
  <conditionalFormatting sqref="X21">
    <cfRule type="expression" dxfId="7365" priority="1782">
      <formula>AND(IF(OR($Q21=1,$Q21=2),1,0),IF($X21&lt;=20,1,0))</formula>
    </cfRule>
    <cfRule type="expression" dxfId="7364" priority="1783">
      <formula>AND(IF($Q21=2,1,0),IF($X21&lt;30,1,0))</formula>
    </cfRule>
    <cfRule type="expression" dxfId="7363" priority="1784">
      <formula>AND(IF($Q21=3,1,0),IF($X21&lt;30,1,0))</formula>
    </cfRule>
    <cfRule type="expression" dxfId="7362" priority="1785">
      <formula>AND(IF($Q21=3,1,IF($Q21=4,1,0)),IF($F21&lt;=85,1,0))</formula>
    </cfRule>
  </conditionalFormatting>
  <conditionalFormatting sqref="AI21">
    <cfRule type="expression" dxfId="7361" priority="1778">
      <formula>AND(IF(OR($Q21=1,$Q21=2),1,0),IF($X21&lt;=20,1,0))</formula>
    </cfRule>
    <cfRule type="expression" dxfId="7360" priority="1779">
      <formula>AND(IF($Q21=2,1,0),IF($X21&lt;30,1,0))</formula>
    </cfRule>
    <cfRule type="expression" dxfId="7359" priority="1780">
      <formula>AND(IF($Q21=3,1,0),IF($X21&lt;30,1,0))</formula>
    </cfRule>
    <cfRule type="expression" dxfId="7358" priority="1781">
      <formula>AND(IF($Q21=3,1,IF($Q21=4,1,0)),IF($F21&lt;=85,1,0))</formula>
    </cfRule>
  </conditionalFormatting>
  <conditionalFormatting sqref="AV22">
    <cfRule type="expression" dxfId="7357" priority="1776">
      <formula>AV22="X"</formula>
    </cfRule>
    <cfRule type="expression" dxfId="7356" priority="1777">
      <formula>AV22="후보"</formula>
    </cfRule>
  </conditionalFormatting>
  <conditionalFormatting sqref="Z22">
    <cfRule type="colorScale" priority="1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355" priority="1773" operator="greaterThan">
      <formula>0.9</formula>
    </cfRule>
    <cfRule type="cellIs" dxfId="7354" priority="1774" operator="greaterThan">
      <formula>0.85</formula>
    </cfRule>
  </conditionalFormatting>
  <conditionalFormatting sqref="N22">
    <cfRule type="cellIs" dxfId="7353" priority="1771" operator="greaterThan">
      <formula>0.9</formula>
    </cfRule>
    <cfRule type="cellIs" dxfId="7352" priority="1772" operator="greaterThan">
      <formula>0.85</formula>
    </cfRule>
  </conditionalFormatting>
  <conditionalFormatting sqref="E22">
    <cfRule type="expression" dxfId="7351" priority="1767">
      <formula>AND(IF(OR($Q22=1,$Q22=2),1,0),IF($X22&lt;=20,1,0))</formula>
    </cfRule>
    <cfRule type="expression" dxfId="7350" priority="1768">
      <formula>AND(IF($Q22=2,1,0),IF($X22&lt;30,1,0))</formula>
    </cfRule>
    <cfRule type="expression" dxfId="7349" priority="1769">
      <formula>AND(IF($Q22=3,1,0),IF($X22&lt;30,1,0))</formula>
    </cfRule>
    <cfRule type="expression" dxfId="7348" priority="1770">
      <formula>AND(IF($Q22=3,1,IF($Q22=4,1,0)),IF($F22&lt;=85,1,0))</formula>
    </cfRule>
  </conditionalFormatting>
  <conditionalFormatting sqref="X22">
    <cfRule type="expression" dxfId="7347" priority="1763">
      <formula>AND(IF(OR($Q22=1,$Q22=2),1,0),IF($X22&lt;=20,1,0))</formula>
    </cfRule>
    <cfRule type="expression" dxfId="7346" priority="1764">
      <formula>AND(IF($Q22=2,1,0),IF($X22&lt;30,1,0))</formula>
    </cfRule>
    <cfRule type="expression" dxfId="7345" priority="1765">
      <formula>AND(IF($Q22=3,1,0),IF($X22&lt;30,1,0))</formula>
    </cfRule>
    <cfRule type="expression" dxfId="7344" priority="1766">
      <formula>AND(IF($Q22=3,1,IF($Q22=4,1,0)),IF($F22&lt;=85,1,0))</formula>
    </cfRule>
  </conditionalFormatting>
  <conditionalFormatting sqref="AI22">
    <cfRule type="expression" dxfId="7343" priority="1759">
      <formula>AND(IF(OR($Q22=1,$Q22=2),1,0),IF($X22&lt;=20,1,0))</formula>
    </cfRule>
    <cfRule type="expression" dxfId="7342" priority="1760">
      <formula>AND(IF($Q22=2,1,0),IF($X22&lt;30,1,0))</formula>
    </cfRule>
    <cfRule type="expression" dxfId="7341" priority="1761">
      <formula>AND(IF($Q22=3,1,0),IF($X22&lt;30,1,0))</formula>
    </cfRule>
    <cfRule type="expression" dxfId="7340" priority="1762">
      <formula>AND(IF($Q22=3,1,IF($Q22=4,1,0)),IF($F22&lt;=85,1,0))</formula>
    </cfRule>
  </conditionalFormatting>
  <conditionalFormatting sqref="AV23">
    <cfRule type="expression" dxfId="7339" priority="1757">
      <formula>AV23="X"</formula>
    </cfRule>
    <cfRule type="expression" dxfId="7338" priority="1758">
      <formula>AV23="후보"</formula>
    </cfRule>
  </conditionalFormatting>
  <conditionalFormatting sqref="Z23">
    <cfRule type="colorScale" priority="1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7337" priority="1754" operator="greaterThan">
      <formula>0.9</formula>
    </cfRule>
    <cfRule type="cellIs" dxfId="7336" priority="1755" operator="greaterThan">
      <formula>0.85</formula>
    </cfRule>
  </conditionalFormatting>
  <conditionalFormatting sqref="AV24">
    <cfRule type="expression" dxfId="7335" priority="1752">
      <formula>AV24="X"</formula>
    </cfRule>
    <cfRule type="expression" dxfId="7334" priority="1753">
      <formula>AV24="후보"</formula>
    </cfRule>
  </conditionalFormatting>
  <conditionalFormatting sqref="Z24">
    <cfRule type="colorScale" priority="1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333" priority="1749" operator="greaterThan">
      <formula>0.9</formula>
    </cfRule>
    <cfRule type="cellIs" dxfId="7332" priority="1750" operator="greaterThan">
      <formula>0.85</formula>
    </cfRule>
  </conditionalFormatting>
  <conditionalFormatting sqref="N24">
    <cfRule type="cellIs" dxfId="7331" priority="1747" operator="greaterThan">
      <formula>0.9</formula>
    </cfRule>
    <cfRule type="cellIs" dxfId="7330" priority="1748" operator="greaterThan">
      <formula>0.85</formula>
    </cfRule>
  </conditionalFormatting>
  <conditionalFormatting sqref="E24">
    <cfRule type="expression" dxfId="7329" priority="1743">
      <formula>AND(IF(OR($Q24=1,$Q24=2),1,0),IF($X24&lt;=20,1,0))</formula>
    </cfRule>
    <cfRule type="expression" dxfId="7328" priority="1744">
      <formula>AND(IF($Q24=2,1,0),IF($X24&lt;30,1,0))</formula>
    </cfRule>
    <cfRule type="expression" dxfId="7327" priority="1745">
      <formula>AND(IF($Q24=3,1,0),IF($X24&lt;30,1,0))</formula>
    </cfRule>
    <cfRule type="expression" dxfId="7326" priority="1746">
      <formula>AND(IF($Q24=3,1,IF($Q24=4,1,0)),IF($F24&lt;=85,1,0))</formula>
    </cfRule>
  </conditionalFormatting>
  <conditionalFormatting sqref="X24">
    <cfRule type="expression" dxfId="7325" priority="1739">
      <formula>AND(IF(OR($Q24=1,$Q24=2),1,0),IF($X24&lt;=20,1,0))</formula>
    </cfRule>
    <cfRule type="expression" dxfId="7324" priority="1740">
      <formula>AND(IF($Q24=2,1,0),IF($X24&lt;30,1,0))</formula>
    </cfRule>
    <cfRule type="expression" dxfId="7323" priority="1741">
      <formula>AND(IF($Q24=3,1,0),IF($X24&lt;30,1,0))</formula>
    </cfRule>
    <cfRule type="expression" dxfId="7322" priority="1742">
      <formula>AND(IF($Q24=3,1,IF($Q24=4,1,0)),IF($F24&lt;=85,1,0))</formula>
    </cfRule>
  </conditionalFormatting>
  <conditionalFormatting sqref="AI24">
    <cfRule type="expression" dxfId="7321" priority="1735">
      <formula>AND(IF(OR($Q24=1,$Q24=2),1,0),IF($X24&lt;=20,1,0))</formula>
    </cfRule>
    <cfRule type="expression" dxfId="7320" priority="1736">
      <formula>AND(IF($Q24=2,1,0),IF($X24&lt;30,1,0))</formula>
    </cfRule>
    <cfRule type="expression" dxfId="7319" priority="1737">
      <formula>AND(IF($Q24=3,1,0),IF($X24&lt;30,1,0))</formula>
    </cfRule>
    <cfRule type="expression" dxfId="7318" priority="1738">
      <formula>AND(IF($Q24=3,1,IF($Q24=4,1,0)),IF($F24&lt;=85,1,0))</formula>
    </cfRule>
  </conditionalFormatting>
  <conditionalFormatting sqref="AV25">
    <cfRule type="expression" dxfId="7317" priority="1733">
      <formula>AV25="X"</formula>
    </cfRule>
    <cfRule type="expression" dxfId="7316" priority="1734">
      <formula>AV25="후보"</formula>
    </cfRule>
  </conditionalFormatting>
  <conditionalFormatting sqref="Z25">
    <cfRule type="colorScale" priority="1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7315" priority="1730" operator="greaterThan">
      <formula>0.9</formula>
    </cfRule>
    <cfRule type="cellIs" dxfId="7314" priority="1731" operator="greaterThan">
      <formula>0.85</formula>
    </cfRule>
  </conditionalFormatting>
  <conditionalFormatting sqref="N25">
    <cfRule type="cellIs" dxfId="7313" priority="1728" operator="greaterThan">
      <formula>0.9</formula>
    </cfRule>
    <cfRule type="cellIs" dxfId="7312" priority="1729" operator="greaterThan">
      <formula>0.85</formula>
    </cfRule>
  </conditionalFormatting>
  <conditionalFormatting sqref="E25">
    <cfRule type="expression" dxfId="7311" priority="1724">
      <formula>AND(IF(OR($Q25=1,$Q25=2),1,0),IF($X25&lt;=20,1,0))</formula>
    </cfRule>
    <cfRule type="expression" dxfId="7310" priority="1725">
      <formula>AND(IF($Q25=2,1,0),IF($X25&lt;30,1,0))</formula>
    </cfRule>
    <cfRule type="expression" dxfId="7309" priority="1726">
      <formula>AND(IF($Q25=3,1,0),IF($X25&lt;30,1,0))</formula>
    </cfRule>
    <cfRule type="expression" dxfId="7308" priority="1727">
      <formula>AND(IF($Q25=3,1,IF($Q25=4,1,0)),IF($F25&lt;=85,1,0))</formula>
    </cfRule>
  </conditionalFormatting>
  <conditionalFormatting sqref="X25">
    <cfRule type="expression" dxfId="7307" priority="1720">
      <formula>AND(IF(OR($Q25=1,$Q25=2),1,0),IF($X25&lt;=20,1,0))</formula>
    </cfRule>
    <cfRule type="expression" dxfId="7306" priority="1721">
      <formula>AND(IF($Q25=2,1,0),IF($X25&lt;30,1,0))</formula>
    </cfRule>
    <cfRule type="expression" dxfId="7305" priority="1722">
      <formula>AND(IF($Q25=3,1,0),IF($X25&lt;30,1,0))</formula>
    </cfRule>
    <cfRule type="expression" dxfId="7304" priority="1723">
      <formula>AND(IF($Q25=3,1,IF($Q25=4,1,0)),IF($F25&lt;=85,1,0))</formula>
    </cfRule>
  </conditionalFormatting>
  <conditionalFormatting sqref="AI25">
    <cfRule type="expression" dxfId="7303" priority="1716">
      <formula>AND(IF(OR($Q25=1,$Q25=2),1,0),IF($X25&lt;=20,1,0))</formula>
    </cfRule>
    <cfRule type="expression" dxfId="7302" priority="1717">
      <formula>AND(IF($Q25=2,1,0),IF($X25&lt;30,1,0))</formula>
    </cfRule>
    <cfRule type="expression" dxfId="7301" priority="1718">
      <formula>AND(IF($Q25=3,1,0),IF($X25&lt;30,1,0))</formula>
    </cfRule>
    <cfRule type="expression" dxfId="7300" priority="1719">
      <formula>AND(IF($Q25=3,1,IF($Q25=4,1,0)),IF($F25&lt;=85,1,0))</formula>
    </cfRule>
  </conditionalFormatting>
  <conditionalFormatting sqref="AV26">
    <cfRule type="expression" dxfId="7299" priority="1714">
      <formula>AV26="X"</formula>
    </cfRule>
    <cfRule type="expression" dxfId="7298" priority="1715">
      <formula>AV26="후보"</formula>
    </cfRule>
  </conditionalFormatting>
  <conditionalFormatting sqref="Z26">
    <cfRule type="colorScale" priority="1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297" priority="1711" operator="greaterThan">
      <formula>0.9</formula>
    </cfRule>
    <cfRule type="cellIs" dxfId="7296" priority="1712" operator="greaterThan">
      <formula>0.85</formula>
    </cfRule>
  </conditionalFormatting>
  <conditionalFormatting sqref="N26">
    <cfRule type="cellIs" dxfId="7295" priority="1709" operator="greaterThan">
      <formula>0.9</formula>
    </cfRule>
    <cfRule type="cellIs" dxfId="7294" priority="1710" operator="greaterThan">
      <formula>0.85</formula>
    </cfRule>
  </conditionalFormatting>
  <conditionalFormatting sqref="E26">
    <cfRule type="expression" dxfId="7293" priority="1705">
      <formula>AND(IF(OR($Q26=1,$Q26=2),1,0),IF($X26&lt;=20,1,0))</formula>
    </cfRule>
    <cfRule type="expression" dxfId="7292" priority="1706">
      <formula>AND(IF($Q26=2,1,0),IF($X26&lt;30,1,0))</formula>
    </cfRule>
    <cfRule type="expression" dxfId="7291" priority="1707">
      <formula>AND(IF($Q26=3,1,0),IF($X26&lt;30,1,0))</formula>
    </cfRule>
    <cfRule type="expression" dxfId="7290" priority="1708">
      <formula>AND(IF($Q26=3,1,IF($Q26=4,1,0)),IF($F26&lt;=85,1,0))</formula>
    </cfRule>
  </conditionalFormatting>
  <conditionalFormatting sqref="X26">
    <cfRule type="expression" dxfId="7289" priority="1701">
      <formula>AND(IF(OR($Q26=1,$Q26=2),1,0),IF($X26&lt;=20,1,0))</formula>
    </cfRule>
    <cfRule type="expression" dxfId="7288" priority="1702">
      <formula>AND(IF($Q26=2,1,0),IF($X26&lt;30,1,0))</formula>
    </cfRule>
    <cfRule type="expression" dxfId="7287" priority="1703">
      <formula>AND(IF($Q26=3,1,0),IF($X26&lt;30,1,0))</formula>
    </cfRule>
    <cfRule type="expression" dxfId="7286" priority="1704">
      <formula>AND(IF($Q26=3,1,IF($Q26=4,1,0)),IF($F26&lt;=85,1,0))</formula>
    </cfRule>
  </conditionalFormatting>
  <conditionalFormatting sqref="AI26">
    <cfRule type="expression" dxfId="7285" priority="1697">
      <formula>AND(IF(OR($Q26=1,$Q26=2),1,0),IF($X26&lt;=20,1,0))</formula>
    </cfRule>
    <cfRule type="expression" dxfId="7284" priority="1698">
      <formula>AND(IF($Q26=2,1,0),IF($X26&lt;30,1,0))</formula>
    </cfRule>
    <cfRule type="expression" dxfId="7283" priority="1699">
      <formula>AND(IF($Q26=3,1,0),IF($X26&lt;30,1,0))</formula>
    </cfRule>
    <cfRule type="expression" dxfId="7282" priority="1700">
      <formula>AND(IF($Q26=3,1,IF($Q26=4,1,0)),IF($F26&lt;=85,1,0))</formula>
    </cfRule>
  </conditionalFormatting>
  <conditionalFormatting sqref="AV27">
    <cfRule type="expression" dxfId="7281" priority="1695">
      <formula>AV27="X"</formula>
    </cfRule>
    <cfRule type="expression" dxfId="7280" priority="1696">
      <formula>AV27="후보"</formula>
    </cfRule>
  </conditionalFormatting>
  <conditionalFormatting sqref="Z27">
    <cfRule type="colorScale" priority="1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7279" priority="1692" operator="greaterThan">
      <formula>0.9</formula>
    </cfRule>
    <cfRule type="cellIs" dxfId="7278" priority="1693" operator="greaterThan">
      <formula>0.85</formula>
    </cfRule>
  </conditionalFormatting>
  <conditionalFormatting sqref="AV28">
    <cfRule type="expression" dxfId="7277" priority="1690">
      <formula>AV28="X"</formula>
    </cfRule>
    <cfRule type="expression" dxfId="7276" priority="1691">
      <formula>AV28="후보"</formula>
    </cfRule>
  </conditionalFormatting>
  <conditionalFormatting sqref="Z28">
    <cfRule type="colorScale" priority="1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7275" priority="1687" operator="greaterThan">
      <formula>0.9</formula>
    </cfRule>
    <cfRule type="cellIs" dxfId="7274" priority="1688" operator="greaterThan">
      <formula>0.85</formula>
    </cfRule>
  </conditionalFormatting>
  <conditionalFormatting sqref="N28">
    <cfRule type="cellIs" dxfId="7273" priority="1685" operator="greaterThan">
      <formula>0.9</formula>
    </cfRule>
    <cfRule type="cellIs" dxfId="7272" priority="1686" operator="greaterThan">
      <formula>0.85</formula>
    </cfRule>
  </conditionalFormatting>
  <conditionalFormatting sqref="E28">
    <cfRule type="expression" dxfId="7271" priority="1681">
      <formula>AND(IF(OR($Q28=1,$Q28=2),1,0),IF($X28&lt;=20,1,0))</formula>
    </cfRule>
    <cfRule type="expression" dxfId="7270" priority="1682">
      <formula>AND(IF($Q28=2,1,0),IF($X28&lt;30,1,0))</formula>
    </cfRule>
    <cfRule type="expression" dxfId="7269" priority="1683">
      <formula>AND(IF($Q28=3,1,0),IF($X28&lt;30,1,0))</formula>
    </cfRule>
    <cfRule type="expression" dxfId="7268" priority="1684">
      <formula>AND(IF($Q28=3,1,IF($Q28=4,1,0)),IF($F28&lt;=85,1,0))</formula>
    </cfRule>
  </conditionalFormatting>
  <conditionalFormatting sqref="X28">
    <cfRule type="expression" dxfId="7267" priority="1677">
      <formula>AND(IF(OR($Q28=1,$Q28=2),1,0),IF($X28&lt;=20,1,0))</formula>
    </cfRule>
    <cfRule type="expression" dxfId="7266" priority="1678">
      <formula>AND(IF($Q28=2,1,0),IF($X28&lt;30,1,0))</formula>
    </cfRule>
    <cfRule type="expression" dxfId="7265" priority="1679">
      <formula>AND(IF($Q28=3,1,0),IF($X28&lt;30,1,0))</formula>
    </cfRule>
    <cfRule type="expression" dxfId="7264" priority="1680">
      <formula>AND(IF($Q28=3,1,IF($Q28=4,1,0)),IF($F28&lt;=85,1,0))</formula>
    </cfRule>
  </conditionalFormatting>
  <conditionalFormatting sqref="AI28">
    <cfRule type="expression" dxfId="7263" priority="1673">
      <formula>AND(IF(OR($Q28=1,$Q28=2),1,0),IF($X28&lt;=20,1,0))</formula>
    </cfRule>
    <cfRule type="expression" dxfId="7262" priority="1674">
      <formula>AND(IF($Q28=2,1,0),IF($X28&lt;30,1,0))</formula>
    </cfRule>
    <cfRule type="expression" dxfId="7261" priority="1675">
      <formula>AND(IF($Q28=3,1,0),IF($X28&lt;30,1,0))</formula>
    </cfRule>
    <cfRule type="expression" dxfId="7260" priority="1676">
      <formula>AND(IF($Q28=3,1,IF($Q28=4,1,0)),IF($F28&lt;=85,1,0))</formula>
    </cfRule>
  </conditionalFormatting>
  <conditionalFormatting sqref="AV29">
    <cfRule type="expression" dxfId="7259" priority="1671">
      <formula>AV29="X"</formula>
    </cfRule>
    <cfRule type="expression" dxfId="7258" priority="1672">
      <formula>AV29="후보"</formula>
    </cfRule>
  </conditionalFormatting>
  <conditionalFormatting sqref="Z29">
    <cfRule type="colorScale" priority="1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7257" priority="1668" operator="greaterThan">
      <formula>0.9</formula>
    </cfRule>
    <cfRule type="cellIs" dxfId="7256" priority="1669" operator="greaterThan">
      <formula>0.85</formula>
    </cfRule>
  </conditionalFormatting>
  <conditionalFormatting sqref="N29">
    <cfRule type="cellIs" dxfId="7255" priority="1666" operator="greaterThan">
      <formula>0.9</formula>
    </cfRule>
    <cfRule type="cellIs" dxfId="7254" priority="1667" operator="greaterThan">
      <formula>0.85</formula>
    </cfRule>
  </conditionalFormatting>
  <conditionalFormatting sqref="E29">
    <cfRule type="expression" dxfId="7253" priority="1662">
      <formula>AND(IF(OR($Q29=1,$Q29=2),1,0),IF($X29&lt;=20,1,0))</formula>
    </cfRule>
    <cfRule type="expression" dxfId="7252" priority="1663">
      <formula>AND(IF($Q29=2,1,0),IF($X29&lt;30,1,0))</formula>
    </cfRule>
    <cfRule type="expression" dxfId="7251" priority="1664">
      <formula>AND(IF($Q29=3,1,0),IF($X29&lt;30,1,0))</formula>
    </cfRule>
    <cfRule type="expression" dxfId="7250" priority="1665">
      <formula>AND(IF($Q29=3,1,IF($Q29=4,1,0)),IF($F29&lt;=85,1,0))</formula>
    </cfRule>
  </conditionalFormatting>
  <conditionalFormatting sqref="X29">
    <cfRule type="expression" dxfId="7249" priority="1658">
      <formula>AND(IF(OR($Q29=1,$Q29=2),1,0),IF($X29&lt;=20,1,0))</formula>
    </cfRule>
    <cfRule type="expression" dxfId="7248" priority="1659">
      <formula>AND(IF($Q29=2,1,0),IF($X29&lt;30,1,0))</formula>
    </cfRule>
    <cfRule type="expression" dxfId="7247" priority="1660">
      <formula>AND(IF($Q29=3,1,0),IF($X29&lt;30,1,0))</formula>
    </cfRule>
    <cfRule type="expression" dxfId="7246" priority="1661">
      <formula>AND(IF($Q29=3,1,IF($Q29=4,1,0)),IF($F29&lt;=85,1,0))</formula>
    </cfRule>
  </conditionalFormatting>
  <conditionalFormatting sqref="AI29">
    <cfRule type="expression" dxfId="7245" priority="1654">
      <formula>AND(IF(OR($Q29=1,$Q29=2),1,0),IF($X29&lt;=20,1,0))</formula>
    </cfRule>
    <cfRule type="expression" dxfId="7244" priority="1655">
      <formula>AND(IF($Q29=2,1,0),IF($X29&lt;30,1,0))</formula>
    </cfRule>
    <cfRule type="expression" dxfId="7243" priority="1656">
      <formula>AND(IF($Q29=3,1,0),IF($X29&lt;30,1,0))</formula>
    </cfRule>
    <cfRule type="expression" dxfId="7242" priority="1657">
      <formula>AND(IF($Q29=3,1,IF($Q29=4,1,0)),IF($F29&lt;=85,1,0))</formula>
    </cfRule>
  </conditionalFormatting>
  <conditionalFormatting sqref="AV30">
    <cfRule type="expression" dxfId="7241" priority="1652">
      <formula>AV30="X"</formula>
    </cfRule>
    <cfRule type="expression" dxfId="7240" priority="1653">
      <formula>AV30="후보"</formula>
    </cfRule>
  </conditionalFormatting>
  <conditionalFormatting sqref="Z30">
    <cfRule type="colorScale" priority="1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7239" priority="1649" operator="greaterThan">
      <formula>0.9</formula>
    </cfRule>
    <cfRule type="cellIs" dxfId="7238" priority="1650" operator="greaterThan">
      <formula>0.85</formula>
    </cfRule>
  </conditionalFormatting>
  <conditionalFormatting sqref="N30">
    <cfRule type="cellIs" dxfId="7237" priority="1647" operator="greaterThan">
      <formula>0.9</formula>
    </cfRule>
    <cfRule type="cellIs" dxfId="7236" priority="1648" operator="greaterThan">
      <formula>0.85</formula>
    </cfRule>
  </conditionalFormatting>
  <conditionalFormatting sqref="E30">
    <cfRule type="expression" dxfId="7235" priority="1643">
      <formula>AND(IF(OR($Q30=1,$Q30=2),1,0),IF($X30&lt;=20,1,0))</formula>
    </cfRule>
    <cfRule type="expression" dxfId="7234" priority="1644">
      <formula>AND(IF($Q30=2,1,0),IF($X30&lt;30,1,0))</formula>
    </cfRule>
    <cfRule type="expression" dxfId="7233" priority="1645">
      <formula>AND(IF($Q30=3,1,0),IF($X30&lt;30,1,0))</formula>
    </cfRule>
    <cfRule type="expression" dxfId="7232" priority="1646">
      <formula>AND(IF($Q30=3,1,IF($Q30=4,1,0)),IF($F30&lt;=85,1,0))</formula>
    </cfRule>
  </conditionalFormatting>
  <conditionalFormatting sqref="X30">
    <cfRule type="expression" dxfId="7231" priority="1639">
      <formula>AND(IF(OR($Q30=1,$Q30=2),1,0),IF($X30&lt;=20,1,0))</formula>
    </cfRule>
    <cfRule type="expression" dxfId="7230" priority="1640">
      <formula>AND(IF($Q30=2,1,0),IF($X30&lt;30,1,0))</formula>
    </cfRule>
    <cfRule type="expression" dxfId="7229" priority="1641">
      <formula>AND(IF($Q30=3,1,0),IF($X30&lt;30,1,0))</formula>
    </cfRule>
    <cfRule type="expression" dxfId="7228" priority="1642">
      <formula>AND(IF($Q30=3,1,IF($Q30=4,1,0)),IF($F30&lt;=85,1,0))</formula>
    </cfRule>
  </conditionalFormatting>
  <conditionalFormatting sqref="AI30">
    <cfRule type="expression" dxfId="7227" priority="1635">
      <formula>AND(IF(OR($Q30=1,$Q30=2),1,0),IF($X30&lt;=20,1,0))</formula>
    </cfRule>
    <cfRule type="expression" dxfId="7226" priority="1636">
      <formula>AND(IF($Q30=2,1,0),IF($X30&lt;30,1,0))</formula>
    </cfRule>
    <cfRule type="expression" dxfId="7225" priority="1637">
      <formula>AND(IF($Q30=3,1,0),IF($X30&lt;30,1,0))</formula>
    </cfRule>
    <cfRule type="expression" dxfId="7224" priority="1638">
      <formula>AND(IF($Q30=3,1,IF($Q30=4,1,0)),IF($F30&lt;=85,1,0))</formula>
    </cfRule>
  </conditionalFormatting>
  <conditionalFormatting sqref="AV31">
    <cfRule type="expression" dxfId="7223" priority="1633">
      <formula>AV31="X"</formula>
    </cfRule>
    <cfRule type="expression" dxfId="7222" priority="1634">
      <formula>AV31="후보"</formula>
    </cfRule>
  </conditionalFormatting>
  <conditionalFormatting sqref="Z31">
    <cfRule type="colorScale" priority="1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221" priority="1630" operator="greaterThan">
      <formula>0.9</formula>
    </cfRule>
    <cfRule type="cellIs" dxfId="7220" priority="1631" operator="greaterThan">
      <formula>0.85</formula>
    </cfRule>
  </conditionalFormatting>
  <conditionalFormatting sqref="N31">
    <cfRule type="cellIs" dxfId="7219" priority="1628" operator="greaterThan">
      <formula>0.9</formula>
    </cfRule>
    <cfRule type="cellIs" dxfId="7218" priority="1629" operator="greaterThan">
      <formula>0.85</formula>
    </cfRule>
  </conditionalFormatting>
  <conditionalFormatting sqref="E31">
    <cfRule type="expression" dxfId="7217" priority="1624">
      <formula>AND(IF(OR($Q31=1,$Q31=2),1,0),IF($X31&lt;=20,1,0))</formula>
    </cfRule>
    <cfRule type="expression" dxfId="7216" priority="1625">
      <formula>AND(IF($Q31=2,1,0),IF($X31&lt;30,1,0))</formula>
    </cfRule>
    <cfRule type="expression" dxfId="7215" priority="1626">
      <formula>AND(IF($Q31=3,1,0),IF($X31&lt;30,1,0))</formula>
    </cfRule>
    <cfRule type="expression" dxfId="7214" priority="1627">
      <formula>AND(IF($Q31=3,1,IF($Q31=4,1,0)),IF($F31&lt;=85,1,0))</formula>
    </cfRule>
  </conditionalFormatting>
  <conditionalFormatting sqref="X31">
    <cfRule type="expression" dxfId="7213" priority="1620">
      <formula>AND(IF(OR($Q31=1,$Q31=2),1,0),IF($X31&lt;=20,1,0))</formula>
    </cfRule>
    <cfRule type="expression" dxfId="7212" priority="1621">
      <formula>AND(IF($Q31=2,1,0),IF($X31&lt;30,1,0))</formula>
    </cfRule>
    <cfRule type="expression" dxfId="7211" priority="1622">
      <formula>AND(IF($Q31=3,1,0),IF($X31&lt;30,1,0))</formula>
    </cfRule>
    <cfRule type="expression" dxfId="7210" priority="1623">
      <formula>AND(IF($Q31=3,1,IF($Q31=4,1,0)),IF($F31&lt;=85,1,0))</formula>
    </cfRule>
  </conditionalFormatting>
  <conditionalFormatting sqref="AI31">
    <cfRule type="expression" dxfId="7209" priority="1616">
      <formula>AND(IF(OR($Q31=1,$Q31=2),1,0),IF($X31&lt;=20,1,0))</formula>
    </cfRule>
    <cfRule type="expression" dxfId="7208" priority="1617">
      <formula>AND(IF($Q31=2,1,0),IF($X31&lt;30,1,0))</formula>
    </cfRule>
    <cfRule type="expression" dxfId="7207" priority="1618">
      <formula>AND(IF($Q31=3,1,0),IF($X31&lt;30,1,0))</formula>
    </cfRule>
    <cfRule type="expression" dxfId="7206" priority="1619">
      <formula>AND(IF($Q31=3,1,IF($Q31=4,1,0)),IF($F31&lt;=85,1,0))</formula>
    </cfRule>
  </conditionalFormatting>
  <conditionalFormatting sqref="AV32">
    <cfRule type="expression" dxfId="7205" priority="1614">
      <formula>AV32="X"</formula>
    </cfRule>
    <cfRule type="expression" dxfId="7204" priority="1615">
      <formula>AV32="후보"</formula>
    </cfRule>
  </conditionalFormatting>
  <conditionalFormatting sqref="Z32">
    <cfRule type="colorScale" priority="1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7203" priority="1611" operator="greaterThan">
      <formula>0.9</formula>
    </cfRule>
    <cfRule type="cellIs" dxfId="7202" priority="1612" operator="greaterThan">
      <formula>0.85</formula>
    </cfRule>
  </conditionalFormatting>
  <conditionalFormatting sqref="AV33">
    <cfRule type="expression" dxfId="7201" priority="1609">
      <formula>AV33="X"</formula>
    </cfRule>
    <cfRule type="expression" dxfId="7200" priority="1610">
      <formula>AV33="후보"</formula>
    </cfRule>
  </conditionalFormatting>
  <conditionalFormatting sqref="Z33">
    <cfRule type="colorScale" priority="1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199" priority="1606" operator="greaterThan">
      <formula>0.9</formula>
    </cfRule>
    <cfRule type="cellIs" dxfId="7198" priority="1607" operator="greaterThan">
      <formula>0.85</formula>
    </cfRule>
  </conditionalFormatting>
  <conditionalFormatting sqref="N33">
    <cfRule type="cellIs" dxfId="7197" priority="1604" operator="greaterThan">
      <formula>0.9</formula>
    </cfRule>
    <cfRule type="cellIs" dxfId="7196" priority="1605" operator="greaterThan">
      <formula>0.85</formula>
    </cfRule>
  </conditionalFormatting>
  <conditionalFormatting sqref="E33">
    <cfRule type="expression" dxfId="7195" priority="1600">
      <formula>AND(IF(OR($Q33=1,$Q33=2),1,0),IF($X33&lt;=20,1,0))</formula>
    </cfRule>
    <cfRule type="expression" dxfId="7194" priority="1601">
      <formula>AND(IF($Q33=2,1,0),IF($X33&lt;30,1,0))</formula>
    </cfRule>
    <cfRule type="expression" dxfId="7193" priority="1602">
      <formula>AND(IF($Q33=3,1,0),IF($X33&lt;30,1,0))</formula>
    </cfRule>
    <cfRule type="expression" dxfId="7192" priority="1603">
      <formula>AND(IF($Q33=3,1,IF($Q33=4,1,0)),IF($F33&lt;=85,1,0))</formula>
    </cfRule>
  </conditionalFormatting>
  <conditionalFormatting sqref="X33">
    <cfRule type="expression" dxfId="7191" priority="1596">
      <formula>AND(IF(OR($Q33=1,$Q33=2),1,0),IF($X33&lt;=20,1,0))</formula>
    </cfRule>
    <cfRule type="expression" dxfId="7190" priority="1597">
      <formula>AND(IF($Q33=2,1,0),IF($X33&lt;30,1,0))</formula>
    </cfRule>
    <cfRule type="expression" dxfId="7189" priority="1598">
      <formula>AND(IF($Q33=3,1,0),IF($X33&lt;30,1,0))</formula>
    </cfRule>
    <cfRule type="expression" dxfId="7188" priority="1599">
      <formula>AND(IF($Q33=3,1,IF($Q33=4,1,0)),IF($F33&lt;=85,1,0))</formula>
    </cfRule>
  </conditionalFormatting>
  <conditionalFormatting sqref="AI33">
    <cfRule type="expression" dxfId="7187" priority="1592">
      <formula>AND(IF(OR($Q33=1,$Q33=2),1,0),IF($X33&lt;=20,1,0))</formula>
    </cfRule>
    <cfRule type="expression" dxfId="7186" priority="1593">
      <formula>AND(IF($Q33=2,1,0),IF($X33&lt;30,1,0))</formula>
    </cfRule>
    <cfRule type="expression" dxfId="7185" priority="1594">
      <formula>AND(IF($Q33=3,1,0),IF($X33&lt;30,1,0))</formula>
    </cfRule>
    <cfRule type="expression" dxfId="7184" priority="1595">
      <formula>AND(IF($Q33=3,1,IF($Q33=4,1,0)),IF($F33&lt;=85,1,0))</formula>
    </cfRule>
  </conditionalFormatting>
  <conditionalFormatting sqref="AV34">
    <cfRule type="expression" dxfId="7183" priority="1590">
      <formula>AV34="X"</formula>
    </cfRule>
    <cfRule type="expression" dxfId="7182" priority="1591">
      <formula>AV34="후보"</formula>
    </cfRule>
  </conditionalFormatting>
  <conditionalFormatting sqref="Z34">
    <cfRule type="colorScale" priority="1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7181" priority="1587" operator="greaterThan">
      <formula>0.9</formula>
    </cfRule>
    <cfRule type="cellIs" dxfId="7180" priority="1588" operator="greaterThan">
      <formula>0.85</formula>
    </cfRule>
  </conditionalFormatting>
  <conditionalFormatting sqref="N34">
    <cfRule type="cellIs" dxfId="7179" priority="1585" operator="greaterThan">
      <formula>0.9</formula>
    </cfRule>
    <cfRule type="cellIs" dxfId="7178" priority="1586" operator="greaterThan">
      <formula>0.85</formula>
    </cfRule>
  </conditionalFormatting>
  <conditionalFormatting sqref="E34">
    <cfRule type="expression" dxfId="7177" priority="1581">
      <formula>AND(IF(OR($Q34=1,$Q34=2),1,0),IF($X34&lt;=20,1,0))</formula>
    </cfRule>
    <cfRule type="expression" dxfId="7176" priority="1582">
      <formula>AND(IF($Q34=2,1,0),IF($X34&lt;30,1,0))</formula>
    </cfRule>
    <cfRule type="expression" dxfId="7175" priority="1583">
      <formula>AND(IF($Q34=3,1,0),IF($X34&lt;30,1,0))</formula>
    </cfRule>
    <cfRule type="expression" dxfId="7174" priority="1584">
      <formula>AND(IF($Q34=3,1,IF($Q34=4,1,0)),IF($F34&lt;=85,1,0))</formula>
    </cfRule>
  </conditionalFormatting>
  <conditionalFormatting sqref="X34">
    <cfRule type="expression" dxfId="7173" priority="1577">
      <formula>AND(IF(OR($Q34=1,$Q34=2),1,0),IF($X34&lt;=20,1,0))</formula>
    </cfRule>
    <cfRule type="expression" dxfId="7172" priority="1578">
      <formula>AND(IF($Q34=2,1,0),IF($X34&lt;30,1,0))</formula>
    </cfRule>
    <cfRule type="expression" dxfId="7171" priority="1579">
      <formula>AND(IF($Q34=3,1,0),IF($X34&lt;30,1,0))</formula>
    </cfRule>
    <cfRule type="expression" dxfId="7170" priority="1580">
      <formula>AND(IF($Q34=3,1,IF($Q34=4,1,0)),IF($F34&lt;=85,1,0))</formula>
    </cfRule>
  </conditionalFormatting>
  <conditionalFormatting sqref="AI34">
    <cfRule type="expression" dxfId="7169" priority="1573">
      <formula>AND(IF(OR($Q34=1,$Q34=2),1,0),IF($X34&lt;=20,1,0))</formula>
    </cfRule>
    <cfRule type="expression" dxfId="7168" priority="1574">
      <formula>AND(IF($Q34=2,1,0),IF($X34&lt;30,1,0))</formula>
    </cfRule>
    <cfRule type="expression" dxfId="7167" priority="1575">
      <formula>AND(IF($Q34=3,1,0),IF($X34&lt;30,1,0))</formula>
    </cfRule>
    <cfRule type="expression" dxfId="7166" priority="1576">
      <formula>AND(IF($Q34=3,1,IF($Q34=4,1,0)),IF($F34&lt;=85,1,0))</formula>
    </cfRule>
  </conditionalFormatting>
  <conditionalFormatting sqref="AV35">
    <cfRule type="expression" dxfId="7165" priority="1571">
      <formula>AV35="X"</formula>
    </cfRule>
    <cfRule type="expression" dxfId="7164" priority="1572">
      <formula>AV35="후보"</formula>
    </cfRule>
  </conditionalFormatting>
  <conditionalFormatting sqref="Z35">
    <cfRule type="colorScale" priority="1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7163" priority="1568" operator="greaterThan">
      <formula>0.9</formula>
    </cfRule>
    <cfRule type="cellIs" dxfId="7162" priority="1569" operator="greaterThan">
      <formula>0.85</formula>
    </cfRule>
  </conditionalFormatting>
  <conditionalFormatting sqref="N35">
    <cfRule type="cellIs" dxfId="7161" priority="1566" operator="greaterThan">
      <formula>0.9</formula>
    </cfRule>
    <cfRule type="cellIs" dxfId="7160" priority="1567" operator="greaterThan">
      <formula>0.85</formula>
    </cfRule>
  </conditionalFormatting>
  <conditionalFormatting sqref="E35">
    <cfRule type="expression" dxfId="7159" priority="1562">
      <formula>AND(IF(OR($Q35=1,$Q35=2),1,0),IF($X35&lt;=20,1,0))</formula>
    </cfRule>
    <cfRule type="expression" dxfId="7158" priority="1563">
      <formula>AND(IF($Q35=2,1,0),IF($X35&lt;30,1,0))</formula>
    </cfRule>
    <cfRule type="expression" dxfId="7157" priority="1564">
      <formula>AND(IF($Q35=3,1,0),IF($X35&lt;30,1,0))</formula>
    </cfRule>
    <cfRule type="expression" dxfId="7156" priority="1565">
      <formula>AND(IF($Q35=3,1,IF($Q35=4,1,0)),IF($F35&lt;=85,1,0))</formula>
    </cfRule>
  </conditionalFormatting>
  <conditionalFormatting sqref="X35">
    <cfRule type="expression" dxfId="7155" priority="1558">
      <formula>AND(IF(OR($Q35=1,$Q35=2),1,0),IF($X35&lt;=20,1,0))</formula>
    </cfRule>
    <cfRule type="expression" dxfId="7154" priority="1559">
      <formula>AND(IF($Q35=2,1,0),IF($X35&lt;30,1,0))</formula>
    </cfRule>
    <cfRule type="expression" dxfId="7153" priority="1560">
      <formula>AND(IF($Q35=3,1,0),IF($X35&lt;30,1,0))</formula>
    </cfRule>
    <cfRule type="expression" dxfId="7152" priority="1561">
      <formula>AND(IF($Q35=3,1,IF($Q35=4,1,0)),IF($F35&lt;=85,1,0))</formula>
    </cfRule>
  </conditionalFormatting>
  <conditionalFormatting sqref="AI35">
    <cfRule type="expression" dxfId="7151" priority="1554">
      <formula>AND(IF(OR($Q35=1,$Q35=2),1,0),IF($X35&lt;=20,1,0))</formula>
    </cfRule>
    <cfRule type="expression" dxfId="7150" priority="1555">
      <formula>AND(IF($Q35=2,1,0),IF($X35&lt;30,1,0))</formula>
    </cfRule>
    <cfRule type="expression" dxfId="7149" priority="1556">
      <formula>AND(IF($Q35=3,1,0),IF($X35&lt;30,1,0))</formula>
    </cfRule>
    <cfRule type="expression" dxfId="7148" priority="1557">
      <formula>AND(IF($Q35=3,1,IF($Q35=4,1,0)),IF($F35&lt;=85,1,0))</formula>
    </cfRule>
  </conditionalFormatting>
  <conditionalFormatting sqref="AV36">
    <cfRule type="expression" dxfId="7147" priority="1552">
      <formula>AV36="X"</formula>
    </cfRule>
    <cfRule type="expression" dxfId="7146" priority="1553">
      <formula>AV36="후보"</formula>
    </cfRule>
  </conditionalFormatting>
  <conditionalFormatting sqref="Z36">
    <cfRule type="colorScale" priority="1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7145" priority="1549" operator="greaterThan">
      <formula>0.9</formula>
    </cfRule>
    <cfRule type="cellIs" dxfId="7144" priority="1550" operator="greaterThan">
      <formula>0.85</formula>
    </cfRule>
  </conditionalFormatting>
  <conditionalFormatting sqref="N36">
    <cfRule type="cellIs" dxfId="7143" priority="1547" operator="greaterThan">
      <formula>0.9</formula>
    </cfRule>
    <cfRule type="cellIs" dxfId="7142" priority="1548" operator="greaterThan">
      <formula>0.85</formula>
    </cfRule>
  </conditionalFormatting>
  <conditionalFormatting sqref="E36">
    <cfRule type="expression" dxfId="7141" priority="1543">
      <formula>AND(IF(OR($Q36=1,$Q36=2),1,0),IF($X36&lt;=20,1,0))</formula>
    </cfRule>
    <cfRule type="expression" dxfId="7140" priority="1544">
      <formula>AND(IF($Q36=2,1,0),IF($X36&lt;30,1,0))</formula>
    </cfRule>
    <cfRule type="expression" dxfId="7139" priority="1545">
      <formula>AND(IF($Q36=3,1,0),IF($X36&lt;30,1,0))</formula>
    </cfRule>
    <cfRule type="expression" dxfId="7138" priority="1546">
      <formula>AND(IF($Q36=3,1,IF($Q36=4,1,0)),IF($F36&lt;=85,1,0))</formula>
    </cfRule>
  </conditionalFormatting>
  <conditionalFormatting sqref="X36">
    <cfRule type="expression" dxfId="7137" priority="1539">
      <formula>AND(IF(OR($Q36=1,$Q36=2),1,0),IF($X36&lt;=20,1,0))</formula>
    </cfRule>
    <cfRule type="expression" dxfId="7136" priority="1540">
      <formula>AND(IF($Q36=2,1,0),IF($X36&lt;30,1,0))</formula>
    </cfRule>
    <cfRule type="expression" dxfId="7135" priority="1541">
      <formula>AND(IF($Q36=3,1,0),IF($X36&lt;30,1,0))</formula>
    </cfRule>
    <cfRule type="expression" dxfId="7134" priority="1542">
      <formula>AND(IF($Q36=3,1,IF($Q36=4,1,0)),IF($F36&lt;=85,1,0))</formula>
    </cfRule>
  </conditionalFormatting>
  <conditionalFormatting sqref="AI36">
    <cfRule type="expression" dxfId="7133" priority="1535">
      <formula>AND(IF(OR($Q36=1,$Q36=2),1,0),IF($X36&lt;=20,1,0))</formula>
    </cfRule>
    <cfRule type="expression" dxfId="7132" priority="1536">
      <formula>AND(IF($Q36=2,1,0),IF($X36&lt;30,1,0))</formula>
    </cfRule>
    <cfRule type="expression" dxfId="7131" priority="1537">
      <formula>AND(IF($Q36=3,1,0),IF($X36&lt;30,1,0))</formula>
    </cfRule>
    <cfRule type="expression" dxfId="7130" priority="1538">
      <formula>AND(IF($Q36=3,1,IF($Q36=4,1,0)),IF($F36&lt;=85,1,0))</formula>
    </cfRule>
  </conditionalFormatting>
  <conditionalFormatting sqref="AV37">
    <cfRule type="expression" dxfId="7129" priority="1533">
      <formula>AV37="X"</formula>
    </cfRule>
    <cfRule type="expression" dxfId="7128" priority="1534">
      <formula>AV37="후보"</formula>
    </cfRule>
  </conditionalFormatting>
  <conditionalFormatting sqref="Z37">
    <cfRule type="colorScale" priority="1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127" priority="1530" operator="greaterThan">
      <formula>0.9</formula>
    </cfRule>
    <cfRule type="cellIs" dxfId="7126" priority="1531" operator="greaterThan">
      <formula>0.85</formula>
    </cfRule>
  </conditionalFormatting>
  <conditionalFormatting sqref="N37">
    <cfRule type="cellIs" dxfId="7125" priority="1528" operator="greaterThan">
      <formula>0.9</formula>
    </cfRule>
    <cfRule type="cellIs" dxfId="7124" priority="1529" operator="greaterThan">
      <formula>0.85</formula>
    </cfRule>
  </conditionalFormatting>
  <conditionalFormatting sqref="E37">
    <cfRule type="expression" dxfId="7123" priority="1524">
      <formula>AND(IF(OR($Q37=1,$Q37=2),1,0),IF($X37&lt;=20,1,0))</formula>
    </cfRule>
    <cfRule type="expression" dxfId="7122" priority="1525">
      <formula>AND(IF($Q37=2,1,0),IF($X37&lt;30,1,0))</formula>
    </cfRule>
    <cfRule type="expression" dxfId="7121" priority="1526">
      <formula>AND(IF($Q37=3,1,0),IF($X37&lt;30,1,0))</formula>
    </cfRule>
    <cfRule type="expression" dxfId="7120" priority="1527">
      <formula>AND(IF($Q37=3,1,IF($Q37=4,1,0)),IF($F37&lt;=85,1,0))</formula>
    </cfRule>
  </conditionalFormatting>
  <conditionalFormatting sqref="X37">
    <cfRule type="expression" dxfId="7119" priority="1520">
      <formula>AND(IF(OR($Q37=1,$Q37=2),1,0),IF($X37&lt;=20,1,0))</formula>
    </cfRule>
    <cfRule type="expression" dxfId="7118" priority="1521">
      <formula>AND(IF($Q37=2,1,0),IF($X37&lt;30,1,0))</formula>
    </cfRule>
    <cfRule type="expression" dxfId="7117" priority="1522">
      <formula>AND(IF($Q37=3,1,0),IF($X37&lt;30,1,0))</formula>
    </cfRule>
    <cfRule type="expression" dxfId="7116" priority="1523">
      <formula>AND(IF($Q37=3,1,IF($Q37=4,1,0)),IF($F37&lt;=85,1,0))</formula>
    </cfRule>
  </conditionalFormatting>
  <conditionalFormatting sqref="AI37">
    <cfRule type="expression" dxfId="7115" priority="1516">
      <formula>AND(IF(OR($Q37=1,$Q37=2),1,0),IF($X37&lt;=20,1,0))</formula>
    </cfRule>
    <cfRule type="expression" dxfId="7114" priority="1517">
      <formula>AND(IF($Q37=2,1,0),IF($X37&lt;30,1,0))</formula>
    </cfRule>
    <cfRule type="expression" dxfId="7113" priority="1518">
      <formula>AND(IF($Q37=3,1,0),IF($X37&lt;30,1,0))</formula>
    </cfRule>
    <cfRule type="expression" dxfId="7112" priority="1519">
      <formula>AND(IF($Q37=3,1,IF($Q37=4,1,0)),IF($F37&lt;=85,1,0))</formula>
    </cfRule>
  </conditionalFormatting>
  <conditionalFormatting sqref="AV38">
    <cfRule type="expression" dxfId="7111" priority="1514">
      <formula>AV38="X"</formula>
    </cfRule>
    <cfRule type="expression" dxfId="7110" priority="1515">
      <formula>AV38="후보"</formula>
    </cfRule>
  </conditionalFormatting>
  <conditionalFormatting sqref="Z38">
    <cfRule type="colorScale" priority="1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7109" priority="1511" operator="greaterThan">
      <formula>0.9</formula>
    </cfRule>
    <cfRule type="cellIs" dxfId="7108" priority="1512" operator="greaterThan">
      <formula>0.85</formula>
    </cfRule>
  </conditionalFormatting>
  <conditionalFormatting sqref="N38">
    <cfRule type="cellIs" dxfId="7107" priority="1509" operator="greaterThan">
      <formula>0.9</formula>
    </cfRule>
    <cfRule type="cellIs" dxfId="7106" priority="1510" operator="greaterThan">
      <formula>0.85</formula>
    </cfRule>
  </conditionalFormatting>
  <conditionalFormatting sqref="E38">
    <cfRule type="expression" dxfId="7105" priority="1505">
      <formula>AND(IF(OR($Q38=1,$Q38=2),1,0),IF($X38&lt;=20,1,0))</formula>
    </cfRule>
    <cfRule type="expression" dxfId="7104" priority="1506">
      <formula>AND(IF($Q38=2,1,0),IF($X38&lt;30,1,0))</formula>
    </cfRule>
    <cfRule type="expression" dxfId="7103" priority="1507">
      <formula>AND(IF($Q38=3,1,0),IF($X38&lt;30,1,0))</formula>
    </cfRule>
    <cfRule type="expression" dxfId="7102" priority="1508">
      <formula>AND(IF($Q38=3,1,IF($Q38=4,1,0)),IF($F38&lt;=85,1,0))</formula>
    </cfRule>
  </conditionalFormatting>
  <conditionalFormatting sqref="X38">
    <cfRule type="expression" dxfId="7101" priority="1501">
      <formula>AND(IF(OR($Q38=1,$Q38=2),1,0),IF($X38&lt;=20,1,0))</formula>
    </cfRule>
    <cfRule type="expression" dxfId="7100" priority="1502">
      <formula>AND(IF($Q38=2,1,0),IF($X38&lt;30,1,0))</formula>
    </cfRule>
    <cfRule type="expression" dxfId="7099" priority="1503">
      <formula>AND(IF($Q38=3,1,0),IF($X38&lt;30,1,0))</formula>
    </cfRule>
    <cfRule type="expression" dxfId="7098" priority="1504">
      <formula>AND(IF($Q38=3,1,IF($Q38=4,1,0)),IF($F38&lt;=85,1,0))</formula>
    </cfRule>
  </conditionalFormatting>
  <conditionalFormatting sqref="AI38">
    <cfRule type="expression" dxfId="7097" priority="1497">
      <formula>AND(IF(OR($Q38=1,$Q38=2),1,0),IF($X38&lt;=20,1,0))</formula>
    </cfRule>
    <cfRule type="expression" dxfId="7096" priority="1498">
      <formula>AND(IF($Q38=2,1,0),IF($X38&lt;30,1,0))</formula>
    </cfRule>
    <cfRule type="expression" dxfId="7095" priority="1499">
      <formula>AND(IF($Q38=3,1,0),IF($X38&lt;30,1,0))</formula>
    </cfRule>
    <cfRule type="expression" dxfId="7094" priority="1500">
      <formula>AND(IF($Q38=3,1,IF($Q38=4,1,0)),IF($F38&lt;=85,1,0))</formula>
    </cfRule>
  </conditionalFormatting>
  <conditionalFormatting sqref="AV39">
    <cfRule type="expression" dxfId="7093" priority="1495">
      <formula>AV39="X"</formula>
    </cfRule>
    <cfRule type="expression" dxfId="7092" priority="1496">
      <formula>AV39="후보"</formula>
    </cfRule>
  </conditionalFormatting>
  <conditionalFormatting sqref="Z39">
    <cfRule type="colorScale" priority="1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7091" priority="1492" operator="greaterThan">
      <formula>0.9</formula>
    </cfRule>
    <cfRule type="cellIs" dxfId="7090" priority="1493" operator="greaterThan">
      <formula>0.85</formula>
    </cfRule>
  </conditionalFormatting>
  <conditionalFormatting sqref="N39">
    <cfRule type="cellIs" dxfId="7089" priority="1490" operator="greaterThan">
      <formula>0.9</formula>
    </cfRule>
    <cfRule type="cellIs" dxfId="7088" priority="1491" operator="greaterThan">
      <formula>0.85</formula>
    </cfRule>
  </conditionalFormatting>
  <conditionalFormatting sqref="E39">
    <cfRule type="expression" dxfId="7087" priority="1486">
      <formula>AND(IF(OR($Q39=1,$Q39=2),1,0),IF($X39&lt;=20,1,0))</formula>
    </cfRule>
    <cfRule type="expression" dxfId="7086" priority="1487">
      <formula>AND(IF($Q39=2,1,0),IF($X39&lt;30,1,0))</formula>
    </cfRule>
    <cfRule type="expression" dxfId="7085" priority="1488">
      <formula>AND(IF($Q39=3,1,0),IF($X39&lt;30,1,0))</formula>
    </cfRule>
    <cfRule type="expression" dxfId="7084" priority="1489">
      <formula>AND(IF($Q39=3,1,IF($Q39=4,1,0)),IF($F39&lt;=85,1,0))</formula>
    </cfRule>
  </conditionalFormatting>
  <conditionalFormatting sqref="X39">
    <cfRule type="expression" dxfId="7083" priority="1482">
      <formula>AND(IF(OR($Q39=1,$Q39=2),1,0),IF($X39&lt;=20,1,0))</formula>
    </cfRule>
    <cfRule type="expression" dxfId="7082" priority="1483">
      <formula>AND(IF($Q39=2,1,0),IF($X39&lt;30,1,0))</formula>
    </cfRule>
    <cfRule type="expression" dxfId="7081" priority="1484">
      <formula>AND(IF($Q39=3,1,0),IF($X39&lt;30,1,0))</formula>
    </cfRule>
    <cfRule type="expression" dxfId="7080" priority="1485">
      <formula>AND(IF($Q39=3,1,IF($Q39=4,1,0)),IF($F39&lt;=85,1,0))</formula>
    </cfRule>
  </conditionalFormatting>
  <conditionalFormatting sqref="AI39">
    <cfRule type="expression" dxfId="7079" priority="1478">
      <formula>AND(IF(OR($Q39=1,$Q39=2),1,0),IF($X39&lt;=20,1,0))</formula>
    </cfRule>
    <cfRule type="expression" dxfId="7078" priority="1479">
      <formula>AND(IF($Q39=2,1,0),IF($X39&lt;30,1,0))</formula>
    </cfRule>
    <cfRule type="expression" dxfId="7077" priority="1480">
      <formula>AND(IF($Q39=3,1,0),IF($X39&lt;30,1,0))</formula>
    </cfRule>
    <cfRule type="expression" dxfId="7076" priority="1481">
      <formula>AND(IF($Q39=3,1,IF($Q39=4,1,0)),IF($F39&lt;=85,1,0))</formula>
    </cfRule>
  </conditionalFormatting>
  <conditionalFormatting sqref="AV40">
    <cfRule type="expression" dxfId="7075" priority="1476">
      <formula>AV40="X"</formula>
    </cfRule>
    <cfRule type="expression" dxfId="7074" priority="1477">
      <formula>AV40="후보"</formula>
    </cfRule>
  </conditionalFormatting>
  <conditionalFormatting sqref="Z40">
    <cfRule type="colorScale" priority="1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7073" priority="1473" operator="greaterThan">
      <formula>0.9</formula>
    </cfRule>
    <cfRule type="cellIs" dxfId="7072" priority="1474" operator="greaterThan">
      <formula>0.85</formula>
    </cfRule>
  </conditionalFormatting>
  <conditionalFormatting sqref="AV41">
    <cfRule type="expression" dxfId="7071" priority="1471">
      <formula>AV41="X"</formula>
    </cfRule>
    <cfRule type="expression" dxfId="7070" priority="1472">
      <formula>AV41="후보"</formula>
    </cfRule>
  </conditionalFormatting>
  <conditionalFormatting sqref="Z41">
    <cfRule type="colorScale" priority="1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069" priority="1468" operator="greaterThan">
      <formula>0.9</formula>
    </cfRule>
    <cfRule type="cellIs" dxfId="7068" priority="1469" operator="greaterThan">
      <formula>0.85</formula>
    </cfRule>
  </conditionalFormatting>
  <conditionalFormatting sqref="N41">
    <cfRule type="cellIs" dxfId="7067" priority="1466" operator="greaterThan">
      <formula>0.9</formula>
    </cfRule>
    <cfRule type="cellIs" dxfId="7066" priority="1467" operator="greaterThan">
      <formula>0.85</formula>
    </cfRule>
  </conditionalFormatting>
  <conditionalFormatting sqref="E41">
    <cfRule type="expression" dxfId="7065" priority="1462">
      <formula>AND(IF(OR($Q41=1,$Q41=2),1,0),IF($X41&lt;=20,1,0))</formula>
    </cfRule>
    <cfRule type="expression" dxfId="7064" priority="1463">
      <formula>AND(IF($Q41=2,1,0),IF($X41&lt;30,1,0))</formula>
    </cfRule>
    <cfRule type="expression" dxfId="7063" priority="1464">
      <formula>AND(IF($Q41=3,1,0),IF($X41&lt;30,1,0))</formula>
    </cfRule>
    <cfRule type="expression" dxfId="7062" priority="1465">
      <formula>AND(IF($Q41=3,1,IF($Q41=4,1,0)),IF($F41&lt;=85,1,0))</formula>
    </cfRule>
  </conditionalFormatting>
  <conditionalFormatting sqref="X41">
    <cfRule type="expression" dxfId="7061" priority="1458">
      <formula>AND(IF(OR($Q41=1,$Q41=2),1,0),IF($X41&lt;=20,1,0))</formula>
    </cfRule>
    <cfRule type="expression" dxfId="7060" priority="1459">
      <formula>AND(IF($Q41=2,1,0),IF($X41&lt;30,1,0))</formula>
    </cfRule>
    <cfRule type="expression" dxfId="7059" priority="1460">
      <formula>AND(IF($Q41=3,1,0),IF($X41&lt;30,1,0))</formula>
    </cfRule>
    <cfRule type="expression" dxfId="7058" priority="1461">
      <formula>AND(IF($Q41=3,1,IF($Q41=4,1,0)),IF($F41&lt;=85,1,0))</formula>
    </cfRule>
  </conditionalFormatting>
  <conditionalFormatting sqref="AI41">
    <cfRule type="expression" dxfId="7057" priority="1454">
      <formula>AND(IF(OR($Q41=1,$Q41=2),1,0),IF($X41&lt;=20,1,0))</formula>
    </cfRule>
    <cfRule type="expression" dxfId="7056" priority="1455">
      <formula>AND(IF($Q41=2,1,0),IF($X41&lt;30,1,0))</formula>
    </cfRule>
    <cfRule type="expression" dxfId="7055" priority="1456">
      <formula>AND(IF($Q41=3,1,0),IF($X41&lt;30,1,0))</formula>
    </cfRule>
    <cfRule type="expression" dxfId="7054" priority="1457">
      <formula>AND(IF($Q41=3,1,IF($Q41=4,1,0)),IF($F41&lt;=85,1,0))</formula>
    </cfRule>
  </conditionalFormatting>
  <conditionalFormatting sqref="AV42">
    <cfRule type="expression" dxfId="7053" priority="1452">
      <formula>AV42="X"</formula>
    </cfRule>
    <cfRule type="expression" dxfId="7052" priority="1453">
      <formula>AV42="후보"</formula>
    </cfRule>
  </conditionalFormatting>
  <conditionalFormatting sqref="Z42">
    <cfRule type="colorScale" priority="1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051" priority="1449" operator="greaterThan">
      <formula>0.9</formula>
    </cfRule>
    <cfRule type="cellIs" dxfId="7050" priority="1450" operator="greaterThan">
      <formula>0.85</formula>
    </cfRule>
  </conditionalFormatting>
  <conditionalFormatting sqref="N42">
    <cfRule type="cellIs" dxfId="7049" priority="1447" operator="greaterThan">
      <formula>0.9</formula>
    </cfRule>
    <cfRule type="cellIs" dxfId="7048" priority="1448" operator="greaterThan">
      <formula>0.85</formula>
    </cfRule>
  </conditionalFormatting>
  <conditionalFormatting sqref="E42">
    <cfRule type="expression" dxfId="7047" priority="1443">
      <formula>AND(IF(OR($Q42=1,$Q42=2),1,0),IF($X42&lt;=20,1,0))</formula>
    </cfRule>
    <cfRule type="expression" dxfId="7046" priority="1444">
      <formula>AND(IF($Q42=2,1,0),IF($X42&lt;30,1,0))</formula>
    </cfRule>
    <cfRule type="expression" dxfId="7045" priority="1445">
      <formula>AND(IF($Q42=3,1,0),IF($X42&lt;30,1,0))</formula>
    </cfRule>
    <cfRule type="expression" dxfId="7044" priority="1446">
      <formula>AND(IF($Q42=3,1,IF($Q42=4,1,0)),IF($F42&lt;=85,1,0))</formula>
    </cfRule>
  </conditionalFormatting>
  <conditionalFormatting sqref="X42">
    <cfRule type="expression" dxfId="7043" priority="1439">
      <formula>AND(IF(OR($Q42=1,$Q42=2),1,0),IF($X42&lt;=20,1,0))</formula>
    </cfRule>
    <cfRule type="expression" dxfId="7042" priority="1440">
      <formula>AND(IF($Q42=2,1,0),IF($X42&lt;30,1,0))</formula>
    </cfRule>
    <cfRule type="expression" dxfId="7041" priority="1441">
      <formula>AND(IF($Q42=3,1,0),IF($X42&lt;30,1,0))</formula>
    </cfRule>
    <cfRule type="expression" dxfId="7040" priority="1442">
      <formula>AND(IF($Q42=3,1,IF($Q42=4,1,0)),IF($F42&lt;=85,1,0))</formula>
    </cfRule>
  </conditionalFormatting>
  <conditionalFormatting sqref="AI42">
    <cfRule type="expression" dxfId="7039" priority="1435">
      <formula>AND(IF(OR($Q42=1,$Q42=2),1,0),IF($X42&lt;=20,1,0))</formula>
    </cfRule>
    <cfRule type="expression" dxfId="7038" priority="1436">
      <formula>AND(IF($Q42=2,1,0),IF($X42&lt;30,1,0))</formula>
    </cfRule>
    <cfRule type="expression" dxfId="7037" priority="1437">
      <formula>AND(IF($Q42=3,1,0),IF($X42&lt;30,1,0))</formula>
    </cfRule>
    <cfRule type="expression" dxfId="7036" priority="1438">
      <formula>AND(IF($Q42=3,1,IF($Q42=4,1,0)),IF($F42&lt;=85,1,0))</formula>
    </cfRule>
  </conditionalFormatting>
  <conditionalFormatting sqref="AV43">
    <cfRule type="expression" dxfId="7035" priority="1433">
      <formula>AV43="X"</formula>
    </cfRule>
    <cfRule type="expression" dxfId="7034" priority="1434">
      <formula>AV43="후보"</formula>
    </cfRule>
  </conditionalFormatting>
  <conditionalFormatting sqref="Z43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033" priority="1430" operator="greaterThan">
      <formula>0.9</formula>
    </cfRule>
    <cfRule type="cellIs" dxfId="7032" priority="1431" operator="greaterThan">
      <formula>0.85</formula>
    </cfRule>
  </conditionalFormatting>
  <conditionalFormatting sqref="N43">
    <cfRule type="cellIs" dxfId="7031" priority="1428" operator="greaterThan">
      <formula>0.9</formula>
    </cfRule>
    <cfRule type="cellIs" dxfId="7030" priority="1429" operator="greaterThan">
      <formula>0.85</formula>
    </cfRule>
  </conditionalFormatting>
  <conditionalFormatting sqref="E43">
    <cfRule type="expression" dxfId="7029" priority="1424">
      <formula>AND(IF(OR($Q43=1,$Q43=2),1,0),IF($X43&lt;=20,1,0))</formula>
    </cfRule>
    <cfRule type="expression" dxfId="7028" priority="1425">
      <formula>AND(IF($Q43=2,1,0),IF($X43&lt;30,1,0))</formula>
    </cfRule>
    <cfRule type="expression" dxfId="7027" priority="1426">
      <formula>AND(IF($Q43=3,1,0),IF($X43&lt;30,1,0))</formula>
    </cfRule>
    <cfRule type="expression" dxfId="7026" priority="1427">
      <formula>AND(IF($Q43=3,1,IF($Q43=4,1,0)),IF($F43&lt;=85,1,0))</formula>
    </cfRule>
  </conditionalFormatting>
  <conditionalFormatting sqref="X43">
    <cfRule type="expression" dxfId="7025" priority="1420">
      <formula>AND(IF(OR($Q43=1,$Q43=2),1,0),IF($X43&lt;=20,1,0))</formula>
    </cfRule>
    <cfRule type="expression" dxfId="7024" priority="1421">
      <formula>AND(IF($Q43=2,1,0),IF($X43&lt;30,1,0))</formula>
    </cfRule>
    <cfRule type="expression" dxfId="7023" priority="1422">
      <formula>AND(IF($Q43=3,1,0),IF($X43&lt;30,1,0))</formula>
    </cfRule>
    <cfRule type="expression" dxfId="7022" priority="1423">
      <formula>AND(IF($Q43=3,1,IF($Q43=4,1,0)),IF($F43&lt;=85,1,0))</formula>
    </cfRule>
  </conditionalFormatting>
  <conditionalFormatting sqref="AI43">
    <cfRule type="expression" dxfId="7021" priority="1416">
      <formula>AND(IF(OR($Q43=1,$Q43=2),1,0),IF($X43&lt;=20,1,0))</formula>
    </cfRule>
    <cfRule type="expression" dxfId="7020" priority="1417">
      <formula>AND(IF($Q43=2,1,0),IF($X43&lt;30,1,0))</formula>
    </cfRule>
    <cfRule type="expression" dxfId="7019" priority="1418">
      <formula>AND(IF($Q43=3,1,0),IF($X43&lt;30,1,0))</formula>
    </cfRule>
    <cfRule type="expression" dxfId="7018" priority="1419">
      <formula>AND(IF($Q43=3,1,IF($Q43=4,1,0)),IF($F43&lt;=85,1,0))</formula>
    </cfRule>
  </conditionalFormatting>
  <conditionalFormatting sqref="AV44">
    <cfRule type="expression" dxfId="7017" priority="1414">
      <formula>AV44="X"</formula>
    </cfRule>
    <cfRule type="expression" dxfId="7016" priority="1415">
      <formula>AV44="후보"</formula>
    </cfRule>
  </conditionalFormatting>
  <conditionalFormatting sqref="Z44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015" priority="1411" operator="greaterThan">
      <formula>0.9</formula>
    </cfRule>
    <cfRule type="cellIs" dxfId="7014" priority="1412" operator="greaterThan">
      <formula>0.85</formula>
    </cfRule>
  </conditionalFormatting>
  <conditionalFormatting sqref="N44">
    <cfRule type="cellIs" dxfId="7013" priority="1409" operator="greaterThan">
      <formula>0.9</formula>
    </cfRule>
    <cfRule type="cellIs" dxfId="7012" priority="1410" operator="greaterThan">
      <formula>0.85</formula>
    </cfRule>
  </conditionalFormatting>
  <conditionalFormatting sqref="E44">
    <cfRule type="expression" dxfId="7011" priority="1405">
      <formula>AND(IF(OR($Q44=1,$Q44=2),1,0),IF($X44&lt;=20,1,0))</formula>
    </cfRule>
    <cfRule type="expression" dxfId="7010" priority="1406">
      <formula>AND(IF($Q44=2,1,0),IF($X44&lt;30,1,0))</formula>
    </cfRule>
    <cfRule type="expression" dxfId="7009" priority="1407">
      <formula>AND(IF($Q44=3,1,0),IF($X44&lt;30,1,0))</formula>
    </cfRule>
    <cfRule type="expression" dxfId="7008" priority="1408">
      <formula>AND(IF($Q44=3,1,IF($Q44=4,1,0)),IF($F44&lt;=85,1,0))</formula>
    </cfRule>
  </conditionalFormatting>
  <conditionalFormatting sqref="X44">
    <cfRule type="expression" dxfId="7007" priority="1401">
      <formula>AND(IF(OR($Q44=1,$Q44=2),1,0),IF($X44&lt;=20,1,0))</formula>
    </cfRule>
    <cfRule type="expression" dxfId="7006" priority="1402">
      <formula>AND(IF($Q44=2,1,0),IF($X44&lt;30,1,0))</formula>
    </cfRule>
    <cfRule type="expression" dxfId="7005" priority="1403">
      <formula>AND(IF($Q44=3,1,0),IF($X44&lt;30,1,0))</formula>
    </cfRule>
    <cfRule type="expression" dxfId="7004" priority="1404">
      <formula>AND(IF($Q44=3,1,IF($Q44=4,1,0)),IF($F44&lt;=85,1,0))</formula>
    </cfRule>
  </conditionalFormatting>
  <conditionalFormatting sqref="AI44">
    <cfRule type="expression" dxfId="7003" priority="1397">
      <formula>AND(IF(OR($Q44=1,$Q44=2),1,0),IF($X44&lt;=20,1,0))</formula>
    </cfRule>
    <cfRule type="expression" dxfId="7002" priority="1398">
      <formula>AND(IF($Q44=2,1,0),IF($X44&lt;30,1,0))</formula>
    </cfRule>
    <cfRule type="expression" dxfId="7001" priority="1399">
      <formula>AND(IF($Q44=3,1,0),IF($X44&lt;30,1,0))</formula>
    </cfRule>
    <cfRule type="expression" dxfId="7000" priority="1400">
      <formula>AND(IF($Q44=3,1,IF($Q44=4,1,0)),IF($F44&lt;=85,1,0))</formula>
    </cfRule>
  </conditionalFormatting>
  <conditionalFormatting sqref="AV45">
    <cfRule type="expression" dxfId="6999" priority="1395">
      <formula>AV45="X"</formula>
    </cfRule>
    <cfRule type="expression" dxfId="6998" priority="1396">
      <formula>AV45="후보"</formula>
    </cfRule>
  </conditionalFormatting>
  <conditionalFormatting sqref="Z45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6997" priority="1392" operator="greaterThan">
      <formula>0.9</formula>
    </cfRule>
    <cfRule type="cellIs" dxfId="6996" priority="1393" operator="greaterThan">
      <formula>0.85</formula>
    </cfRule>
  </conditionalFormatting>
  <conditionalFormatting sqref="N45">
    <cfRule type="cellIs" dxfId="6995" priority="1390" operator="greaterThan">
      <formula>0.9</formula>
    </cfRule>
    <cfRule type="cellIs" dxfId="6994" priority="1391" operator="greaterThan">
      <formula>0.85</formula>
    </cfRule>
  </conditionalFormatting>
  <conditionalFormatting sqref="E45">
    <cfRule type="expression" dxfId="6993" priority="1386">
      <formula>AND(IF(OR($Q45=1,$Q45=2),1,0),IF($X45&lt;=20,1,0))</formula>
    </cfRule>
    <cfRule type="expression" dxfId="6992" priority="1387">
      <formula>AND(IF($Q45=2,1,0),IF($X45&lt;30,1,0))</formula>
    </cfRule>
    <cfRule type="expression" dxfId="6991" priority="1388">
      <formula>AND(IF($Q45=3,1,0),IF($X45&lt;30,1,0))</formula>
    </cfRule>
    <cfRule type="expression" dxfId="6990" priority="1389">
      <formula>AND(IF($Q45=3,1,IF($Q45=4,1,0)),IF($F45&lt;=85,1,0))</formula>
    </cfRule>
  </conditionalFormatting>
  <conditionalFormatting sqref="X45">
    <cfRule type="expression" dxfId="6989" priority="1382">
      <formula>AND(IF(OR($Q45=1,$Q45=2),1,0),IF($X45&lt;=20,1,0))</formula>
    </cfRule>
    <cfRule type="expression" dxfId="6988" priority="1383">
      <formula>AND(IF($Q45=2,1,0),IF($X45&lt;30,1,0))</formula>
    </cfRule>
    <cfRule type="expression" dxfId="6987" priority="1384">
      <formula>AND(IF($Q45=3,1,0),IF($X45&lt;30,1,0))</formula>
    </cfRule>
    <cfRule type="expression" dxfId="6986" priority="1385">
      <formula>AND(IF($Q45=3,1,IF($Q45=4,1,0)),IF($F45&lt;=85,1,0))</formula>
    </cfRule>
  </conditionalFormatting>
  <conditionalFormatting sqref="AI45">
    <cfRule type="expression" dxfId="6985" priority="1378">
      <formula>AND(IF(OR($Q45=1,$Q45=2),1,0),IF($X45&lt;=20,1,0))</formula>
    </cfRule>
    <cfRule type="expression" dxfId="6984" priority="1379">
      <formula>AND(IF($Q45=2,1,0),IF($X45&lt;30,1,0))</formula>
    </cfRule>
    <cfRule type="expression" dxfId="6983" priority="1380">
      <formula>AND(IF($Q45=3,1,0),IF($X45&lt;30,1,0))</formula>
    </cfRule>
    <cfRule type="expression" dxfId="6982" priority="1381">
      <formula>AND(IF($Q45=3,1,IF($Q45=4,1,0)),IF($F45&lt;=85,1,0))</formula>
    </cfRule>
  </conditionalFormatting>
  <conditionalFormatting sqref="AV46">
    <cfRule type="expression" dxfId="6981" priority="1376">
      <formula>AV46="X"</formula>
    </cfRule>
    <cfRule type="expression" dxfId="6980" priority="1377">
      <formula>AV46="후보"</formula>
    </cfRule>
  </conditionalFormatting>
  <conditionalFormatting sqref="Z46">
    <cfRule type="colorScale" priority="1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6979" priority="1373" operator="greaterThan">
      <formula>0.9</formula>
    </cfRule>
    <cfRule type="cellIs" dxfId="6978" priority="1374" operator="greaterThan">
      <formula>0.85</formula>
    </cfRule>
  </conditionalFormatting>
  <conditionalFormatting sqref="AV47">
    <cfRule type="expression" dxfId="6977" priority="1371">
      <formula>AV47="X"</formula>
    </cfRule>
    <cfRule type="expression" dxfId="6976" priority="1372">
      <formula>AV47="후보"</formula>
    </cfRule>
  </conditionalFormatting>
  <conditionalFormatting sqref="Z47">
    <cfRule type="colorScale" priority="1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6975" priority="1368" operator="greaterThan">
      <formula>0.9</formula>
    </cfRule>
    <cfRule type="cellIs" dxfId="6974" priority="1369" operator="greaterThan">
      <formula>0.85</formula>
    </cfRule>
  </conditionalFormatting>
  <conditionalFormatting sqref="N47">
    <cfRule type="cellIs" dxfId="6973" priority="1366" operator="greaterThan">
      <formula>0.9</formula>
    </cfRule>
    <cfRule type="cellIs" dxfId="6972" priority="1367" operator="greaterThan">
      <formula>0.85</formula>
    </cfRule>
  </conditionalFormatting>
  <conditionalFormatting sqref="E47">
    <cfRule type="expression" dxfId="6971" priority="1362">
      <formula>AND(IF(OR($Q47=1,$Q47=2),1,0),IF($X47&lt;=20,1,0))</formula>
    </cfRule>
    <cfRule type="expression" dxfId="6970" priority="1363">
      <formula>AND(IF($Q47=2,1,0),IF($X47&lt;30,1,0))</formula>
    </cfRule>
    <cfRule type="expression" dxfId="6969" priority="1364">
      <formula>AND(IF($Q47=3,1,0),IF($X47&lt;30,1,0))</formula>
    </cfRule>
    <cfRule type="expression" dxfId="6968" priority="1365">
      <formula>AND(IF($Q47=3,1,IF($Q47=4,1,0)),IF($F47&lt;=85,1,0))</formula>
    </cfRule>
  </conditionalFormatting>
  <conditionalFormatting sqref="X47">
    <cfRule type="expression" dxfId="6967" priority="1358">
      <formula>AND(IF(OR($Q47=1,$Q47=2),1,0),IF($X47&lt;=20,1,0))</formula>
    </cfRule>
    <cfRule type="expression" dxfId="6966" priority="1359">
      <formula>AND(IF($Q47=2,1,0),IF($X47&lt;30,1,0))</formula>
    </cfRule>
    <cfRule type="expression" dxfId="6965" priority="1360">
      <formula>AND(IF($Q47=3,1,0),IF($X47&lt;30,1,0))</formula>
    </cfRule>
    <cfRule type="expression" dxfId="6964" priority="1361">
      <formula>AND(IF($Q47=3,1,IF($Q47=4,1,0)),IF($F47&lt;=85,1,0))</formula>
    </cfRule>
  </conditionalFormatting>
  <conditionalFormatting sqref="AI47">
    <cfRule type="expression" dxfId="6963" priority="1354">
      <formula>AND(IF(OR($Q47=1,$Q47=2),1,0),IF($X47&lt;=20,1,0))</formula>
    </cfRule>
    <cfRule type="expression" dxfId="6962" priority="1355">
      <formula>AND(IF($Q47=2,1,0),IF($X47&lt;30,1,0))</formula>
    </cfRule>
    <cfRule type="expression" dxfId="6961" priority="1356">
      <formula>AND(IF($Q47=3,1,0),IF($X47&lt;30,1,0))</formula>
    </cfRule>
    <cfRule type="expression" dxfId="6960" priority="1357">
      <formula>AND(IF($Q47=3,1,IF($Q47=4,1,0)),IF($F47&lt;=85,1,0))</formula>
    </cfRule>
  </conditionalFormatting>
  <conditionalFormatting sqref="AV48">
    <cfRule type="expression" dxfId="6959" priority="1352">
      <formula>AV48="X"</formula>
    </cfRule>
    <cfRule type="expression" dxfId="6958" priority="1353">
      <formula>AV48="후보"</formula>
    </cfRule>
  </conditionalFormatting>
  <conditionalFormatting sqref="Z48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6957" priority="1349" operator="greaterThan">
      <formula>0.9</formula>
    </cfRule>
    <cfRule type="cellIs" dxfId="6956" priority="1350" operator="greaterThan">
      <formula>0.85</formula>
    </cfRule>
  </conditionalFormatting>
  <conditionalFormatting sqref="N48">
    <cfRule type="cellIs" dxfId="6955" priority="1347" operator="greaterThan">
      <formula>0.9</formula>
    </cfRule>
    <cfRule type="cellIs" dxfId="6954" priority="1348" operator="greaterThan">
      <formula>0.85</formula>
    </cfRule>
  </conditionalFormatting>
  <conditionalFormatting sqref="E48">
    <cfRule type="expression" dxfId="6953" priority="1343">
      <formula>AND(IF(OR($Q48=1,$Q48=2),1,0),IF($X48&lt;=20,1,0))</formula>
    </cfRule>
    <cfRule type="expression" dxfId="6952" priority="1344">
      <formula>AND(IF($Q48=2,1,0),IF($X48&lt;30,1,0))</formula>
    </cfRule>
    <cfRule type="expression" dxfId="6951" priority="1345">
      <formula>AND(IF($Q48=3,1,0),IF($X48&lt;30,1,0))</formula>
    </cfRule>
    <cfRule type="expression" dxfId="6950" priority="1346">
      <formula>AND(IF($Q48=3,1,IF($Q48=4,1,0)),IF($F48&lt;=85,1,0))</formula>
    </cfRule>
  </conditionalFormatting>
  <conditionalFormatting sqref="X48">
    <cfRule type="expression" dxfId="6949" priority="1339">
      <formula>AND(IF(OR($Q48=1,$Q48=2),1,0),IF($X48&lt;=20,1,0))</formula>
    </cfRule>
    <cfRule type="expression" dxfId="6948" priority="1340">
      <formula>AND(IF($Q48=2,1,0),IF($X48&lt;30,1,0))</formula>
    </cfRule>
    <cfRule type="expression" dxfId="6947" priority="1341">
      <formula>AND(IF($Q48=3,1,0),IF($X48&lt;30,1,0))</formula>
    </cfRule>
    <cfRule type="expression" dxfId="6946" priority="1342">
      <formula>AND(IF($Q48=3,1,IF($Q48=4,1,0)),IF($F48&lt;=85,1,0))</formula>
    </cfRule>
  </conditionalFormatting>
  <conditionalFormatting sqref="AI48">
    <cfRule type="expression" dxfId="6945" priority="1335">
      <formula>AND(IF(OR($Q48=1,$Q48=2),1,0),IF($X48&lt;=20,1,0))</formula>
    </cfRule>
    <cfRule type="expression" dxfId="6944" priority="1336">
      <formula>AND(IF($Q48=2,1,0),IF($X48&lt;30,1,0))</formula>
    </cfRule>
    <cfRule type="expression" dxfId="6943" priority="1337">
      <formula>AND(IF($Q48=3,1,0),IF($X48&lt;30,1,0))</formula>
    </cfRule>
    <cfRule type="expression" dxfId="6942" priority="1338">
      <formula>AND(IF($Q48=3,1,IF($Q48=4,1,0)),IF($F48&lt;=85,1,0))</formula>
    </cfRule>
  </conditionalFormatting>
  <conditionalFormatting sqref="AV49">
    <cfRule type="expression" dxfId="6941" priority="1333">
      <formula>AV49="X"</formula>
    </cfRule>
    <cfRule type="expression" dxfId="6940" priority="1334">
      <formula>AV49="후보"</formula>
    </cfRule>
  </conditionalFormatting>
  <conditionalFormatting sqref="Z49">
    <cfRule type="colorScale" priority="1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6939" priority="1330" operator="greaterThan">
      <formula>0.9</formula>
    </cfRule>
    <cfRule type="cellIs" dxfId="6938" priority="1331" operator="greaterThan">
      <formula>0.85</formula>
    </cfRule>
  </conditionalFormatting>
  <conditionalFormatting sqref="AV50">
    <cfRule type="expression" dxfId="6937" priority="1328">
      <formula>AV50="X"</formula>
    </cfRule>
    <cfRule type="expression" dxfId="6936" priority="1329">
      <formula>AV50="후보"</formula>
    </cfRule>
  </conditionalFormatting>
  <conditionalFormatting sqref="Z50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6935" priority="1325" operator="greaterThan">
      <formula>0.9</formula>
    </cfRule>
    <cfRule type="cellIs" dxfId="6934" priority="1326" operator="greaterThan">
      <formula>0.85</formula>
    </cfRule>
  </conditionalFormatting>
  <conditionalFormatting sqref="N50">
    <cfRule type="cellIs" dxfId="6933" priority="1323" operator="greaterThan">
      <formula>0.9</formula>
    </cfRule>
    <cfRule type="cellIs" dxfId="6932" priority="1324" operator="greaterThan">
      <formula>0.85</formula>
    </cfRule>
  </conditionalFormatting>
  <conditionalFormatting sqref="E50">
    <cfRule type="expression" dxfId="6931" priority="1319">
      <formula>AND(IF(OR($Q50=1,$Q50=2),1,0),IF($X50&lt;=20,1,0))</formula>
    </cfRule>
    <cfRule type="expression" dxfId="6930" priority="1320">
      <formula>AND(IF($Q50=2,1,0),IF($X50&lt;30,1,0))</formula>
    </cfRule>
    <cfRule type="expression" dxfId="6929" priority="1321">
      <formula>AND(IF($Q50=3,1,0),IF($X50&lt;30,1,0))</formula>
    </cfRule>
    <cfRule type="expression" dxfId="6928" priority="1322">
      <formula>AND(IF($Q50=3,1,IF($Q50=4,1,0)),IF($F50&lt;=85,1,0))</formula>
    </cfRule>
  </conditionalFormatting>
  <conditionalFormatting sqref="X50">
    <cfRule type="expression" dxfId="6927" priority="1315">
      <formula>AND(IF(OR($Q50=1,$Q50=2),1,0),IF($X50&lt;=20,1,0))</formula>
    </cfRule>
    <cfRule type="expression" dxfId="6926" priority="1316">
      <formula>AND(IF($Q50=2,1,0),IF($X50&lt;30,1,0))</formula>
    </cfRule>
    <cfRule type="expression" dxfId="6925" priority="1317">
      <formula>AND(IF($Q50=3,1,0),IF($X50&lt;30,1,0))</formula>
    </cfRule>
    <cfRule type="expression" dxfId="6924" priority="1318">
      <formula>AND(IF($Q50=3,1,IF($Q50=4,1,0)),IF($F50&lt;=85,1,0))</formula>
    </cfRule>
  </conditionalFormatting>
  <conditionalFormatting sqref="AI50">
    <cfRule type="expression" dxfId="6923" priority="1311">
      <formula>AND(IF(OR($Q50=1,$Q50=2),1,0),IF($X50&lt;=20,1,0))</formula>
    </cfRule>
    <cfRule type="expression" dxfId="6922" priority="1312">
      <formula>AND(IF($Q50=2,1,0),IF($X50&lt;30,1,0))</formula>
    </cfRule>
    <cfRule type="expression" dxfId="6921" priority="1313">
      <formula>AND(IF($Q50=3,1,0),IF($X50&lt;30,1,0))</formula>
    </cfRule>
    <cfRule type="expression" dxfId="6920" priority="1314">
      <formula>AND(IF($Q50=3,1,IF($Q50=4,1,0)),IF($F50&lt;=85,1,0))</formula>
    </cfRule>
  </conditionalFormatting>
  <conditionalFormatting sqref="AV51">
    <cfRule type="expression" dxfId="6919" priority="1309">
      <formula>AV51="X"</formula>
    </cfRule>
    <cfRule type="expression" dxfId="6918" priority="1310">
      <formula>AV51="후보"</formula>
    </cfRule>
  </conditionalFormatting>
  <conditionalFormatting sqref="Z51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6917" priority="1306" operator="greaterThan">
      <formula>0.9</formula>
    </cfRule>
    <cfRule type="cellIs" dxfId="6916" priority="1307" operator="greaterThan">
      <formula>0.85</formula>
    </cfRule>
  </conditionalFormatting>
  <conditionalFormatting sqref="N51">
    <cfRule type="cellIs" dxfId="6915" priority="1304" operator="greaterThan">
      <formula>0.9</formula>
    </cfRule>
    <cfRule type="cellIs" dxfId="6914" priority="1305" operator="greaterThan">
      <formula>0.85</formula>
    </cfRule>
  </conditionalFormatting>
  <conditionalFormatting sqref="E51">
    <cfRule type="expression" dxfId="6913" priority="1300">
      <formula>AND(IF(OR($Q51=1,$Q51=2),1,0),IF($X51&lt;=20,1,0))</formula>
    </cfRule>
    <cfRule type="expression" dxfId="6912" priority="1301">
      <formula>AND(IF($Q51=2,1,0),IF($X51&lt;30,1,0))</formula>
    </cfRule>
    <cfRule type="expression" dxfId="6911" priority="1302">
      <formula>AND(IF($Q51=3,1,0),IF($X51&lt;30,1,0))</formula>
    </cfRule>
    <cfRule type="expression" dxfId="6910" priority="1303">
      <formula>AND(IF($Q51=3,1,IF($Q51=4,1,0)),IF($F51&lt;=85,1,0))</formula>
    </cfRule>
  </conditionalFormatting>
  <conditionalFormatting sqref="X51">
    <cfRule type="expression" dxfId="6909" priority="1296">
      <formula>AND(IF(OR($Q51=1,$Q51=2),1,0),IF($X51&lt;=20,1,0))</formula>
    </cfRule>
    <cfRule type="expression" dxfId="6908" priority="1297">
      <formula>AND(IF($Q51=2,1,0),IF($X51&lt;30,1,0))</formula>
    </cfRule>
    <cfRule type="expression" dxfId="6907" priority="1298">
      <formula>AND(IF($Q51=3,1,0),IF($X51&lt;30,1,0))</formula>
    </cfRule>
    <cfRule type="expression" dxfId="6906" priority="1299">
      <formula>AND(IF($Q51=3,1,IF($Q51=4,1,0)),IF($F51&lt;=85,1,0))</formula>
    </cfRule>
  </conditionalFormatting>
  <conditionalFormatting sqref="AI51">
    <cfRule type="expression" dxfId="6905" priority="1292">
      <formula>AND(IF(OR($Q51=1,$Q51=2),1,0),IF($X51&lt;=20,1,0))</formula>
    </cfRule>
    <cfRule type="expression" dxfId="6904" priority="1293">
      <formula>AND(IF($Q51=2,1,0),IF($X51&lt;30,1,0))</formula>
    </cfRule>
    <cfRule type="expression" dxfId="6903" priority="1294">
      <formula>AND(IF($Q51=3,1,0),IF($X51&lt;30,1,0))</formula>
    </cfRule>
    <cfRule type="expression" dxfId="6902" priority="1295">
      <formula>AND(IF($Q51=3,1,IF($Q51=4,1,0)),IF($F51&lt;=85,1,0))</formula>
    </cfRule>
  </conditionalFormatting>
  <conditionalFormatting sqref="AV52">
    <cfRule type="expression" dxfId="6901" priority="1290">
      <formula>AV52="X"</formula>
    </cfRule>
    <cfRule type="expression" dxfId="6900" priority="1291">
      <formula>AV52="후보"</formula>
    </cfRule>
  </conditionalFormatting>
  <conditionalFormatting sqref="Z52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6899" priority="1287" operator="greaterThan">
      <formula>0.9</formula>
    </cfRule>
    <cfRule type="cellIs" dxfId="6898" priority="1288" operator="greaterThan">
      <formula>0.85</formula>
    </cfRule>
  </conditionalFormatting>
  <conditionalFormatting sqref="N52">
    <cfRule type="cellIs" dxfId="6897" priority="1285" operator="greaterThan">
      <formula>0.9</formula>
    </cfRule>
    <cfRule type="cellIs" dxfId="6896" priority="1286" operator="greaterThan">
      <formula>0.85</formula>
    </cfRule>
  </conditionalFormatting>
  <conditionalFormatting sqref="E52">
    <cfRule type="expression" dxfId="6895" priority="1281">
      <formula>AND(IF(OR($Q52=1,$Q52=2),1,0),IF($X52&lt;=20,1,0))</formula>
    </cfRule>
    <cfRule type="expression" dxfId="6894" priority="1282">
      <formula>AND(IF($Q52=2,1,0),IF($X52&lt;30,1,0))</formula>
    </cfRule>
    <cfRule type="expression" dxfId="6893" priority="1283">
      <formula>AND(IF($Q52=3,1,0),IF($X52&lt;30,1,0))</formula>
    </cfRule>
    <cfRule type="expression" dxfId="6892" priority="1284">
      <formula>AND(IF($Q52=3,1,IF($Q52=4,1,0)),IF($F52&lt;=85,1,0))</formula>
    </cfRule>
  </conditionalFormatting>
  <conditionalFormatting sqref="X52">
    <cfRule type="expression" dxfId="6891" priority="1277">
      <formula>AND(IF(OR($Q52=1,$Q52=2),1,0),IF($X52&lt;=20,1,0))</formula>
    </cfRule>
    <cfRule type="expression" dxfId="6890" priority="1278">
      <formula>AND(IF($Q52=2,1,0),IF($X52&lt;30,1,0))</formula>
    </cfRule>
    <cfRule type="expression" dxfId="6889" priority="1279">
      <formula>AND(IF($Q52=3,1,0),IF($X52&lt;30,1,0))</formula>
    </cfRule>
    <cfRule type="expression" dxfId="6888" priority="1280">
      <formula>AND(IF($Q52=3,1,IF($Q52=4,1,0)),IF($F52&lt;=85,1,0))</formula>
    </cfRule>
  </conditionalFormatting>
  <conditionalFormatting sqref="AI52">
    <cfRule type="expression" dxfId="6887" priority="1273">
      <formula>AND(IF(OR($Q52=1,$Q52=2),1,0),IF($X52&lt;=20,1,0))</formula>
    </cfRule>
    <cfRule type="expression" dxfId="6886" priority="1274">
      <formula>AND(IF($Q52=2,1,0),IF($X52&lt;30,1,0))</formula>
    </cfRule>
    <cfRule type="expression" dxfId="6885" priority="1275">
      <formula>AND(IF($Q52=3,1,0),IF($X52&lt;30,1,0))</formula>
    </cfRule>
    <cfRule type="expression" dxfId="6884" priority="1276">
      <formula>AND(IF($Q52=3,1,IF($Q52=4,1,0)),IF($F52&lt;=85,1,0))</formula>
    </cfRule>
  </conditionalFormatting>
  <conditionalFormatting sqref="AV53">
    <cfRule type="expression" dxfId="6883" priority="1271">
      <formula>AV53="X"</formula>
    </cfRule>
    <cfRule type="expression" dxfId="6882" priority="1272">
      <formula>AV53="후보"</formula>
    </cfRule>
  </conditionalFormatting>
  <conditionalFormatting sqref="Z53">
    <cfRule type="colorScale" priority="1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6881" priority="1268" operator="greaterThan">
      <formula>0.9</formula>
    </cfRule>
    <cfRule type="cellIs" dxfId="6880" priority="1269" operator="greaterThan">
      <formula>0.85</formula>
    </cfRule>
  </conditionalFormatting>
  <conditionalFormatting sqref="N53">
    <cfRule type="cellIs" dxfId="6879" priority="1266" operator="greaterThan">
      <formula>0.9</formula>
    </cfRule>
    <cfRule type="cellIs" dxfId="6878" priority="1267" operator="greaterThan">
      <formula>0.85</formula>
    </cfRule>
  </conditionalFormatting>
  <conditionalFormatting sqref="E53">
    <cfRule type="expression" dxfId="6877" priority="1262">
      <formula>AND(IF(OR($Q53=1,$Q53=2),1,0),IF($X53&lt;=20,1,0))</formula>
    </cfRule>
    <cfRule type="expression" dxfId="6876" priority="1263">
      <formula>AND(IF($Q53=2,1,0),IF($X53&lt;30,1,0))</formula>
    </cfRule>
    <cfRule type="expression" dxfId="6875" priority="1264">
      <formula>AND(IF($Q53=3,1,0),IF($X53&lt;30,1,0))</formula>
    </cfRule>
    <cfRule type="expression" dxfId="6874" priority="1265">
      <formula>AND(IF($Q53=3,1,IF($Q53=4,1,0)),IF($F53&lt;=85,1,0))</formula>
    </cfRule>
  </conditionalFormatting>
  <conditionalFormatting sqref="X53">
    <cfRule type="expression" dxfId="6873" priority="1258">
      <formula>AND(IF(OR($Q53=1,$Q53=2),1,0),IF($X53&lt;=20,1,0))</formula>
    </cfRule>
    <cfRule type="expression" dxfId="6872" priority="1259">
      <formula>AND(IF($Q53=2,1,0),IF($X53&lt;30,1,0))</formula>
    </cfRule>
    <cfRule type="expression" dxfId="6871" priority="1260">
      <formula>AND(IF($Q53=3,1,0),IF($X53&lt;30,1,0))</formula>
    </cfRule>
    <cfRule type="expression" dxfId="6870" priority="1261">
      <formula>AND(IF($Q53=3,1,IF($Q53=4,1,0)),IF($F53&lt;=85,1,0))</formula>
    </cfRule>
  </conditionalFormatting>
  <conditionalFormatting sqref="AI53">
    <cfRule type="expression" dxfId="6869" priority="1254">
      <formula>AND(IF(OR($Q53=1,$Q53=2),1,0),IF($X53&lt;=20,1,0))</formula>
    </cfRule>
    <cfRule type="expression" dxfId="6868" priority="1255">
      <formula>AND(IF($Q53=2,1,0),IF($X53&lt;30,1,0))</formula>
    </cfRule>
    <cfRule type="expression" dxfId="6867" priority="1256">
      <formula>AND(IF($Q53=3,1,0),IF($X53&lt;30,1,0))</formula>
    </cfRule>
    <cfRule type="expression" dxfId="6866" priority="1257">
      <formula>AND(IF($Q53=3,1,IF($Q53=4,1,0)),IF($F53&lt;=85,1,0))</formula>
    </cfRule>
  </conditionalFormatting>
  <conditionalFormatting sqref="AV54">
    <cfRule type="expression" dxfId="6865" priority="1252">
      <formula>AV54="X"</formula>
    </cfRule>
    <cfRule type="expression" dxfId="6864" priority="1253">
      <formula>AV54="후보"</formula>
    </cfRule>
  </conditionalFormatting>
  <conditionalFormatting sqref="Z54">
    <cfRule type="colorScale" priority="1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6863" priority="1249" operator="greaterThan">
      <formula>0.9</formula>
    </cfRule>
    <cfRule type="cellIs" dxfId="6862" priority="1250" operator="greaterThan">
      <formula>0.85</formula>
    </cfRule>
  </conditionalFormatting>
  <conditionalFormatting sqref="N54">
    <cfRule type="cellIs" dxfId="6861" priority="1247" operator="greaterThan">
      <formula>0.9</formula>
    </cfRule>
    <cfRule type="cellIs" dxfId="6860" priority="1248" operator="greaterThan">
      <formula>0.85</formula>
    </cfRule>
  </conditionalFormatting>
  <conditionalFormatting sqref="E54">
    <cfRule type="expression" dxfId="6859" priority="1243">
      <formula>AND(IF(OR($Q54=1,$Q54=2),1,0),IF($X54&lt;=20,1,0))</formula>
    </cfRule>
    <cfRule type="expression" dxfId="6858" priority="1244">
      <formula>AND(IF($Q54=2,1,0),IF($X54&lt;30,1,0))</formula>
    </cfRule>
    <cfRule type="expression" dxfId="6857" priority="1245">
      <formula>AND(IF($Q54=3,1,0),IF($X54&lt;30,1,0))</formula>
    </cfRule>
    <cfRule type="expression" dxfId="6856" priority="1246">
      <formula>AND(IF($Q54=3,1,IF($Q54=4,1,0)),IF($F54&lt;=85,1,0))</formula>
    </cfRule>
  </conditionalFormatting>
  <conditionalFormatting sqref="X54">
    <cfRule type="expression" dxfId="6855" priority="1239">
      <formula>AND(IF(OR($Q54=1,$Q54=2),1,0),IF($X54&lt;=20,1,0))</formula>
    </cfRule>
    <cfRule type="expression" dxfId="6854" priority="1240">
      <formula>AND(IF($Q54=2,1,0),IF($X54&lt;30,1,0))</formula>
    </cfRule>
    <cfRule type="expression" dxfId="6853" priority="1241">
      <formula>AND(IF($Q54=3,1,0),IF($X54&lt;30,1,0))</formula>
    </cfRule>
    <cfRule type="expression" dxfId="6852" priority="1242">
      <formula>AND(IF($Q54=3,1,IF($Q54=4,1,0)),IF($F54&lt;=85,1,0))</formula>
    </cfRule>
  </conditionalFormatting>
  <conditionalFormatting sqref="AI54">
    <cfRule type="expression" dxfId="6851" priority="1235">
      <formula>AND(IF(OR($Q54=1,$Q54=2),1,0),IF($X54&lt;=20,1,0))</formula>
    </cfRule>
    <cfRule type="expression" dxfId="6850" priority="1236">
      <formula>AND(IF($Q54=2,1,0),IF($X54&lt;30,1,0))</formula>
    </cfRule>
    <cfRule type="expression" dxfId="6849" priority="1237">
      <formula>AND(IF($Q54=3,1,0),IF($X54&lt;30,1,0))</formula>
    </cfRule>
    <cfRule type="expression" dxfId="6848" priority="1238">
      <formula>AND(IF($Q54=3,1,IF($Q54=4,1,0)),IF($F54&lt;=85,1,0))</formula>
    </cfRule>
  </conditionalFormatting>
  <conditionalFormatting sqref="AV55">
    <cfRule type="expression" dxfId="6847" priority="1233">
      <formula>AV55="X"</formula>
    </cfRule>
    <cfRule type="expression" dxfId="6846" priority="1234">
      <formula>AV55="후보"</formula>
    </cfRule>
  </conditionalFormatting>
  <conditionalFormatting sqref="Z55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6845" priority="1230" operator="greaterThan">
      <formula>0.9</formula>
    </cfRule>
    <cfRule type="cellIs" dxfId="6844" priority="1231" operator="greaterThan">
      <formula>0.85</formula>
    </cfRule>
  </conditionalFormatting>
  <conditionalFormatting sqref="N55">
    <cfRule type="cellIs" dxfId="6843" priority="1228" operator="greaterThan">
      <formula>0.9</formula>
    </cfRule>
    <cfRule type="cellIs" dxfId="6842" priority="1229" operator="greaterThan">
      <formula>0.85</formula>
    </cfRule>
  </conditionalFormatting>
  <conditionalFormatting sqref="E55">
    <cfRule type="expression" dxfId="6841" priority="1224">
      <formula>AND(IF(OR($Q55=1,$Q55=2),1,0),IF($X55&lt;=20,1,0))</formula>
    </cfRule>
    <cfRule type="expression" dxfId="6840" priority="1225">
      <formula>AND(IF($Q55=2,1,0),IF($X55&lt;30,1,0))</formula>
    </cfRule>
    <cfRule type="expression" dxfId="6839" priority="1226">
      <formula>AND(IF($Q55=3,1,0),IF($X55&lt;30,1,0))</formula>
    </cfRule>
    <cfRule type="expression" dxfId="6838" priority="1227">
      <formula>AND(IF($Q55=3,1,IF($Q55=4,1,0)),IF($F55&lt;=85,1,0))</formula>
    </cfRule>
  </conditionalFormatting>
  <conditionalFormatting sqref="X55">
    <cfRule type="expression" dxfId="6837" priority="1220">
      <formula>AND(IF(OR($Q55=1,$Q55=2),1,0),IF($X55&lt;=20,1,0))</formula>
    </cfRule>
    <cfRule type="expression" dxfId="6836" priority="1221">
      <formula>AND(IF($Q55=2,1,0),IF($X55&lt;30,1,0))</formula>
    </cfRule>
    <cfRule type="expression" dxfId="6835" priority="1222">
      <formula>AND(IF($Q55=3,1,0),IF($X55&lt;30,1,0))</formula>
    </cfRule>
    <cfRule type="expression" dxfId="6834" priority="1223">
      <formula>AND(IF($Q55=3,1,IF($Q55=4,1,0)),IF($F55&lt;=85,1,0))</formula>
    </cfRule>
  </conditionalFormatting>
  <conditionalFormatting sqref="AI55">
    <cfRule type="expression" dxfId="6833" priority="1216">
      <formula>AND(IF(OR($Q55=1,$Q55=2),1,0),IF($X55&lt;=20,1,0))</formula>
    </cfRule>
    <cfRule type="expression" dxfId="6832" priority="1217">
      <formula>AND(IF($Q55=2,1,0),IF($X55&lt;30,1,0))</formula>
    </cfRule>
    <cfRule type="expression" dxfId="6831" priority="1218">
      <formula>AND(IF($Q55=3,1,0),IF($X55&lt;30,1,0))</formula>
    </cfRule>
    <cfRule type="expression" dxfId="6830" priority="1219">
      <formula>AND(IF($Q55=3,1,IF($Q55=4,1,0)),IF($F55&lt;=85,1,0))</formula>
    </cfRule>
  </conditionalFormatting>
  <conditionalFormatting sqref="AV56">
    <cfRule type="expression" dxfId="6829" priority="1214">
      <formula>AV56="X"</formula>
    </cfRule>
    <cfRule type="expression" dxfId="6828" priority="1215">
      <formula>AV56="후보"</formula>
    </cfRule>
  </conditionalFormatting>
  <conditionalFormatting sqref="Z56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6827" priority="1211" operator="greaterThan">
      <formula>0.9</formula>
    </cfRule>
    <cfRule type="cellIs" dxfId="6826" priority="1212" operator="greaterThan">
      <formula>0.85</formula>
    </cfRule>
  </conditionalFormatting>
  <conditionalFormatting sqref="AV57">
    <cfRule type="expression" dxfId="6825" priority="1209">
      <formula>AV57="X"</formula>
    </cfRule>
    <cfRule type="expression" dxfId="6824" priority="1210">
      <formula>AV57="후보"</formula>
    </cfRule>
  </conditionalFormatting>
  <conditionalFormatting sqref="Z57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6823" priority="1206" operator="greaterThan">
      <formula>0.9</formula>
    </cfRule>
    <cfRule type="cellIs" dxfId="6822" priority="1207" operator="greaterThan">
      <formula>0.85</formula>
    </cfRule>
  </conditionalFormatting>
  <conditionalFormatting sqref="N57">
    <cfRule type="cellIs" dxfId="6821" priority="1204" operator="greaterThan">
      <formula>0.9</formula>
    </cfRule>
    <cfRule type="cellIs" dxfId="6820" priority="1205" operator="greaterThan">
      <formula>0.85</formula>
    </cfRule>
  </conditionalFormatting>
  <conditionalFormatting sqref="E57">
    <cfRule type="expression" dxfId="6819" priority="1200">
      <formula>AND(IF(OR($Q57=1,$Q57=2),1,0),IF($X57&lt;=20,1,0))</formula>
    </cfRule>
    <cfRule type="expression" dxfId="6818" priority="1201">
      <formula>AND(IF($Q57=2,1,0),IF($X57&lt;30,1,0))</formula>
    </cfRule>
    <cfRule type="expression" dxfId="6817" priority="1202">
      <formula>AND(IF($Q57=3,1,0),IF($X57&lt;30,1,0))</formula>
    </cfRule>
    <cfRule type="expression" dxfId="6816" priority="1203">
      <formula>AND(IF($Q57=3,1,IF($Q57=4,1,0)),IF($F57&lt;=85,1,0))</formula>
    </cfRule>
  </conditionalFormatting>
  <conditionalFormatting sqref="X57">
    <cfRule type="expression" dxfId="6815" priority="1196">
      <formula>AND(IF(OR($Q57=1,$Q57=2),1,0),IF($X57&lt;=20,1,0))</formula>
    </cfRule>
    <cfRule type="expression" dxfId="6814" priority="1197">
      <formula>AND(IF($Q57=2,1,0),IF($X57&lt;30,1,0))</formula>
    </cfRule>
    <cfRule type="expression" dxfId="6813" priority="1198">
      <formula>AND(IF($Q57=3,1,0),IF($X57&lt;30,1,0))</formula>
    </cfRule>
    <cfRule type="expression" dxfId="6812" priority="1199">
      <formula>AND(IF($Q57=3,1,IF($Q57=4,1,0)),IF($F57&lt;=85,1,0))</formula>
    </cfRule>
  </conditionalFormatting>
  <conditionalFormatting sqref="AI57">
    <cfRule type="expression" dxfId="6811" priority="1192">
      <formula>AND(IF(OR($Q57=1,$Q57=2),1,0),IF($X57&lt;=20,1,0))</formula>
    </cfRule>
    <cfRule type="expression" dxfId="6810" priority="1193">
      <formula>AND(IF($Q57=2,1,0),IF($X57&lt;30,1,0))</formula>
    </cfRule>
    <cfRule type="expression" dxfId="6809" priority="1194">
      <formula>AND(IF($Q57=3,1,0),IF($X57&lt;30,1,0))</formula>
    </cfRule>
    <cfRule type="expression" dxfId="6808" priority="1195">
      <formula>AND(IF($Q57=3,1,IF($Q57=4,1,0)),IF($F57&lt;=85,1,0))</formula>
    </cfRule>
  </conditionalFormatting>
  <conditionalFormatting sqref="AV58">
    <cfRule type="expression" dxfId="6807" priority="1190">
      <formula>AV58="X"</formula>
    </cfRule>
    <cfRule type="expression" dxfId="6806" priority="1191">
      <formula>AV58="후보"</formula>
    </cfRule>
  </conditionalFormatting>
  <conditionalFormatting sqref="Z58">
    <cfRule type="colorScale" priority="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6805" priority="1187" operator="greaterThan">
      <formula>0.9</formula>
    </cfRule>
    <cfRule type="cellIs" dxfId="6804" priority="1188" operator="greaterThan">
      <formula>0.85</formula>
    </cfRule>
  </conditionalFormatting>
  <conditionalFormatting sqref="N58">
    <cfRule type="cellIs" dxfId="6803" priority="1185" operator="greaterThan">
      <formula>0.9</formula>
    </cfRule>
    <cfRule type="cellIs" dxfId="6802" priority="1186" operator="greaterThan">
      <formula>0.85</formula>
    </cfRule>
  </conditionalFormatting>
  <conditionalFormatting sqref="E58">
    <cfRule type="expression" dxfId="6801" priority="1181">
      <formula>AND(IF(OR($Q58=1,$Q58=2),1,0),IF($X58&lt;=20,1,0))</formula>
    </cfRule>
    <cfRule type="expression" dxfId="6800" priority="1182">
      <formula>AND(IF($Q58=2,1,0),IF($X58&lt;30,1,0))</formula>
    </cfRule>
    <cfRule type="expression" dxfId="6799" priority="1183">
      <formula>AND(IF($Q58=3,1,0),IF($X58&lt;30,1,0))</formula>
    </cfRule>
    <cfRule type="expression" dxfId="6798" priority="1184">
      <formula>AND(IF($Q58=3,1,IF($Q58=4,1,0)),IF($F58&lt;=85,1,0))</formula>
    </cfRule>
  </conditionalFormatting>
  <conditionalFormatting sqref="X58">
    <cfRule type="expression" dxfId="6797" priority="1177">
      <formula>AND(IF(OR($Q58=1,$Q58=2),1,0),IF($X58&lt;=20,1,0))</formula>
    </cfRule>
    <cfRule type="expression" dxfId="6796" priority="1178">
      <formula>AND(IF($Q58=2,1,0),IF($X58&lt;30,1,0))</formula>
    </cfRule>
    <cfRule type="expression" dxfId="6795" priority="1179">
      <formula>AND(IF($Q58=3,1,0),IF($X58&lt;30,1,0))</formula>
    </cfRule>
    <cfRule type="expression" dxfId="6794" priority="1180">
      <formula>AND(IF($Q58=3,1,IF($Q58=4,1,0)),IF($F58&lt;=85,1,0))</formula>
    </cfRule>
  </conditionalFormatting>
  <conditionalFormatting sqref="AI58">
    <cfRule type="expression" dxfId="6793" priority="1173">
      <formula>AND(IF(OR($Q58=1,$Q58=2),1,0),IF($X58&lt;=20,1,0))</formula>
    </cfRule>
    <cfRule type="expression" dxfId="6792" priority="1174">
      <formula>AND(IF($Q58=2,1,0),IF($X58&lt;30,1,0))</formula>
    </cfRule>
    <cfRule type="expression" dxfId="6791" priority="1175">
      <formula>AND(IF($Q58=3,1,0),IF($X58&lt;30,1,0))</formula>
    </cfRule>
    <cfRule type="expression" dxfId="6790" priority="1176">
      <formula>AND(IF($Q58=3,1,IF($Q58=4,1,0)),IF($F58&lt;=85,1,0))</formula>
    </cfRule>
  </conditionalFormatting>
  <conditionalFormatting sqref="AV59">
    <cfRule type="expression" dxfId="6789" priority="1171">
      <formula>AV59="X"</formula>
    </cfRule>
    <cfRule type="expression" dxfId="6788" priority="1172">
      <formula>AV59="후보"</formula>
    </cfRule>
  </conditionalFormatting>
  <conditionalFormatting sqref="Z59">
    <cfRule type="colorScale" priority="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6787" priority="1168" operator="greaterThan">
      <formula>0.9</formula>
    </cfRule>
    <cfRule type="cellIs" dxfId="6786" priority="1169" operator="greaterThan">
      <formula>0.85</formula>
    </cfRule>
  </conditionalFormatting>
  <conditionalFormatting sqref="N59">
    <cfRule type="cellIs" dxfId="6785" priority="1166" operator="greaterThan">
      <formula>0.9</formula>
    </cfRule>
    <cfRule type="cellIs" dxfId="6784" priority="1167" operator="greaterThan">
      <formula>0.85</formula>
    </cfRule>
  </conditionalFormatting>
  <conditionalFormatting sqref="E59">
    <cfRule type="expression" dxfId="6783" priority="1162">
      <formula>AND(IF(OR($Q59=1,$Q59=2),1,0),IF($X59&lt;=20,1,0))</formula>
    </cfRule>
    <cfRule type="expression" dxfId="6782" priority="1163">
      <formula>AND(IF($Q59=2,1,0),IF($X59&lt;30,1,0))</formula>
    </cfRule>
    <cfRule type="expression" dxfId="6781" priority="1164">
      <formula>AND(IF($Q59=3,1,0),IF($X59&lt;30,1,0))</formula>
    </cfRule>
    <cfRule type="expression" dxfId="6780" priority="1165">
      <formula>AND(IF($Q59=3,1,IF($Q59=4,1,0)),IF($F59&lt;=85,1,0))</formula>
    </cfRule>
  </conditionalFormatting>
  <conditionalFormatting sqref="X59">
    <cfRule type="expression" dxfId="6779" priority="1158">
      <formula>AND(IF(OR($Q59=1,$Q59=2),1,0),IF($X59&lt;=20,1,0))</formula>
    </cfRule>
    <cfRule type="expression" dxfId="6778" priority="1159">
      <formula>AND(IF($Q59=2,1,0),IF($X59&lt;30,1,0))</formula>
    </cfRule>
    <cfRule type="expression" dxfId="6777" priority="1160">
      <formula>AND(IF($Q59=3,1,0),IF($X59&lt;30,1,0))</formula>
    </cfRule>
    <cfRule type="expression" dxfId="6776" priority="1161">
      <formula>AND(IF($Q59=3,1,IF($Q59=4,1,0)),IF($F59&lt;=85,1,0))</formula>
    </cfRule>
  </conditionalFormatting>
  <conditionalFormatting sqref="AI59">
    <cfRule type="expression" dxfId="6775" priority="1154">
      <formula>AND(IF(OR($Q59=1,$Q59=2),1,0),IF($X59&lt;=20,1,0))</formula>
    </cfRule>
    <cfRule type="expression" dxfId="6774" priority="1155">
      <formula>AND(IF($Q59=2,1,0),IF($X59&lt;30,1,0))</formula>
    </cfRule>
    <cfRule type="expression" dxfId="6773" priority="1156">
      <formula>AND(IF($Q59=3,1,0),IF($X59&lt;30,1,0))</formula>
    </cfRule>
    <cfRule type="expression" dxfId="6772" priority="1157">
      <formula>AND(IF($Q59=3,1,IF($Q59=4,1,0)),IF($F59&lt;=85,1,0))</formula>
    </cfRule>
  </conditionalFormatting>
  <conditionalFormatting sqref="AV60">
    <cfRule type="expression" dxfId="6771" priority="1152">
      <formula>AV60="X"</formula>
    </cfRule>
    <cfRule type="expression" dxfId="6770" priority="1153">
      <formula>AV60="후보"</formula>
    </cfRule>
  </conditionalFormatting>
  <conditionalFormatting sqref="Z60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6769" priority="1149" operator="greaterThan">
      <formula>0.9</formula>
    </cfRule>
    <cfRule type="cellIs" dxfId="6768" priority="1150" operator="greaterThan">
      <formula>0.85</formula>
    </cfRule>
  </conditionalFormatting>
  <conditionalFormatting sqref="N60">
    <cfRule type="cellIs" dxfId="6767" priority="1147" operator="greaterThan">
      <formula>0.9</formula>
    </cfRule>
    <cfRule type="cellIs" dxfId="6766" priority="1148" operator="greaterThan">
      <formula>0.85</formula>
    </cfRule>
  </conditionalFormatting>
  <conditionalFormatting sqref="E60">
    <cfRule type="expression" dxfId="6765" priority="1143">
      <formula>AND(IF(OR($Q60=1,$Q60=2),1,0),IF($X60&lt;=20,1,0))</formula>
    </cfRule>
    <cfRule type="expression" dxfId="6764" priority="1144">
      <formula>AND(IF($Q60=2,1,0),IF($X60&lt;30,1,0))</formula>
    </cfRule>
    <cfRule type="expression" dxfId="6763" priority="1145">
      <formula>AND(IF($Q60=3,1,0),IF($X60&lt;30,1,0))</formula>
    </cfRule>
    <cfRule type="expression" dxfId="6762" priority="1146">
      <formula>AND(IF($Q60=3,1,IF($Q60=4,1,0)),IF($F60&lt;=85,1,0))</formula>
    </cfRule>
  </conditionalFormatting>
  <conditionalFormatting sqref="X60">
    <cfRule type="expression" dxfId="6761" priority="1139">
      <formula>AND(IF(OR($Q60=1,$Q60=2),1,0),IF($X60&lt;=20,1,0))</formula>
    </cfRule>
    <cfRule type="expression" dxfId="6760" priority="1140">
      <formula>AND(IF($Q60=2,1,0),IF($X60&lt;30,1,0))</formula>
    </cfRule>
    <cfRule type="expression" dxfId="6759" priority="1141">
      <formula>AND(IF($Q60=3,1,0),IF($X60&lt;30,1,0))</formula>
    </cfRule>
    <cfRule type="expression" dxfId="6758" priority="1142">
      <formula>AND(IF($Q60=3,1,IF($Q60=4,1,0)),IF($F60&lt;=85,1,0))</formula>
    </cfRule>
  </conditionalFormatting>
  <conditionalFormatting sqref="AI60">
    <cfRule type="expression" dxfId="6757" priority="1135">
      <formula>AND(IF(OR($Q60=1,$Q60=2),1,0),IF($X60&lt;=20,1,0))</formula>
    </cfRule>
    <cfRule type="expression" dxfId="6756" priority="1136">
      <formula>AND(IF($Q60=2,1,0),IF($X60&lt;30,1,0))</formula>
    </cfRule>
    <cfRule type="expression" dxfId="6755" priority="1137">
      <formula>AND(IF($Q60=3,1,0),IF($X60&lt;30,1,0))</formula>
    </cfRule>
    <cfRule type="expression" dxfId="6754" priority="1138">
      <formula>AND(IF($Q60=3,1,IF($Q60=4,1,0)),IF($F60&lt;=85,1,0))</formula>
    </cfRule>
  </conditionalFormatting>
  <conditionalFormatting sqref="AV61">
    <cfRule type="expression" dxfId="6753" priority="1133">
      <formula>AV61="X"</formula>
    </cfRule>
    <cfRule type="expression" dxfId="6752" priority="1134">
      <formula>AV61="후보"</formula>
    </cfRule>
  </conditionalFormatting>
  <conditionalFormatting sqref="Z61">
    <cfRule type="colorScale" priority="1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6751" priority="1130" operator="greaterThan">
      <formula>0.9</formula>
    </cfRule>
    <cfRule type="cellIs" dxfId="6750" priority="1131" operator="greaterThan">
      <formula>0.85</formula>
    </cfRule>
  </conditionalFormatting>
  <conditionalFormatting sqref="N61">
    <cfRule type="cellIs" dxfId="6749" priority="1128" operator="greaterThan">
      <formula>0.9</formula>
    </cfRule>
    <cfRule type="cellIs" dxfId="6748" priority="1129" operator="greaterThan">
      <formula>0.85</formula>
    </cfRule>
  </conditionalFormatting>
  <conditionalFormatting sqref="E61">
    <cfRule type="expression" dxfId="6747" priority="1124">
      <formula>AND(IF(OR($Q61=1,$Q61=2),1,0),IF($X61&lt;=20,1,0))</formula>
    </cfRule>
    <cfRule type="expression" dxfId="6746" priority="1125">
      <formula>AND(IF($Q61=2,1,0),IF($X61&lt;30,1,0))</formula>
    </cfRule>
    <cfRule type="expression" dxfId="6745" priority="1126">
      <formula>AND(IF($Q61=3,1,0),IF($X61&lt;30,1,0))</formula>
    </cfRule>
    <cfRule type="expression" dxfId="6744" priority="1127">
      <formula>AND(IF($Q61=3,1,IF($Q61=4,1,0)),IF($F61&lt;=85,1,0))</formula>
    </cfRule>
  </conditionalFormatting>
  <conditionalFormatting sqref="X61">
    <cfRule type="expression" dxfId="6743" priority="1120">
      <formula>AND(IF(OR($Q61=1,$Q61=2),1,0),IF($X61&lt;=20,1,0))</formula>
    </cfRule>
    <cfRule type="expression" dxfId="6742" priority="1121">
      <formula>AND(IF($Q61=2,1,0),IF($X61&lt;30,1,0))</formula>
    </cfRule>
    <cfRule type="expression" dxfId="6741" priority="1122">
      <formula>AND(IF($Q61=3,1,0),IF($X61&lt;30,1,0))</formula>
    </cfRule>
    <cfRule type="expression" dxfId="6740" priority="1123">
      <formula>AND(IF($Q61=3,1,IF($Q61=4,1,0)),IF($F61&lt;=85,1,0))</formula>
    </cfRule>
  </conditionalFormatting>
  <conditionalFormatting sqref="AI61">
    <cfRule type="expression" dxfId="6739" priority="1116">
      <formula>AND(IF(OR($Q61=1,$Q61=2),1,0),IF($X61&lt;=20,1,0))</formula>
    </cfRule>
    <cfRule type="expression" dxfId="6738" priority="1117">
      <formula>AND(IF($Q61=2,1,0),IF($X61&lt;30,1,0))</formula>
    </cfRule>
    <cfRule type="expression" dxfId="6737" priority="1118">
      <formula>AND(IF($Q61=3,1,0),IF($X61&lt;30,1,0))</formula>
    </cfRule>
    <cfRule type="expression" dxfId="6736" priority="1119">
      <formula>AND(IF($Q61=3,1,IF($Q61=4,1,0)),IF($F61&lt;=85,1,0))</formula>
    </cfRule>
  </conditionalFormatting>
  <conditionalFormatting sqref="AV62">
    <cfRule type="expression" dxfId="6735" priority="1114">
      <formula>AV62="X"</formula>
    </cfRule>
    <cfRule type="expression" dxfId="6734" priority="1115">
      <formula>AV62="후보"</formula>
    </cfRule>
  </conditionalFormatting>
  <conditionalFormatting sqref="Z62">
    <cfRule type="colorScale" priority="1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6733" priority="1111" operator="greaterThan">
      <formula>0.9</formula>
    </cfRule>
    <cfRule type="cellIs" dxfId="6732" priority="1112" operator="greaterThan">
      <formula>0.85</formula>
    </cfRule>
  </conditionalFormatting>
  <conditionalFormatting sqref="N62">
    <cfRule type="cellIs" dxfId="6731" priority="1109" operator="greaterThan">
      <formula>0.9</formula>
    </cfRule>
    <cfRule type="cellIs" dxfId="6730" priority="1110" operator="greaterThan">
      <formula>0.85</formula>
    </cfRule>
  </conditionalFormatting>
  <conditionalFormatting sqref="E62">
    <cfRule type="expression" dxfId="6729" priority="1105">
      <formula>AND(IF(OR($Q62=1,$Q62=2),1,0),IF($X62&lt;=20,1,0))</formula>
    </cfRule>
    <cfRule type="expression" dxfId="6728" priority="1106">
      <formula>AND(IF($Q62=2,1,0),IF($X62&lt;30,1,0))</formula>
    </cfRule>
    <cfRule type="expression" dxfId="6727" priority="1107">
      <formula>AND(IF($Q62=3,1,0),IF($X62&lt;30,1,0))</formula>
    </cfRule>
    <cfRule type="expression" dxfId="6726" priority="1108">
      <formula>AND(IF($Q62=3,1,IF($Q62=4,1,0)),IF($F62&lt;=85,1,0))</formula>
    </cfRule>
  </conditionalFormatting>
  <conditionalFormatting sqref="X62">
    <cfRule type="expression" dxfId="6725" priority="1101">
      <formula>AND(IF(OR($Q62=1,$Q62=2),1,0),IF($X62&lt;=20,1,0))</formula>
    </cfRule>
    <cfRule type="expression" dxfId="6724" priority="1102">
      <formula>AND(IF($Q62=2,1,0),IF($X62&lt;30,1,0))</formula>
    </cfRule>
    <cfRule type="expression" dxfId="6723" priority="1103">
      <formula>AND(IF($Q62=3,1,0),IF($X62&lt;30,1,0))</formula>
    </cfRule>
    <cfRule type="expression" dxfId="6722" priority="1104">
      <formula>AND(IF($Q62=3,1,IF($Q62=4,1,0)),IF($F62&lt;=85,1,0))</formula>
    </cfRule>
  </conditionalFormatting>
  <conditionalFormatting sqref="AI62">
    <cfRule type="expression" dxfId="6721" priority="1097">
      <formula>AND(IF(OR($Q62=1,$Q62=2),1,0),IF($X62&lt;=20,1,0))</formula>
    </cfRule>
    <cfRule type="expression" dxfId="6720" priority="1098">
      <formula>AND(IF($Q62=2,1,0),IF($X62&lt;30,1,0))</formula>
    </cfRule>
    <cfRule type="expression" dxfId="6719" priority="1099">
      <formula>AND(IF($Q62=3,1,0),IF($X62&lt;30,1,0))</formula>
    </cfRule>
    <cfRule type="expression" dxfId="6718" priority="1100">
      <formula>AND(IF($Q62=3,1,IF($Q62=4,1,0)),IF($F62&lt;=85,1,0))</formula>
    </cfRule>
  </conditionalFormatting>
  <conditionalFormatting sqref="AV63">
    <cfRule type="expression" dxfId="6717" priority="1095">
      <formula>AV63="X"</formula>
    </cfRule>
    <cfRule type="expression" dxfId="6716" priority="1096">
      <formula>AV63="후보"</formula>
    </cfRule>
  </conditionalFormatting>
  <conditionalFormatting sqref="Z63">
    <cfRule type="colorScale" priority="1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6715" priority="1092" operator="greaterThan">
      <formula>0.9</formula>
    </cfRule>
    <cfRule type="cellIs" dxfId="6714" priority="1093" operator="greaterThan">
      <formula>0.85</formula>
    </cfRule>
  </conditionalFormatting>
  <conditionalFormatting sqref="N63">
    <cfRule type="cellIs" dxfId="6713" priority="1090" operator="greaterThan">
      <formula>0.9</formula>
    </cfRule>
    <cfRule type="cellIs" dxfId="6712" priority="1091" operator="greaterThan">
      <formula>0.85</formula>
    </cfRule>
  </conditionalFormatting>
  <conditionalFormatting sqref="E63">
    <cfRule type="expression" dxfId="6711" priority="1086">
      <formula>AND(IF(OR($Q63=1,$Q63=2),1,0),IF($X63&lt;=20,1,0))</formula>
    </cfRule>
    <cfRule type="expression" dxfId="6710" priority="1087">
      <formula>AND(IF($Q63=2,1,0),IF($X63&lt;30,1,0))</formula>
    </cfRule>
    <cfRule type="expression" dxfId="6709" priority="1088">
      <formula>AND(IF($Q63=3,1,0),IF($X63&lt;30,1,0))</formula>
    </cfRule>
    <cfRule type="expression" dxfId="6708" priority="1089">
      <formula>AND(IF($Q63=3,1,IF($Q63=4,1,0)),IF($F63&lt;=85,1,0))</formula>
    </cfRule>
  </conditionalFormatting>
  <conditionalFormatting sqref="X63">
    <cfRule type="expression" dxfId="6707" priority="1082">
      <formula>AND(IF(OR($Q63=1,$Q63=2),1,0),IF($X63&lt;=20,1,0))</formula>
    </cfRule>
    <cfRule type="expression" dxfId="6706" priority="1083">
      <formula>AND(IF($Q63=2,1,0),IF($X63&lt;30,1,0))</formula>
    </cfRule>
    <cfRule type="expression" dxfId="6705" priority="1084">
      <formula>AND(IF($Q63=3,1,0),IF($X63&lt;30,1,0))</formula>
    </cfRule>
    <cfRule type="expression" dxfId="6704" priority="1085">
      <formula>AND(IF($Q63=3,1,IF($Q63=4,1,0)),IF($F63&lt;=85,1,0))</formula>
    </cfRule>
  </conditionalFormatting>
  <conditionalFormatting sqref="AI63">
    <cfRule type="expression" dxfId="6703" priority="1078">
      <formula>AND(IF(OR($Q63=1,$Q63=2),1,0),IF($X63&lt;=20,1,0))</formula>
    </cfRule>
    <cfRule type="expression" dxfId="6702" priority="1079">
      <formula>AND(IF($Q63=2,1,0),IF($X63&lt;30,1,0))</formula>
    </cfRule>
    <cfRule type="expression" dxfId="6701" priority="1080">
      <formula>AND(IF($Q63=3,1,0),IF($X63&lt;30,1,0))</formula>
    </cfRule>
    <cfRule type="expression" dxfId="6700" priority="1081">
      <formula>AND(IF($Q63=3,1,IF($Q63=4,1,0)),IF($F63&lt;=85,1,0))</formula>
    </cfRule>
  </conditionalFormatting>
  <conditionalFormatting sqref="AV64">
    <cfRule type="expression" dxfId="6699" priority="1076">
      <formula>AV64="X"</formula>
    </cfRule>
    <cfRule type="expression" dxfId="6698" priority="1077">
      <formula>AV64="후보"</formula>
    </cfRule>
  </conditionalFormatting>
  <conditionalFormatting sqref="Z64">
    <cfRule type="colorScale" priority="1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6697" priority="1073" operator="greaterThan">
      <formula>0.9</formula>
    </cfRule>
    <cfRule type="cellIs" dxfId="6696" priority="1074" operator="greaterThan">
      <formula>0.85</formula>
    </cfRule>
  </conditionalFormatting>
  <conditionalFormatting sqref="AV65">
    <cfRule type="expression" dxfId="6695" priority="1071">
      <formula>AV65="X"</formula>
    </cfRule>
    <cfRule type="expression" dxfId="6694" priority="1072">
      <formula>AV65="후보"</formula>
    </cfRule>
  </conditionalFormatting>
  <conditionalFormatting sqref="Z65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693" priority="1068" operator="greaterThan">
      <formula>0.9</formula>
    </cfRule>
    <cfRule type="cellIs" dxfId="6692" priority="1069" operator="greaterThan">
      <formula>0.85</formula>
    </cfRule>
  </conditionalFormatting>
  <conditionalFormatting sqref="N65">
    <cfRule type="cellIs" dxfId="6691" priority="1066" operator="greaterThan">
      <formula>0.9</formula>
    </cfRule>
    <cfRule type="cellIs" dxfId="6690" priority="1067" operator="greaterThan">
      <formula>0.85</formula>
    </cfRule>
  </conditionalFormatting>
  <conditionalFormatting sqref="E65">
    <cfRule type="expression" dxfId="6689" priority="1062">
      <formula>AND(IF(OR($Q65=1,$Q65=2),1,0),IF($X65&lt;=20,1,0))</formula>
    </cfRule>
    <cfRule type="expression" dxfId="6688" priority="1063">
      <formula>AND(IF($Q65=2,1,0),IF($X65&lt;30,1,0))</formula>
    </cfRule>
    <cfRule type="expression" dxfId="6687" priority="1064">
      <formula>AND(IF($Q65=3,1,0),IF($X65&lt;30,1,0))</formula>
    </cfRule>
    <cfRule type="expression" dxfId="6686" priority="1065">
      <formula>AND(IF($Q65=3,1,IF($Q65=4,1,0)),IF($F65&lt;=85,1,0))</formula>
    </cfRule>
  </conditionalFormatting>
  <conditionalFormatting sqref="X65">
    <cfRule type="expression" dxfId="6685" priority="1058">
      <formula>AND(IF(OR($Q65=1,$Q65=2),1,0),IF($X65&lt;=20,1,0))</formula>
    </cfRule>
    <cfRule type="expression" dxfId="6684" priority="1059">
      <formula>AND(IF($Q65=2,1,0),IF($X65&lt;30,1,0))</formula>
    </cfRule>
    <cfRule type="expression" dxfId="6683" priority="1060">
      <formula>AND(IF($Q65=3,1,0),IF($X65&lt;30,1,0))</formula>
    </cfRule>
    <cfRule type="expression" dxfId="6682" priority="1061">
      <formula>AND(IF($Q65=3,1,IF($Q65=4,1,0)),IF($F65&lt;=85,1,0))</formula>
    </cfRule>
  </conditionalFormatting>
  <conditionalFormatting sqref="AI65">
    <cfRule type="expression" dxfId="6681" priority="1054">
      <formula>AND(IF(OR($Q65=1,$Q65=2),1,0),IF($X65&lt;=20,1,0))</formula>
    </cfRule>
    <cfRule type="expression" dxfId="6680" priority="1055">
      <formula>AND(IF($Q65=2,1,0),IF($X65&lt;30,1,0))</formula>
    </cfRule>
    <cfRule type="expression" dxfId="6679" priority="1056">
      <formula>AND(IF($Q65=3,1,0),IF($X65&lt;30,1,0))</formula>
    </cfRule>
    <cfRule type="expression" dxfId="6678" priority="1057">
      <formula>AND(IF($Q65=3,1,IF($Q65=4,1,0)),IF($F65&lt;=85,1,0))</formula>
    </cfRule>
  </conditionalFormatting>
  <conditionalFormatting sqref="AV66">
    <cfRule type="expression" dxfId="6677" priority="1052">
      <formula>AV66="X"</formula>
    </cfRule>
    <cfRule type="expression" dxfId="6676" priority="1053">
      <formula>AV66="후보"</formula>
    </cfRule>
  </conditionalFormatting>
  <conditionalFormatting sqref="Z66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6675" priority="1049" operator="greaterThan">
      <formula>0.9</formula>
    </cfRule>
    <cfRule type="cellIs" dxfId="6674" priority="1050" operator="greaterThan">
      <formula>0.85</formula>
    </cfRule>
  </conditionalFormatting>
  <conditionalFormatting sqref="N66">
    <cfRule type="cellIs" dxfId="6673" priority="1047" operator="greaterThan">
      <formula>0.9</formula>
    </cfRule>
    <cfRule type="cellIs" dxfId="6672" priority="1048" operator="greaterThan">
      <formula>0.85</formula>
    </cfRule>
  </conditionalFormatting>
  <conditionalFormatting sqref="E66">
    <cfRule type="expression" dxfId="6671" priority="1043">
      <formula>AND(IF(OR($Q66=1,$Q66=2),1,0),IF($X66&lt;=20,1,0))</formula>
    </cfRule>
    <cfRule type="expression" dxfId="6670" priority="1044">
      <formula>AND(IF($Q66=2,1,0),IF($X66&lt;30,1,0))</formula>
    </cfRule>
    <cfRule type="expression" dxfId="6669" priority="1045">
      <formula>AND(IF($Q66=3,1,0),IF($X66&lt;30,1,0))</formula>
    </cfRule>
    <cfRule type="expression" dxfId="6668" priority="1046">
      <formula>AND(IF($Q66=3,1,IF($Q66=4,1,0)),IF($F66&lt;=85,1,0))</formula>
    </cfRule>
  </conditionalFormatting>
  <conditionalFormatting sqref="X66">
    <cfRule type="expression" dxfId="6667" priority="1039">
      <formula>AND(IF(OR($Q66=1,$Q66=2),1,0),IF($X66&lt;=20,1,0))</formula>
    </cfRule>
    <cfRule type="expression" dxfId="6666" priority="1040">
      <formula>AND(IF($Q66=2,1,0),IF($X66&lt;30,1,0))</formula>
    </cfRule>
    <cfRule type="expression" dxfId="6665" priority="1041">
      <formula>AND(IF($Q66=3,1,0),IF($X66&lt;30,1,0))</formula>
    </cfRule>
    <cfRule type="expression" dxfId="6664" priority="1042">
      <formula>AND(IF($Q66=3,1,IF($Q66=4,1,0)),IF($F66&lt;=85,1,0))</formula>
    </cfRule>
  </conditionalFormatting>
  <conditionalFormatting sqref="AI66">
    <cfRule type="expression" dxfId="6663" priority="1035">
      <formula>AND(IF(OR($Q66=1,$Q66=2),1,0),IF($X66&lt;=20,1,0))</formula>
    </cfRule>
    <cfRule type="expression" dxfId="6662" priority="1036">
      <formula>AND(IF($Q66=2,1,0),IF($X66&lt;30,1,0))</formula>
    </cfRule>
    <cfRule type="expression" dxfId="6661" priority="1037">
      <formula>AND(IF($Q66=3,1,0),IF($X66&lt;30,1,0))</formula>
    </cfRule>
    <cfRule type="expression" dxfId="6660" priority="1038">
      <formula>AND(IF($Q66=3,1,IF($Q66=4,1,0)),IF($F66&lt;=85,1,0))</formula>
    </cfRule>
  </conditionalFormatting>
  <conditionalFormatting sqref="AV67">
    <cfRule type="expression" dxfId="6659" priority="1033">
      <formula>AV67="X"</formula>
    </cfRule>
    <cfRule type="expression" dxfId="6658" priority="1034">
      <formula>AV67="후보"</formula>
    </cfRule>
  </conditionalFormatting>
  <conditionalFormatting sqref="Z67">
    <cfRule type="colorScale" priority="1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6657" priority="1030" operator="greaterThan">
      <formula>0.9</formula>
    </cfRule>
    <cfRule type="cellIs" dxfId="6656" priority="1031" operator="greaterThan">
      <formula>0.85</formula>
    </cfRule>
  </conditionalFormatting>
  <conditionalFormatting sqref="N67">
    <cfRule type="cellIs" dxfId="6655" priority="1028" operator="greaterThan">
      <formula>0.9</formula>
    </cfRule>
    <cfRule type="cellIs" dxfId="6654" priority="1029" operator="greaterThan">
      <formula>0.85</formula>
    </cfRule>
  </conditionalFormatting>
  <conditionalFormatting sqref="E67">
    <cfRule type="expression" dxfId="6653" priority="1024">
      <formula>AND(IF(OR($Q67=1,$Q67=2),1,0),IF($X67&lt;=20,1,0))</formula>
    </cfRule>
    <cfRule type="expression" dxfId="6652" priority="1025">
      <formula>AND(IF($Q67=2,1,0),IF($X67&lt;30,1,0))</formula>
    </cfRule>
    <cfRule type="expression" dxfId="6651" priority="1026">
      <formula>AND(IF($Q67=3,1,0),IF($X67&lt;30,1,0))</formula>
    </cfRule>
    <cfRule type="expression" dxfId="6650" priority="1027">
      <formula>AND(IF($Q67=3,1,IF($Q67=4,1,0)),IF($F67&lt;=85,1,0))</formula>
    </cfRule>
  </conditionalFormatting>
  <conditionalFormatting sqref="X67">
    <cfRule type="expression" dxfId="6649" priority="1020">
      <formula>AND(IF(OR($Q67=1,$Q67=2),1,0),IF($X67&lt;=20,1,0))</formula>
    </cfRule>
    <cfRule type="expression" dxfId="6648" priority="1021">
      <formula>AND(IF($Q67=2,1,0),IF($X67&lt;30,1,0))</formula>
    </cfRule>
    <cfRule type="expression" dxfId="6647" priority="1022">
      <formula>AND(IF($Q67=3,1,0),IF($X67&lt;30,1,0))</formula>
    </cfRule>
    <cfRule type="expression" dxfId="6646" priority="1023">
      <formula>AND(IF($Q67=3,1,IF($Q67=4,1,0)),IF($F67&lt;=85,1,0))</formula>
    </cfRule>
  </conditionalFormatting>
  <conditionalFormatting sqref="AI67">
    <cfRule type="expression" dxfId="6645" priority="1016">
      <formula>AND(IF(OR($Q67=1,$Q67=2),1,0),IF($X67&lt;=20,1,0))</formula>
    </cfRule>
    <cfRule type="expression" dxfId="6644" priority="1017">
      <formula>AND(IF($Q67=2,1,0),IF($X67&lt;30,1,0))</formula>
    </cfRule>
    <cfRule type="expression" dxfId="6643" priority="1018">
      <formula>AND(IF($Q67=3,1,0),IF($X67&lt;30,1,0))</formula>
    </cfRule>
    <cfRule type="expression" dxfId="6642" priority="1019">
      <formula>AND(IF($Q67=3,1,IF($Q67=4,1,0)),IF($F67&lt;=85,1,0))</formula>
    </cfRule>
  </conditionalFormatting>
  <conditionalFormatting sqref="AV68">
    <cfRule type="expression" dxfId="6641" priority="1014">
      <formula>AV68="X"</formula>
    </cfRule>
    <cfRule type="expression" dxfId="6640" priority="1015">
      <formula>AV68="후보"</formula>
    </cfRule>
  </conditionalFormatting>
  <conditionalFormatting sqref="Z68">
    <cfRule type="colorScale" priority="1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639" priority="1011" operator="greaterThan">
      <formula>0.9</formula>
    </cfRule>
    <cfRule type="cellIs" dxfId="6638" priority="1012" operator="greaterThan">
      <formula>0.85</formula>
    </cfRule>
  </conditionalFormatting>
  <conditionalFormatting sqref="N68">
    <cfRule type="cellIs" dxfId="6637" priority="1009" operator="greaterThan">
      <formula>0.9</formula>
    </cfRule>
    <cfRule type="cellIs" dxfId="6636" priority="1010" operator="greaterThan">
      <formula>0.85</formula>
    </cfRule>
  </conditionalFormatting>
  <conditionalFormatting sqref="E68">
    <cfRule type="expression" dxfId="6635" priority="1005">
      <formula>AND(IF(OR($Q68=1,$Q68=2),1,0),IF($X68&lt;=20,1,0))</formula>
    </cfRule>
    <cfRule type="expression" dxfId="6634" priority="1006">
      <formula>AND(IF($Q68=2,1,0),IF($X68&lt;30,1,0))</formula>
    </cfRule>
    <cfRule type="expression" dxfId="6633" priority="1007">
      <formula>AND(IF($Q68=3,1,0),IF($X68&lt;30,1,0))</formula>
    </cfRule>
    <cfRule type="expression" dxfId="6632" priority="1008">
      <formula>AND(IF($Q68=3,1,IF($Q68=4,1,0)),IF($F68&lt;=85,1,0))</formula>
    </cfRule>
  </conditionalFormatting>
  <conditionalFormatting sqref="X68">
    <cfRule type="expression" dxfId="6631" priority="1001">
      <formula>AND(IF(OR($Q68=1,$Q68=2),1,0),IF($X68&lt;=20,1,0))</formula>
    </cfRule>
    <cfRule type="expression" dxfId="6630" priority="1002">
      <formula>AND(IF($Q68=2,1,0),IF($X68&lt;30,1,0))</formula>
    </cfRule>
    <cfRule type="expression" dxfId="6629" priority="1003">
      <formula>AND(IF($Q68=3,1,0),IF($X68&lt;30,1,0))</formula>
    </cfRule>
    <cfRule type="expression" dxfId="6628" priority="1004">
      <formula>AND(IF($Q68=3,1,IF($Q68=4,1,0)),IF($F68&lt;=85,1,0))</formula>
    </cfRule>
  </conditionalFormatting>
  <conditionalFormatting sqref="AI68">
    <cfRule type="expression" dxfId="6627" priority="997">
      <formula>AND(IF(OR($Q68=1,$Q68=2),1,0),IF($X68&lt;=20,1,0))</formula>
    </cfRule>
    <cfRule type="expression" dxfId="6626" priority="998">
      <formula>AND(IF($Q68=2,1,0),IF($X68&lt;30,1,0))</formula>
    </cfRule>
    <cfRule type="expression" dxfId="6625" priority="999">
      <formula>AND(IF($Q68=3,1,0),IF($X68&lt;30,1,0))</formula>
    </cfRule>
    <cfRule type="expression" dxfId="6624" priority="1000">
      <formula>AND(IF($Q68=3,1,IF($Q68=4,1,0)),IF($F68&lt;=85,1,0))</formula>
    </cfRule>
  </conditionalFormatting>
  <conditionalFormatting sqref="AV69">
    <cfRule type="expression" dxfId="6623" priority="995">
      <formula>AV69="X"</formula>
    </cfRule>
    <cfRule type="expression" dxfId="6622" priority="996">
      <formula>AV69="후보"</formula>
    </cfRule>
  </conditionalFormatting>
  <conditionalFormatting sqref="Z69">
    <cfRule type="colorScale" priority="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6621" priority="992" operator="greaterThan">
      <formula>0.9</formula>
    </cfRule>
    <cfRule type="cellIs" dxfId="6620" priority="993" operator="greaterThan">
      <formula>0.85</formula>
    </cfRule>
  </conditionalFormatting>
  <conditionalFormatting sqref="AV70">
    <cfRule type="expression" dxfId="6619" priority="990">
      <formula>AV70="X"</formula>
    </cfRule>
    <cfRule type="expression" dxfId="6618" priority="991">
      <formula>AV70="후보"</formula>
    </cfRule>
  </conditionalFormatting>
  <conditionalFormatting sqref="Z70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617" priority="987" operator="greaterThan">
      <formula>0.9</formula>
    </cfRule>
    <cfRule type="cellIs" dxfId="6616" priority="988" operator="greaterThan">
      <formula>0.85</formula>
    </cfRule>
  </conditionalFormatting>
  <conditionalFormatting sqref="N70">
    <cfRule type="cellIs" dxfId="6615" priority="985" operator="greaterThan">
      <formula>0.9</formula>
    </cfRule>
    <cfRule type="cellIs" dxfId="6614" priority="986" operator="greaterThan">
      <formula>0.85</formula>
    </cfRule>
  </conditionalFormatting>
  <conditionalFormatting sqref="E70">
    <cfRule type="expression" dxfId="6613" priority="981">
      <formula>AND(IF(OR($Q70=1,$Q70=2),1,0),IF($X70&lt;=20,1,0))</formula>
    </cfRule>
    <cfRule type="expression" dxfId="6612" priority="982">
      <formula>AND(IF($Q70=2,1,0),IF($X70&lt;30,1,0))</formula>
    </cfRule>
    <cfRule type="expression" dxfId="6611" priority="983">
      <formula>AND(IF($Q70=3,1,0),IF($X70&lt;30,1,0))</formula>
    </cfRule>
    <cfRule type="expression" dxfId="6610" priority="984">
      <formula>AND(IF($Q70=3,1,IF($Q70=4,1,0)),IF($F70&lt;=85,1,0))</formula>
    </cfRule>
  </conditionalFormatting>
  <conditionalFormatting sqref="X70">
    <cfRule type="expression" dxfId="6609" priority="977">
      <formula>AND(IF(OR($Q70=1,$Q70=2),1,0),IF($X70&lt;=20,1,0))</formula>
    </cfRule>
    <cfRule type="expression" dxfId="6608" priority="978">
      <formula>AND(IF($Q70=2,1,0),IF($X70&lt;30,1,0))</formula>
    </cfRule>
    <cfRule type="expression" dxfId="6607" priority="979">
      <formula>AND(IF($Q70=3,1,0),IF($X70&lt;30,1,0))</formula>
    </cfRule>
    <cfRule type="expression" dxfId="6606" priority="980">
      <formula>AND(IF($Q70=3,1,IF($Q70=4,1,0)),IF($F70&lt;=85,1,0))</formula>
    </cfRule>
  </conditionalFormatting>
  <conditionalFormatting sqref="AI70">
    <cfRule type="expression" dxfId="6605" priority="973">
      <formula>AND(IF(OR($Q70=1,$Q70=2),1,0),IF($X70&lt;=20,1,0))</formula>
    </cfRule>
    <cfRule type="expression" dxfId="6604" priority="974">
      <formula>AND(IF($Q70=2,1,0),IF($X70&lt;30,1,0))</formula>
    </cfRule>
    <cfRule type="expression" dxfId="6603" priority="975">
      <formula>AND(IF($Q70=3,1,0),IF($X70&lt;30,1,0))</formula>
    </cfRule>
    <cfRule type="expression" dxfId="6602" priority="976">
      <formula>AND(IF($Q70=3,1,IF($Q70=4,1,0)),IF($F70&lt;=85,1,0))</formula>
    </cfRule>
  </conditionalFormatting>
  <conditionalFormatting sqref="AV71">
    <cfRule type="expression" dxfId="6601" priority="971">
      <formula>AV71="X"</formula>
    </cfRule>
    <cfRule type="expression" dxfId="6600" priority="972">
      <formula>AV71="후보"</formula>
    </cfRule>
  </conditionalFormatting>
  <conditionalFormatting sqref="Z71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6599" priority="968" operator="greaterThan">
      <formula>0.9</formula>
    </cfRule>
    <cfRule type="cellIs" dxfId="6598" priority="969" operator="greaterThan">
      <formula>0.85</formula>
    </cfRule>
  </conditionalFormatting>
  <conditionalFormatting sqref="N71">
    <cfRule type="cellIs" dxfId="6597" priority="966" operator="greaterThan">
      <formula>0.9</formula>
    </cfRule>
    <cfRule type="cellIs" dxfId="6596" priority="967" operator="greaterThan">
      <formula>0.85</formula>
    </cfRule>
  </conditionalFormatting>
  <conditionalFormatting sqref="E71">
    <cfRule type="expression" dxfId="6595" priority="962">
      <formula>AND(IF(OR($Q71=1,$Q71=2),1,0),IF($X71&lt;=20,1,0))</formula>
    </cfRule>
    <cfRule type="expression" dxfId="6594" priority="963">
      <formula>AND(IF($Q71=2,1,0),IF($X71&lt;30,1,0))</formula>
    </cfRule>
    <cfRule type="expression" dxfId="6593" priority="964">
      <formula>AND(IF($Q71=3,1,0),IF($X71&lt;30,1,0))</formula>
    </cfRule>
    <cfRule type="expression" dxfId="6592" priority="965">
      <formula>AND(IF($Q71=3,1,IF($Q71=4,1,0)),IF($F71&lt;=85,1,0))</formula>
    </cfRule>
  </conditionalFormatting>
  <conditionalFormatting sqref="X71">
    <cfRule type="expression" dxfId="6591" priority="958">
      <formula>AND(IF(OR($Q71=1,$Q71=2),1,0),IF($X71&lt;=20,1,0))</formula>
    </cfRule>
    <cfRule type="expression" dxfId="6590" priority="959">
      <formula>AND(IF($Q71=2,1,0),IF($X71&lt;30,1,0))</formula>
    </cfRule>
    <cfRule type="expression" dxfId="6589" priority="960">
      <formula>AND(IF($Q71=3,1,0),IF($X71&lt;30,1,0))</formula>
    </cfRule>
    <cfRule type="expression" dxfId="6588" priority="961">
      <formula>AND(IF($Q71=3,1,IF($Q71=4,1,0)),IF($F71&lt;=85,1,0))</formula>
    </cfRule>
  </conditionalFormatting>
  <conditionalFormatting sqref="AI71">
    <cfRule type="expression" dxfId="6587" priority="954">
      <formula>AND(IF(OR($Q71=1,$Q71=2),1,0),IF($X71&lt;=20,1,0))</formula>
    </cfRule>
    <cfRule type="expression" dxfId="6586" priority="955">
      <formula>AND(IF($Q71=2,1,0),IF($X71&lt;30,1,0))</formula>
    </cfRule>
    <cfRule type="expression" dxfId="6585" priority="956">
      <formula>AND(IF($Q71=3,1,0),IF($X71&lt;30,1,0))</formula>
    </cfRule>
    <cfRule type="expression" dxfId="6584" priority="957">
      <formula>AND(IF($Q71=3,1,IF($Q71=4,1,0)),IF($F71&lt;=85,1,0))</formula>
    </cfRule>
  </conditionalFormatting>
  <conditionalFormatting sqref="AV72">
    <cfRule type="expression" dxfId="6583" priority="952">
      <formula>AV72="X"</formula>
    </cfRule>
    <cfRule type="expression" dxfId="6582" priority="953">
      <formula>AV72="후보"</formula>
    </cfRule>
  </conditionalFormatting>
  <conditionalFormatting sqref="Z72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6581" priority="949" operator="greaterThan">
      <formula>0.9</formula>
    </cfRule>
    <cfRule type="cellIs" dxfId="6580" priority="950" operator="greaterThan">
      <formula>0.85</formula>
    </cfRule>
  </conditionalFormatting>
  <conditionalFormatting sqref="N72">
    <cfRule type="cellIs" dxfId="6579" priority="947" operator="greaterThan">
      <formula>0.9</formula>
    </cfRule>
    <cfRule type="cellIs" dxfId="6578" priority="948" operator="greaterThan">
      <formula>0.85</formula>
    </cfRule>
  </conditionalFormatting>
  <conditionalFormatting sqref="E72">
    <cfRule type="expression" dxfId="6577" priority="943">
      <formula>AND(IF(OR($Q72=1,$Q72=2),1,0),IF($X72&lt;=20,1,0))</formula>
    </cfRule>
    <cfRule type="expression" dxfId="6576" priority="944">
      <formula>AND(IF($Q72=2,1,0),IF($X72&lt;30,1,0))</formula>
    </cfRule>
    <cfRule type="expression" dxfId="6575" priority="945">
      <formula>AND(IF($Q72=3,1,0),IF($X72&lt;30,1,0))</formula>
    </cfRule>
    <cfRule type="expression" dxfId="6574" priority="946">
      <formula>AND(IF($Q72=3,1,IF($Q72=4,1,0)),IF($F72&lt;=85,1,0))</formula>
    </cfRule>
  </conditionalFormatting>
  <conditionalFormatting sqref="X72">
    <cfRule type="expression" dxfId="6573" priority="939">
      <formula>AND(IF(OR($Q72=1,$Q72=2),1,0),IF($X72&lt;=20,1,0))</formula>
    </cfRule>
    <cfRule type="expression" dxfId="6572" priority="940">
      <formula>AND(IF($Q72=2,1,0),IF($X72&lt;30,1,0))</formula>
    </cfRule>
    <cfRule type="expression" dxfId="6571" priority="941">
      <formula>AND(IF($Q72=3,1,0),IF($X72&lt;30,1,0))</formula>
    </cfRule>
    <cfRule type="expression" dxfId="6570" priority="942">
      <formula>AND(IF($Q72=3,1,IF($Q72=4,1,0)),IF($F72&lt;=85,1,0))</formula>
    </cfRule>
  </conditionalFormatting>
  <conditionalFormatting sqref="AI72">
    <cfRule type="expression" dxfId="6569" priority="935">
      <formula>AND(IF(OR($Q72=1,$Q72=2),1,0),IF($X72&lt;=20,1,0))</formula>
    </cfRule>
    <cfRule type="expression" dxfId="6568" priority="936">
      <formula>AND(IF($Q72=2,1,0),IF($X72&lt;30,1,0))</formula>
    </cfRule>
    <cfRule type="expression" dxfId="6567" priority="937">
      <formula>AND(IF($Q72=3,1,0),IF($X72&lt;30,1,0))</formula>
    </cfRule>
    <cfRule type="expression" dxfId="6566" priority="938">
      <formula>AND(IF($Q72=3,1,IF($Q72=4,1,0)),IF($F72&lt;=85,1,0))</formula>
    </cfRule>
  </conditionalFormatting>
  <conditionalFormatting sqref="AV73">
    <cfRule type="expression" dxfId="6565" priority="933">
      <formula>AV73="X"</formula>
    </cfRule>
    <cfRule type="expression" dxfId="6564" priority="934">
      <formula>AV73="후보"</formula>
    </cfRule>
  </conditionalFormatting>
  <conditionalFormatting sqref="Z73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6563" priority="930" operator="greaterThan">
      <formula>0.9</formula>
    </cfRule>
    <cfRule type="cellIs" dxfId="6562" priority="931" operator="greaterThan">
      <formula>0.85</formula>
    </cfRule>
  </conditionalFormatting>
  <conditionalFormatting sqref="N73">
    <cfRule type="cellIs" dxfId="6561" priority="928" operator="greaterThan">
      <formula>0.9</formula>
    </cfRule>
    <cfRule type="cellIs" dxfId="6560" priority="929" operator="greaterThan">
      <formula>0.85</formula>
    </cfRule>
  </conditionalFormatting>
  <conditionalFormatting sqref="E73">
    <cfRule type="expression" dxfId="6559" priority="924">
      <formula>AND(IF(OR($Q73=1,$Q73=2),1,0),IF($X73&lt;=20,1,0))</formula>
    </cfRule>
    <cfRule type="expression" dxfId="6558" priority="925">
      <formula>AND(IF($Q73=2,1,0),IF($X73&lt;30,1,0))</formula>
    </cfRule>
    <cfRule type="expression" dxfId="6557" priority="926">
      <formula>AND(IF($Q73=3,1,0),IF($X73&lt;30,1,0))</formula>
    </cfRule>
    <cfRule type="expression" dxfId="6556" priority="927">
      <formula>AND(IF($Q73=3,1,IF($Q73=4,1,0)),IF($F73&lt;=85,1,0))</formula>
    </cfRule>
  </conditionalFormatting>
  <conditionalFormatting sqref="X73">
    <cfRule type="expression" dxfId="6555" priority="920">
      <formula>AND(IF(OR($Q73=1,$Q73=2),1,0),IF($X73&lt;=20,1,0))</formula>
    </cfRule>
    <cfRule type="expression" dxfId="6554" priority="921">
      <formula>AND(IF($Q73=2,1,0),IF($X73&lt;30,1,0))</formula>
    </cfRule>
    <cfRule type="expression" dxfId="6553" priority="922">
      <formula>AND(IF($Q73=3,1,0),IF($X73&lt;30,1,0))</formula>
    </cfRule>
    <cfRule type="expression" dxfId="6552" priority="923">
      <formula>AND(IF($Q73=3,1,IF($Q73=4,1,0)),IF($F73&lt;=85,1,0))</formula>
    </cfRule>
  </conditionalFormatting>
  <conditionalFormatting sqref="AI73">
    <cfRule type="expression" dxfId="6551" priority="916">
      <formula>AND(IF(OR($Q73=1,$Q73=2),1,0),IF($X73&lt;=20,1,0))</formula>
    </cfRule>
    <cfRule type="expression" dxfId="6550" priority="917">
      <formula>AND(IF($Q73=2,1,0),IF($X73&lt;30,1,0))</formula>
    </cfRule>
    <cfRule type="expression" dxfId="6549" priority="918">
      <formula>AND(IF($Q73=3,1,0),IF($X73&lt;30,1,0))</formula>
    </cfRule>
    <cfRule type="expression" dxfId="6548" priority="919">
      <formula>AND(IF($Q73=3,1,IF($Q73=4,1,0)),IF($F73&lt;=85,1,0))</formula>
    </cfRule>
  </conditionalFormatting>
  <conditionalFormatting sqref="AV74">
    <cfRule type="expression" dxfId="6547" priority="914">
      <formula>AV74="X"</formula>
    </cfRule>
    <cfRule type="expression" dxfId="6546" priority="915">
      <formula>AV74="후보"</formula>
    </cfRule>
  </conditionalFormatting>
  <conditionalFormatting sqref="Z74">
    <cfRule type="colorScale" priority="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6545" priority="911" operator="greaterThan">
      <formula>0.9</formula>
    </cfRule>
    <cfRule type="cellIs" dxfId="6544" priority="912" operator="greaterThan">
      <formula>0.85</formula>
    </cfRule>
  </conditionalFormatting>
  <conditionalFormatting sqref="N74">
    <cfRule type="cellIs" dxfId="6543" priority="909" operator="greaterThan">
      <formula>0.9</formula>
    </cfRule>
    <cfRule type="cellIs" dxfId="6542" priority="910" operator="greaterThan">
      <formula>0.85</formula>
    </cfRule>
  </conditionalFormatting>
  <conditionalFormatting sqref="E74">
    <cfRule type="expression" dxfId="6541" priority="905">
      <formula>AND(IF(OR($Q74=1,$Q74=2),1,0),IF($X74&lt;=20,1,0))</formula>
    </cfRule>
    <cfRule type="expression" dxfId="6540" priority="906">
      <formula>AND(IF($Q74=2,1,0),IF($X74&lt;30,1,0))</formula>
    </cfRule>
    <cfRule type="expression" dxfId="6539" priority="907">
      <formula>AND(IF($Q74=3,1,0),IF($X74&lt;30,1,0))</formula>
    </cfRule>
    <cfRule type="expression" dxfId="6538" priority="908">
      <formula>AND(IF($Q74=3,1,IF($Q74=4,1,0)),IF($F74&lt;=85,1,0))</formula>
    </cfRule>
  </conditionalFormatting>
  <conditionalFormatting sqref="X74">
    <cfRule type="expression" dxfId="6537" priority="901">
      <formula>AND(IF(OR($Q74=1,$Q74=2),1,0),IF($X74&lt;=20,1,0))</formula>
    </cfRule>
    <cfRule type="expression" dxfId="6536" priority="902">
      <formula>AND(IF($Q74=2,1,0),IF($X74&lt;30,1,0))</formula>
    </cfRule>
    <cfRule type="expression" dxfId="6535" priority="903">
      <formula>AND(IF($Q74=3,1,0),IF($X74&lt;30,1,0))</formula>
    </cfRule>
    <cfRule type="expression" dxfId="6534" priority="904">
      <formula>AND(IF($Q74=3,1,IF($Q74=4,1,0)),IF($F74&lt;=85,1,0))</formula>
    </cfRule>
  </conditionalFormatting>
  <conditionalFormatting sqref="AI74">
    <cfRule type="expression" dxfId="6533" priority="897">
      <formula>AND(IF(OR($Q74=1,$Q74=2),1,0),IF($X74&lt;=20,1,0))</formula>
    </cfRule>
    <cfRule type="expression" dxfId="6532" priority="898">
      <formula>AND(IF($Q74=2,1,0),IF($X74&lt;30,1,0))</formula>
    </cfRule>
    <cfRule type="expression" dxfId="6531" priority="899">
      <formula>AND(IF($Q74=3,1,0),IF($X74&lt;30,1,0))</formula>
    </cfRule>
    <cfRule type="expression" dxfId="6530" priority="900">
      <formula>AND(IF($Q74=3,1,IF($Q74=4,1,0)),IF($F74&lt;=85,1,0))</formula>
    </cfRule>
  </conditionalFormatting>
  <conditionalFormatting sqref="AV75">
    <cfRule type="expression" dxfId="6529" priority="895">
      <formula>AV75="X"</formula>
    </cfRule>
    <cfRule type="expression" dxfId="6528" priority="896">
      <formula>AV75="후보"</formula>
    </cfRule>
  </conditionalFormatting>
  <conditionalFormatting sqref="Z75">
    <cfRule type="colorScale" priority="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6527" priority="892" operator="greaterThan">
      <formula>0.9</formula>
    </cfRule>
    <cfRule type="cellIs" dxfId="6526" priority="893" operator="greaterThan">
      <formula>0.85</formula>
    </cfRule>
  </conditionalFormatting>
  <conditionalFormatting sqref="AV76">
    <cfRule type="expression" dxfId="6525" priority="890">
      <formula>AV76="X"</formula>
    </cfRule>
    <cfRule type="expression" dxfId="6524" priority="891">
      <formula>AV76="후보"</formula>
    </cfRule>
  </conditionalFormatting>
  <conditionalFormatting sqref="Z76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6523" priority="887" operator="greaterThan">
      <formula>0.9</formula>
    </cfRule>
    <cfRule type="cellIs" dxfId="6522" priority="888" operator="greaterThan">
      <formula>0.85</formula>
    </cfRule>
  </conditionalFormatting>
  <conditionalFormatting sqref="N76">
    <cfRule type="cellIs" dxfId="6521" priority="885" operator="greaterThan">
      <formula>0.9</formula>
    </cfRule>
    <cfRule type="cellIs" dxfId="6520" priority="886" operator="greaterThan">
      <formula>0.85</formula>
    </cfRule>
  </conditionalFormatting>
  <conditionalFormatting sqref="E76">
    <cfRule type="expression" dxfId="6519" priority="881">
      <formula>AND(IF(OR($Q76=1,$Q76=2),1,0),IF($X76&lt;=20,1,0))</formula>
    </cfRule>
    <cfRule type="expression" dxfId="6518" priority="882">
      <formula>AND(IF($Q76=2,1,0),IF($X76&lt;30,1,0))</formula>
    </cfRule>
    <cfRule type="expression" dxfId="6517" priority="883">
      <formula>AND(IF($Q76=3,1,0),IF($X76&lt;30,1,0))</formula>
    </cfRule>
    <cfRule type="expression" dxfId="6516" priority="884">
      <formula>AND(IF($Q76=3,1,IF($Q76=4,1,0)),IF($F76&lt;=85,1,0))</formula>
    </cfRule>
  </conditionalFormatting>
  <conditionalFormatting sqref="X76">
    <cfRule type="expression" dxfId="6515" priority="877">
      <formula>AND(IF(OR($Q76=1,$Q76=2),1,0),IF($X76&lt;=20,1,0))</formula>
    </cfRule>
    <cfRule type="expression" dxfId="6514" priority="878">
      <formula>AND(IF($Q76=2,1,0),IF($X76&lt;30,1,0))</formula>
    </cfRule>
    <cfRule type="expression" dxfId="6513" priority="879">
      <formula>AND(IF($Q76=3,1,0),IF($X76&lt;30,1,0))</formula>
    </cfRule>
    <cfRule type="expression" dxfId="6512" priority="880">
      <formula>AND(IF($Q76=3,1,IF($Q76=4,1,0)),IF($F76&lt;=85,1,0))</formula>
    </cfRule>
  </conditionalFormatting>
  <conditionalFormatting sqref="AI76">
    <cfRule type="expression" dxfId="6511" priority="873">
      <formula>AND(IF(OR($Q76=1,$Q76=2),1,0),IF($X76&lt;=20,1,0))</formula>
    </cfRule>
    <cfRule type="expression" dxfId="6510" priority="874">
      <formula>AND(IF($Q76=2,1,0),IF($X76&lt;30,1,0))</formula>
    </cfRule>
    <cfRule type="expression" dxfId="6509" priority="875">
      <formula>AND(IF($Q76=3,1,0),IF($X76&lt;30,1,0))</formula>
    </cfRule>
    <cfRule type="expression" dxfId="6508" priority="876">
      <formula>AND(IF($Q76=3,1,IF($Q76=4,1,0)),IF($F76&lt;=85,1,0))</formula>
    </cfRule>
  </conditionalFormatting>
  <conditionalFormatting sqref="AV77">
    <cfRule type="expression" dxfId="6507" priority="871">
      <formula>AV77="X"</formula>
    </cfRule>
    <cfRule type="expression" dxfId="6506" priority="872">
      <formula>AV77="후보"</formula>
    </cfRule>
  </conditionalFormatting>
  <conditionalFormatting sqref="Z77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6505" priority="868" operator="greaterThan">
      <formula>0.9</formula>
    </cfRule>
    <cfRule type="cellIs" dxfId="6504" priority="869" operator="greaterThan">
      <formula>0.85</formula>
    </cfRule>
  </conditionalFormatting>
  <conditionalFormatting sqref="N77">
    <cfRule type="cellIs" dxfId="6503" priority="866" operator="greaterThan">
      <formula>0.9</formula>
    </cfRule>
    <cfRule type="cellIs" dxfId="6502" priority="867" operator="greaterThan">
      <formula>0.85</formula>
    </cfRule>
  </conditionalFormatting>
  <conditionalFormatting sqref="E77">
    <cfRule type="expression" dxfId="6501" priority="862">
      <formula>AND(IF(OR($Q77=1,$Q77=2),1,0),IF($X77&lt;=20,1,0))</formula>
    </cfRule>
    <cfRule type="expression" dxfId="6500" priority="863">
      <formula>AND(IF($Q77=2,1,0),IF($X77&lt;30,1,0))</formula>
    </cfRule>
    <cfRule type="expression" dxfId="6499" priority="864">
      <formula>AND(IF($Q77=3,1,0),IF($X77&lt;30,1,0))</formula>
    </cfRule>
    <cfRule type="expression" dxfId="6498" priority="865">
      <formula>AND(IF($Q77=3,1,IF($Q77=4,1,0)),IF($F77&lt;=85,1,0))</formula>
    </cfRule>
  </conditionalFormatting>
  <conditionalFormatting sqref="X77">
    <cfRule type="expression" dxfId="6497" priority="858">
      <formula>AND(IF(OR($Q77=1,$Q77=2),1,0),IF($X77&lt;=20,1,0))</formula>
    </cfRule>
    <cfRule type="expression" dxfId="6496" priority="859">
      <formula>AND(IF($Q77=2,1,0),IF($X77&lt;30,1,0))</formula>
    </cfRule>
    <cfRule type="expression" dxfId="6495" priority="860">
      <formula>AND(IF($Q77=3,1,0),IF($X77&lt;30,1,0))</formula>
    </cfRule>
    <cfRule type="expression" dxfId="6494" priority="861">
      <formula>AND(IF($Q77=3,1,IF($Q77=4,1,0)),IF($F77&lt;=85,1,0))</formula>
    </cfRule>
  </conditionalFormatting>
  <conditionalFormatting sqref="AI77">
    <cfRule type="expression" dxfId="6493" priority="854">
      <formula>AND(IF(OR($Q77=1,$Q77=2),1,0),IF($X77&lt;=20,1,0))</formula>
    </cfRule>
    <cfRule type="expression" dxfId="6492" priority="855">
      <formula>AND(IF($Q77=2,1,0),IF($X77&lt;30,1,0))</formula>
    </cfRule>
    <cfRule type="expression" dxfId="6491" priority="856">
      <formula>AND(IF($Q77=3,1,0),IF($X77&lt;30,1,0))</formula>
    </cfRule>
    <cfRule type="expression" dxfId="6490" priority="857">
      <formula>AND(IF($Q77=3,1,IF($Q77=4,1,0)),IF($F77&lt;=85,1,0))</formula>
    </cfRule>
  </conditionalFormatting>
  <conditionalFormatting sqref="AV78">
    <cfRule type="expression" dxfId="6489" priority="852">
      <formula>AV78="X"</formula>
    </cfRule>
    <cfRule type="expression" dxfId="6488" priority="853">
      <formula>AV78="후보"</formula>
    </cfRule>
  </conditionalFormatting>
  <conditionalFormatting sqref="Z78">
    <cfRule type="colorScale" priority="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6487" priority="849" operator="greaterThan">
      <formula>0.9</formula>
    </cfRule>
    <cfRule type="cellIs" dxfId="6486" priority="850" operator="greaterThan">
      <formula>0.85</formula>
    </cfRule>
  </conditionalFormatting>
  <conditionalFormatting sqref="N78">
    <cfRule type="cellIs" dxfId="6485" priority="847" operator="greaterThan">
      <formula>0.9</formula>
    </cfRule>
    <cfRule type="cellIs" dxfId="6484" priority="848" operator="greaterThan">
      <formula>0.85</formula>
    </cfRule>
  </conditionalFormatting>
  <conditionalFormatting sqref="E78">
    <cfRule type="expression" dxfId="6483" priority="843">
      <formula>AND(IF(OR($Q78=1,$Q78=2),1,0),IF($X78&lt;=20,1,0))</formula>
    </cfRule>
    <cfRule type="expression" dxfId="6482" priority="844">
      <formula>AND(IF($Q78=2,1,0),IF($X78&lt;30,1,0))</formula>
    </cfRule>
    <cfRule type="expression" dxfId="6481" priority="845">
      <formula>AND(IF($Q78=3,1,0),IF($X78&lt;30,1,0))</formula>
    </cfRule>
    <cfRule type="expression" dxfId="6480" priority="846">
      <formula>AND(IF($Q78=3,1,IF($Q78=4,1,0)),IF($F78&lt;=85,1,0))</formula>
    </cfRule>
  </conditionalFormatting>
  <conditionalFormatting sqref="X78">
    <cfRule type="expression" dxfId="6479" priority="839">
      <formula>AND(IF(OR($Q78=1,$Q78=2),1,0),IF($X78&lt;=20,1,0))</formula>
    </cfRule>
    <cfRule type="expression" dxfId="6478" priority="840">
      <formula>AND(IF($Q78=2,1,0),IF($X78&lt;30,1,0))</formula>
    </cfRule>
    <cfRule type="expression" dxfId="6477" priority="841">
      <formula>AND(IF($Q78=3,1,0),IF($X78&lt;30,1,0))</formula>
    </cfRule>
    <cfRule type="expression" dxfId="6476" priority="842">
      <formula>AND(IF($Q78=3,1,IF($Q78=4,1,0)),IF($F78&lt;=85,1,0))</formula>
    </cfRule>
  </conditionalFormatting>
  <conditionalFormatting sqref="AI78">
    <cfRule type="expression" dxfId="6475" priority="835">
      <formula>AND(IF(OR($Q78=1,$Q78=2),1,0),IF($X78&lt;=20,1,0))</formula>
    </cfRule>
    <cfRule type="expression" dxfId="6474" priority="836">
      <formula>AND(IF($Q78=2,1,0),IF($X78&lt;30,1,0))</formula>
    </cfRule>
    <cfRule type="expression" dxfId="6473" priority="837">
      <formula>AND(IF($Q78=3,1,0),IF($X78&lt;30,1,0))</formula>
    </cfRule>
    <cfRule type="expression" dxfId="6472" priority="838">
      <formula>AND(IF($Q78=3,1,IF($Q78=4,1,0)),IF($F78&lt;=85,1,0))</formula>
    </cfRule>
  </conditionalFormatting>
  <conditionalFormatting sqref="AV79">
    <cfRule type="expression" dxfId="6471" priority="833">
      <formula>AV79="X"</formula>
    </cfRule>
    <cfRule type="expression" dxfId="6470" priority="834">
      <formula>AV79="후보"</formula>
    </cfRule>
  </conditionalFormatting>
  <conditionalFormatting sqref="Z79">
    <cfRule type="colorScale" priority="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6469" priority="830" operator="greaterThan">
      <formula>0.9</formula>
    </cfRule>
    <cfRule type="cellIs" dxfId="6468" priority="831" operator="greaterThan">
      <formula>0.85</formula>
    </cfRule>
  </conditionalFormatting>
  <conditionalFormatting sqref="AV80">
    <cfRule type="expression" dxfId="6467" priority="828">
      <formula>AV80="X"</formula>
    </cfRule>
    <cfRule type="expression" dxfId="6466" priority="829">
      <formula>AV80="후보"</formula>
    </cfRule>
  </conditionalFormatting>
  <conditionalFormatting sqref="Z80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6465" priority="825" operator="greaterThan">
      <formula>0.9</formula>
    </cfRule>
    <cfRule type="cellIs" dxfId="6464" priority="826" operator="greaterThan">
      <formula>0.85</formula>
    </cfRule>
  </conditionalFormatting>
  <conditionalFormatting sqref="N80">
    <cfRule type="cellIs" dxfId="6463" priority="823" operator="greaterThan">
      <formula>0.9</formula>
    </cfRule>
    <cfRule type="cellIs" dxfId="6462" priority="824" operator="greaterThan">
      <formula>0.85</formula>
    </cfRule>
  </conditionalFormatting>
  <conditionalFormatting sqref="E80">
    <cfRule type="expression" dxfId="6461" priority="819">
      <formula>AND(IF(OR($Q80=1,$Q80=2),1,0),IF($X80&lt;=20,1,0))</formula>
    </cfRule>
    <cfRule type="expression" dxfId="6460" priority="820">
      <formula>AND(IF($Q80=2,1,0),IF($X80&lt;30,1,0))</formula>
    </cfRule>
    <cfRule type="expression" dxfId="6459" priority="821">
      <formula>AND(IF($Q80=3,1,0),IF($X80&lt;30,1,0))</formula>
    </cfRule>
    <cfRule type="expression" dxfId="6458" priority="822">
      <formula>AND(IF($Q80=3,1,IF($Q80=4,1,0)),IF($F80&lt;=85,1,0))</formula>
    </cfRule>
  </conditionalFormatting>
  <conditionalFormatting sqref="X80">
    <cfRule type="expression" dxfId="6457" priority="815">
      <formula>AND(IF(OR($Q80=1,$Q80=2),1,0),IF($X80&lt;=20,1,0))</formula>
    </cfRule>
    <cfRule type="expression" dxfId="6456" priority="816">
      <formula>AND(IF($Q80=2,1,0),IF($X80&lt;30,1,0))</formula>
    </cfRule>
    <cfRule type="expression" dxfId="6455" priority="817">
      <formula>AND(IF($Q80=3,1,0),IF($X80&lt;30,1,0))</formula>
    </cfRule>
    <cfRule type="expression" dxfId="6454" priority="818">
      <formula>AND(IF($Q80=3,1,IF($Q80=4,1,0)),IF($F80&lt;=85,1,0))</formula>
    </cfRule>
  </conditionalFormatting>
  <conditionalFormatting sqref="AI80">
    <cfRule type="expression" dxfId="6453" priority="811">
      <formula>AND(IF(OR($Q80=1,$Q80=2),1,0),IF($X80&lt;=20,1,0))</formula>
    </cfRule>
    <cfRule type="expression" dxfId="6452" priority="812">
      <formula>AND(IF($Q80=2,1,0),IF($X80&lt;30,1,0))</formula>
    </cfRule>
    <cfRule type="expression" dxfId="6451" priority="813">
      <formula>AND(IF($Q80=3,1,0),IF($X80&lt;30,1,0))</formula>
    </cfRule>
    <cfRule type="expression" dxfId="6450" priority="814">
      <formula>AND(IF($Q80=3,1,IF($Q80=4,1,0)),IF($F80&lt;=85,1,0))</formula>
    </cfRule>
  </conditionalFormatting>
  <conditionalFormatting sqref="AV81">
    <cfRule type="expression" dxfId="6449" priority="809">
      <formula>AV81="X"</formula>
    </cfRule>
    <cfRule type="expression" dxfId="6448" priority="810">
      <formula>AV81="후보"</formula>
    </cfRule>
  </conditionalFormatting>
  <conditionalFormatting sqref="Z81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6447" priority="806" operator="greaterThan">
      <formula>0.9</formula>
    </cfRule>
    <cfRule type="cellIs" dxfId="6446" priority="807" operator="greaterThan">
      <formula>0.85</formula>
    </cfRule>
  </conditionalFormatting>
  <conditionalFormatting sqref="N81">
    <cfRule type="cellIs" dxfId="6445" priority="804" operator="greaterThan">
      <formula>0.9</formula>
    </cfRule>
    <cfRule type="cellIs" dxfId="6444" priority="805" operator="greaterThan">
      <formula>0.85</formula>
    </cfRule>
  </conditionalFormatting>
  <conditionalFormatting sqref="E81">
    <cfRule type="expression" dxfId="6443" priority="800">
      <formula>AND(IF(OR($Q81=1,$Q81=2),1,0),IF($X81&lt;=20,1,0))</formula>
    </cfRule>
    <cfRule type="expression" dxfId="6442" priority="801">
      <formula>AND(IF($Q81=2,1,0),IF($X81&lt;30,1,0))</formula>
    </cfRule>
    <cfRule type="expression" dxfId="6441" priority="802">
      <formula>AND(IF($Q81=3,1,0),IF($X81&lt;30,1,0))</formula>
    </cfRule>
    <cfRule type="expression" dxfId="6440" priority="803">
      <formula>AND(IF($Q81=3,1,IF($Q81=4,1,0)),IF($F81&lt;=85,1,0))</formula>
    </cfRule>
  </conditionalFormatting>
  <conditionalFormatting sqref="X81">
    <cfRule type="expression" dxfId="6439" priority="796">
      <formula>AND(IF(OR($Q81=1,$Q81=2),1,0),IF($X81&lt;=20,1,0))</formula>
    </cfRule>
    <cfRule type="expression" dxfId="6438" priority="797">
      <formula>AND(IF($Q81=2,1,0),IF($X81&lt;30,1,0))</formula>
    </cfRule>
    <cfRule type="expression" dxfId="6437" priority="798">
      <formula>AND(IF($Q81=3,1,0),IF($X81&lt;30,1,0))</formula>
    </cfRule>
    <cfRule type="expression" dxfId="6436" priority="799">
      <formula>AND(IF($Q81=3,1,IF($Q81=4,1,0)),IF($F81&lt;=85,1,0))</formula>
    </cfRule>
  </conditionalFormatting>
  <conditionalFormatting sqref="AI81">
    <cfRule type="expression" dxfId="6435" priority="792">
      <formula>AND(IF(OR($Q81=1,$Q81=2),1,0),IF($X81&lt;=20,1,0))</formula>
    </cfRule>
    <cfRule type="expression" dxfId="6434" priority="793">
      <formula>AND(IF($Q81=2,1,0),IF($X81&lt;30,1,0))</formula>
    </cfRule>
    <cfRule type="expression" dxfId="6433" priority="794">
      <formula>AND(IF($Q81=3,1,0),IF($X81&lt;30,1,0))</formula>
    </cfRule>
    <cfRule type="expression" dxfId="6432" priority="795">
      <formula>AND(IF($Q81=3,1,IF($Q81=4,1,0)),IF($F81&lt;=85,1,0))</formula>
    </cfRule>
  </conditionalFormatting>
  <conditionalFormatting sqref="AV82">
    <cfRule type="expression" dxfId="6431" priority="790">
      <formula>AV82="X"</formula>
    </cfRule>
    <cfRule type="expression" dxfId="6430" priority="791">
      <formula>AV82="후보"</formula>
    </cfRule>
  </conditionalFormatting>
  <conditionalFormatting sqref="Z82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6429" priority="787" operator="greaterThan">
      <formula>0.9</formula>
    </cfRule>
    <cfRule type="cellIs" dxfId="6428" priority="788" operator="greaterThan">
      <formula>0.85</formula>
    </cfRule>
  </conditionalFormatting>
  <conditionalFormatting sqref="N82">
    <cfRule type="cellIs" dxfId="6427" priority="785" operator="greaterThan">
      <formula>0.9</formula>
    </cfRule>
    <cfRule type="cellIs" dxfId="6426" priority="786" operator="greaterThan">
      <formula>0.85</formula>
    </cfRule>
  </conditionalFormatting>
  <conditionalFormatting sqref="E82">
    <cfRule type="expression" dxfId="6425" priority="781">
      <formula>AND(IF(OR($Q82=1,$Q82=2),1,0),IF($X82&lt;=20,1,0))</formula>
    </cfRule>
    <cfRule type="expression" dxfId="6424" priority="782">
      <formula>AND(IF($Q82=2,1,0),IF($X82&lt;30,1,0))</formula>
    </cfRule>
    <cfRule type="expression" dxfId="6423" priority="783">
      <formula>AND(IF($Q82=3,1,0),IF($X82&lt;30,1,0))</formula>
    </cfRule>
    <cfRule type="expression" dxfId="6422" priority="784">
      <formula>AND(IF($Q82=3,1,IF($Q82=4,1,0)),IF($F82&lt;=85,1,0))</formula>
    </cfRule>
  </conditionalFormatting>
  <conditionalFormatting sqref="X82">
    <cfRule type="expression" dxfId="6421" priority="777">
      <formula>AND(IF(OR($Q82=1,$Q82=2),1,0),IF($X82&lt;=20,1,0))</formula>
    </cfRule>
    <cfRule type="expression" dxfId="6420" priority="778">
      <formula>AND(IF($Q82=2,1,0),IF($X82&lt;30,1,0))</formula>
    </cfRule>
    <cfRule type="expression" dxfId="6419" priority="779">
      <formula>AND(IF($Q82=3,1,0),IF($X82&lt;30,1,0))</formula>
    </cfRule>
    <cfRule type="expression" dxfId="6418" priority="780">
      <formula>AND(IF($Q82=3,1,IF($Q82=4,1,0)),IF($F82&lt;=85,1,0))</formula>
    </cfRule>
  </conditionalFormatting>
  <conditionalFormatting sqref="AI82">
    <cfRule type="expression" dxfId="6417" priority="773">
      <formula>AND(IF(OR($Q82=1,$Q82=2),1,0),IF($X82&lt;=20,1,0))</formula>
    </cfRule>
    <cfRule type="expression" dxfId="6416" priority="774">
      <formula>AND(IF($Q82=2,1,0),IF($X82&lt;30,1,0))</formula>
    </cfRule>
    <cfRule type="expression" dxfId="6415" priority="775">
      <formula>AND(IF($Q82=3,1,0),IF($X82&lt;30,1,0))</formula>
    </cfRule>
    <cfRule type="expression" dxfId="6414" priority="776">
      <formula>AND(IF($Q82=3,1,IF($Q82=4,1,0)),IF($F82&lt;=85,1,0))</formula>
    </cfRule>
  </conditionalFormatting>
  <conditionalFormatting sqref="AV83">
    <cfRule type="expression" dxfId="6413" priority="771">
      <formula>AV83="X"</formula>
    </cfRule>
    <cfRule type="expression" dxfId="6412" priority="772">
      <formula>AV83="후보"</formula>
    </cfRule>
  </conditionalFormatting>
  <conditionalFormatting sqref="Z83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6411" priority="768" operator="greaterThan">
      <formula>0.9</formula>
    </cfRule>
    <cfRule type="cellIs" dxfId="6410" priority="769" operator="greaterThan">
      <formula>0.85</formula>
    </cfRule>
  </conditionalFormatting>
  <conditionalFormatting sqref="AV84">
    <cfRule type="expression" dxfId="6409" priority="766">
      <formula>AV84="X"</formula>
    </cfRule>
    <cfRule type="expression" dxfId="6408" priority="767">
      <formula>AV84="후보"</formula>
    </cfRule>
  </conditionalFormatting>
  <conditionalFormatting sqref="Z84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6407" priority="763" operator="greaterThan">
      <formula>0.9</formula>
    </cfRule>
    <cfRule type="cellIs" dxfId="6406" priority="764" operator="greaterThan">
      <formula>0.85</formula>
    </cfRule>
  </conditionalFormatting>
  <conditionalFormatting sqref="N84">
    <cfRule type="cellIs" dxfId="6405" priority="761" operator="greaterThan">
      <formula>0.9</formula>
    </cfRule>
    <cfRule type="cellIs" dxfId="6404" priority="762" operator="greaterThan">
      <formula>0.85</formula>
    </cfRule>
  </conditionalFormatting>
  <conditionalFormatting sqref="E84">
    <cfRule type="expression" dxfId="6403" priority="757">
      <formula>AND(IF(OR($Q84=1,$Q84=2),1,0),IF($X84&lt;=20,1,0))</formula>
    </cfRule>
    <cfRule type="expression" dxfId="6402" priority="758">
      <formula>AND(IF($Q84=2,1,0),IF($X84&lt;30,1,0))</formula>
    </cfRule>
    <cfRule type="expression" dxfId="6401" priority="759">
      <formula>AND(IF($Q84=3,1,0),IF($X84&lt;30,1,0))</formula>
    </cfRule>
    <cfRule type="expression" dxfId="6400" priority="760">
      <formula>AND(IF($Q84=3,1,IF($Q84=4,1,0)),IF($F84&lt;=85,1,0))</formula>
    </cfRule>
  </conditionalFormatting>
  <conditionalFormatting sqref="X84">
    <cfRule type="expression" dxfId="6399" priority="753">
      <formula>AND(IF(OR($Q84=1,$Q84=2),1,0),IF($X84&lt;=20,1,0))</formula>
    </cfRule>
    <cfRule type="expression" dxfId="6398" priority="754">
      <formula>AND(IF($Q84=2,1,0),IF($X84&lt;30,1,0))</formula>
    </cfRule>
    <cfRule type="expression" dxfId="6397" priority="755">
      <formula>AND(IF($Q84=3,1,0),IF($X84&lt;30,1,0))</formula>
    </cfRule>
    <cfRule type="expression" dxfId="6396" priority="756">
      <formula>AND(IF($Q84=3,1,IF($Q84=4,1,0)),IF($F84&lt;=85,1,0))</formula>
    </cfRule>
  </conditionalFormatting>
  <conditionalFormatting sqref="AI84">
    <cfRule type="expression" dxfId="6395" priority="749">
      <formula>AND(IF(OR($Q84=1,$Q84=2),1,0),IF($X84&lt;=20,1,0))</formula>
    </cfRule>
    <cfRule type="expression" dxfId="6394" priority="750">
      <formula>AND(IF($Q84=2,1,0),IF($X84&lt;30,1,0))</formula>
    </cfRule>
    <cfRule type="expression" dxfId="6393" priority="751">
      <formula>AND(IF($Q84=3,1,0),IF($X84&lt;30,1,0))</formula>
    </cfRule>
    <cfRule type="expression" dxfId="6392" priority="752">
      <formula>AND(IF($Q84=3,1,IF($Q84=4,1,0)),IF($F84&lt;=85,1,0))</formula>
    </cfRule>
  </conditionalFormatting>
  <conditionalFormatting sqref="AV85">
    <cfRule type="expression" dxfId="6391" priority="747">
      <formula>AV85="X"</formula>
    </cfRule>
    <cfRule type="expression" dxfId="6390" priority="748">
      <formula>AV85="후보"</formula>
    </cfRule>
  </conditionalFormatting>
  <conditionalFormatting sqref="Z85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6389" priority="744" operator="greaterThan">
      <formula>0.9</formula>
    </cfRule>
    <cfRule type="cellIs" dxfId="6388" priority="745" operator="greaterThan">
      <formula>0.85</formula>
    </cfRule>
  </conditionalFormatting>
  <conditionalFormatting sqref="N85">
    <cfRule type="cellIs" dxfId="6387" priority="742" operator="greaterThan">
      <formula>0.9</formula>
    </cfRule>
    <cfRule type="cellIs" dxfId="6386" priority="743" operator="greaterThan">
      <formula>0.85</formula>
    </cfRule>
  </conditionalFormatting>
  <conditionalFormatting sqref="E85">
    <cfRule type="expression" dxfId="6385" priority="738">
      <formula>AND(IF(OR($Q85=1,$Q85=2),1,0),IF($X85&lt;=20,1,0))</formula>
    </cfRule>
    <cfRule type="expression" dxfId="6384" priority="739">
      <formula>AND(IF($Q85=2,1,0),IF($X85&lt;30,1,0))</formula>
    </cfRule>
    <cfRule type="expression" dxfId="6383" priority="740">
      <formula>AND(IF($Q85=3,1,0),IF($X85&lt;30,1,0))</formula>
    </cfRule>
    <cfRule type="expression" dxfId="6382" priority="741">
      <formula>AND(IF($Q85=3,1,IF($Q85=4,1,0)),IF($F85&lt;=85,1,0))</formula>
    </cfRule>
  </conditionalFormatting>
  <conditionalFormatting sqref="X85">
    <cfRule type="expression" dxfId="6381" priority="734">
      <formula>AND(IF(OR($Q85=1,$Q85=2),1,0),IF($X85&lt;=20,1,0))</formula>
    </cfRule>
    <cfRule type="expression" dxfId="6380" priority="735">
      <formula>AND(IF($Q85=2,1,0),IF($X85&lt;30,1,0))</formula>
    </cfRule>
    <cfRule type="expression" dxfId="6379" priority="736">
      <formula>AND(IF($Q85=3,1,0),IF($X85&lt;30,1,0))</formula>
    </cfRule>
    <cfRule type="expression" dxfId="6378" priority="737">
      <formula>AND(IF($Q85=3,1,IF($Q85=4,1,0)),IF($F85&lt;=85,1,0))</formula>
    </cfRule>
  </conditionalFormatting>
  <conditionalFormatting sqref="AI85">
    <cfRule type="expression" dxfId="6377" priority="730">
      <formula>AND(IF(OR($Q85=1,$Q85=2),1,0),IF($X85&lt;=20,1,0))</formula>
    </cfRule>
    <cfRule type="expression" dxfId="6376" priority="731">
      <formula>AND(IF($Q85=2,1,0),IF($X85&lt;30,1,0))</formula>
    </cfRule>
    <cfRule type="expression" dxfId="6375" priority="732">
      <formula>AND(IF($Q85=3,1,0),IF($X85&lt;30,1,0))</formula>
    </cfRule>
    <cfRule type="expression" dxfId="6374" priority="733">
      <formula>AND(IF($Q85=3,1,IF($Q85=4,1,0)),IF($F85&lt;=85,1,0))</formula>
    </cfRule>
  </conditionalFormatting>
  <conditionalFormatting sqref="AV86">
    <cfRule type="expression" dxfId="6373" priority="728">
      <formula>AV86="X"</formula>
    </cfRule>
    <cfRule type="expression" dxfId="6372" priority="729">
      <formula>AV86="후보"</formula>
    </cfRule>
  </conditionalFormatting>
  <conditionalFormatting sqref="Z86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6371" priority="725" operator="greaterThan">
      <formula>0.9</formula>
    </cfRule>
    <cfRule type="cellIs" dxfId="6370" priority="726" operator="greaterThan">
      <formula>0.85</formula>
    </cfRule>
  </conditionalFormatting>
  <conditionalFormatting sqref="AV87">
    <cfRule type="expression" dxfId="6369" priority="723">
      <formula>AV87="X"</formula>
    </cfRule>
    <cfRule type="expression" dxfId="6368" priority="724">
      <formula>AV87="후보"</formula>
    </cfRule>
  </conditionalFormatting>
  <conditionalFormatting sqref="Z87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6367" priority="720" operator="greaterThan">
      <formula>0.9</formula>
    </cfRule>
    <cfRule type="cellIs" dxfId="6366" priority="721" operator="greaterThan">
      <formula>0.85</formula>
    </cfRule>
  </conditionalFormatting>
  <conditionalFormatting sqref="N87">
    <cfRule type="cellIs" dxfId="6365" priority="718" operator="greaterThan">
      <formula>0.9</formula>
    </cfRule>
    <cfRule type="cellIs" dxfId="6364" priority="719" operator="greaterThan">
      <formula>0.85</formula>
    </cfRule>
  </conditionalFormatting>
  <conditionalFormatting sqref="E87">
    <cfRule type="expression" dxfId="6363" priority="714">
      <formula>AND(IF(OR($Q87=1,$Q87=2),1,0),IF($X87&lt;=20,1,0))</formula>
    </cfRule>
    <cfRule type="expression" dxfId="6362" priority="715">
      <formula>AND(IF($Q87=2,1,0),IF($X87&lt;30,1,0))</formula>
    </cfRule>
    <cfRule type="expression" dxfId="6361" priority="716">
      <formula>AND(IF($Q87=3,1,0),IF($X87&lt;30,1,0))</formula>
    </cfRule>
    <cfRule type="expression" dxfId="6360" priority="717">
      <formula>AND(IF($Q87=3,1,IF($Q87=4,1,0)),IF($F87&lt;=85,1,0))</formula>
    </cfRule>
  </conditionalFormatting>
  <conditionalFormatting sqref="X87">
    <cfRule type="expression" dxfId="6359" priority="710">
      <formula>AND(IF(OR($Q87=1,$Q87=2),1,0),IF($X87&lt;=20,1,0))</formula>
    </cfRule>
    <cfRule type="expression" dxfId="6358" priority="711">
      <formula>AND(IF($Q87=2,1,0),IF($X87&lt;30,1,0))</formula>
    </cfRule>
    <cfRule type="expression" dxfId="6357" priority="712">
      <formula>AND(IF($Q87=3,1,0),IF($X87&lt;30,1,0))</formula>
    </cfRule>
    <cfRule type="expression" dxfId="6356" priority="713">
      <formula>AND(IF($Q87=3,1,IF($Q87=4,1,0)),IF($F87&lt;=85,1,0))</formula>
    </cfRule>
  </conditionalFormatting>
  <conditionalFormatting sqref="AI87">
    <cfRule type="expression" dxfId="6355" priority="706">
      <formula>AND(IF(OR($Q87=1,$Q87=2),1,0),IF($X87&lt;=20,1,0))</formula>
    </cfRule>
    <cfRule type="expression" dxfId="6354" priority="707">
      <formula>AND(IF($Q87=2,1,0),IF($X87&lt;30,1,0))</formula>
    </cfRule>
    <cfRule type="expression" dxfId="6353" priority="708">
      <formula>AND(IF($Q87=3,1,0),IF($X87&lt;30,1,0))</formula>
    </cfRule>
    <cfRule type="expression" dxfId="6352" priority="709">
      <formula>AND(IF($Q87=3,1,IF($Q87=4,1,0)),IF($F87&lt;=85,1,0))</formula>
    </cfRule>
  </conditionalFormatting>
  <conditionalFormatting sqref="AV88">
    <cfRule type="expression" dxfId="6351" priority="704">
      <formula>AV88="X"</formula>
    </cfRule>
    <cfRule type="expression" dxfId="6350" priority="705">
      <formula>AV88="후보"</formula>
    </cfRule>
  </conditionalFormatting>
  <conditionalFormatting sqref="Z88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 N88">
    <cfRule type="cellIs" dxfId="6349" priority="701" operator="greaterThan">
      <formula>0.9</formula>
    </cfRule>
    <cfRule type="cellIs" dxfId="6348" priority="702" operator="greaterThan">
      <formula>0.85</formula>
    </cfRule>
  </conditionalFormatting>
  <conditionalFormatting sqref="AV89">
    <cfRule type="expression" dxfId="6347" priority="699">
      <formula>AV89="X"</formula>
    </cfRule>
    <cfRule type="expression" dxfId="6346" priority="700">
      <formula>AV89="후보"</formula>
    </cfRule>
  </conditionalFormatting>
  <conditionalFormatting sqref="Z89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6345" priority="696" operator="greaterThan">
      <formula>0.9</formula>
    </cfRule>
    <cfRule type="cellIs" dxfId="6344" priority="697" operator="greaterThan">
      <formula>0.85</formula>
    </cfRule>
  </conditionalFormatting>
  <conditionalFormatting sqref="N89">
    <cfRule type="cellIs" dxfId="6343" priority="694" operator="greaterThan">
      <formula>0.9</formula>
    </cfRule>
    <cfRule type="cellIs" dxfId="6342" priority="695" operator="greaterThan">
      <formula>0.85</formula>
    </cfRule>
  </conditionalFormatting>
  <conditionalFormatting sqref="E89">
    <cfRule type="expression" dxfId="6341" priority="690">
      <formula>AND(IF(OR($Q89=1,$Q89=2),1,0),IF($X89&lt;=20,1,0))</formula>
    </cfRule>
    <cfRule type="expression" dxfId="6340" priority="691">
      <formula>AND(IF($Q89=2,1,0),IF($X89&lt;30,1,0))</formula>
    </cfRule>
    <cfRule type="expression" dxfId="6339" priority="692">
      <formula>AND(IF($Q89=3,1,0),IF($X89&lt;30,1,0))</formula>
    </cfRule>
    <cfRule type="expression" dxfId="6338" priority="693">
      <formula>AND(IF($Q89=3,1,IF($Q89=4,1,0)),IF($F89&lt;=85,1,0))</formula>
    </cfRule>
  </conditionalFormatting>
  <conditionalFormatting sqref="X89">
    <cfRule type="expression" dxfId="6337" priority="686">
      <formula>AND(IF(OR($Q89=1,$Q89=2),1,0),IF($X89&lt;=20,1,0))</formula>
    </cfRule>
    <cfRule type="expression" dxfId="6336" priority="687">
      <formula>AND(IF($Q89=2,1,0),IF($X89&lt;30,1,0))</formula>
    </cfRule>
    <cfRule type="expression" dxfId="6335" priority="688">
      <formula>AND(IF($Q89=3,1,0),IF($X89&lt;30,1,0))</formula>
    </cfRule>
    <cfRule type="expression" dxfId="6334" priority="689">
      <formula>AND(IF($Q89=3,1,IF($Q89=4,1,0)),IF($F89&lt;=85,1,0))</formula>
    </cfRule>
  </conditionalFormatting>
  <conditionalFormatting sqref="AI89">
    <cfRule type="expression" dxfId="6333" priority="682">
      <formula>AND(IF(OR($Q89=1,$Q89=2),1,0),IF($X89&lt;=20,1,0))</formula>
    </cfRule>
    <cfRule type="expression" dxfId="6332" priority="683">
      <formula>AND(IF($Q89=2,1,0),IF($X89&lt;30,1,0))</formula>
    </cfRule>
    <cfRule type="expression" dxfId="6331" priority="684">
      <formula>AND(IF($Q89=3,1,0),IF($X89&lt;30,1,0))</formula>
    </cfRule>
    <cfRule type="expression" dxfId="6330" priority="685">
      <formula>AND(IF($Q89=3,1,IF($Q89=4,1,0)),IF($F89&lt;=85,1,0))</formula>
    </cfRule>
  </conditionalFormatting>
  <conditionalFormatting sqref="AV90">
    <cfRule type="expression" dxfId="6329" priority="680">
      <formula>AV90="X"</formula>
    </cfRule>
    <cfRule type="expression" dxfId="6328" priority="681">
      <formula>AV90="후보"</formula>
    </cfRule>
  </conditionalFormatting>
  <conditionalFormatting sqref="Z90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6327" priority="677" operator="greaterThan">
      <formula>0.9</formula>
    </cfRule>
    <cfRule type="cellIs" dxfId="6326" priority="678" operator="greaterThan">
      <formula>0.85</formula>
    </cfRule>
  </conditionalFormatting>
  <conditionalFormatting sqref="N90">
    <cfRule type="cellIs" dxfId="6325" priority="675" operator="greaterThan">
      <formula>0.9</formula>
    </cfRule>
    <cfRule type="cellIs" dxfId="6324" priority="676" operator="greaterThan">
      <formula>0.85</formula>
    </cfRule>
  </conditionalFormatting>
  <conditionalFormatting sqref="E90">
    <cfRule type="expression" dxfId="6323" priority="671">
      <formula>AND(IF(OR($Q90=1,$Q90=2),1,0),IF($X90&lt;=20,1,0))</formula>
    </cfRule>
    <cfRule type="expression" dxfId="6322" priority="672">
      <formula>AND(IF($Q90=2,1,0),IF($X90&lt;30,1,0))</formula>
    </cfRule>
    <cfRule type="expression" dxfId="6321" priority="673">
      <formula>AND(IF($Q90=3,1,0),IF($X90&lt;30,1,0))</formula>
    </cfRule>
    <cfRule type="expression" dxfId="6320" priority="674">
      <formula>AND(IF($Q90=3,1,IF($Q90=4,1,0)),IF($F90&lt;=85,1,0))</formula>
    </cfRule>
  </conditionalFormatting>
  <conditionalFormatting sqref="X90">
    <cfRule type="expression" dxfId="6319" priority="667">
      <formula>AND(IF(OR($Q90=1,$Q90=2),1,0),IF($X90&lt;=20,1,0))</formula>
    </cfRule>
    <cfRule type="expression" dxfId="6318" priority="668">
      <formula>AND(IF($Q90=2,1,0),IF($X90&lt;30,1,0))</formula>
    </cfRule>
    <cfRule type="expression" dxfId="6317" priority="669">
      <formula>AND(IF($Q90=3,1,0),IF($X90&lt;30,1,0))</formula>
    </cfRule>
    <cfRule type="expression" dxfId="6316" priority="670">
      <formula>AND(IF($Q90=3,1,IF($Q90=4,1,0)),IF($F90&lt;=85,1,0))</formula>
    </cfRule>
  </conditionalFormatting>
  <conditionalFormatting sqref="AI90">
    <cfRule type="expression" dxfId="6315" priority="663">
      <formula>AND(IF(OR($Q90=1,$Q90=2),1,0),IF($X90&lt;=20,1,0))</formula>
    </cfRule>
    <cfRule type="expression" dxfId="6314" priority="664">
      <formula>AND(IF($Q90=2,1,0),IF($X90&lt;30,1,0))</formula>
    </cfRule>
    <cfRule type="expression" dxfId="6313" priority="665">
      <formula>AND(IF($Q90=3,1,0),IF($X90&lt;30,1,0))</formula>
    </cfRule>
    <cfRule type="expression" dxfId="6312" priority="666">
      <formula>AND(IF($Q90=3,1,IF($Q90=4,1,0)),IF($F90&lt;=85,1,0))</formula>
    </cfRule>
  </conditionalFormatting>
  <conditionalFormatting sqref="AV91">
    <cfRule type="expression" dxfId="6311" priority="661">
      <formula>AV91="X"</formula>
    </cfRule>
    <cfRule type="expression" dxfId="6310" priority="662">
      <formula>AV91="후보"</formula>
    </cfRule>
  </conditionalFormatting>
  <conditionalFormatting sqref="Z91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6309" priority="658" operator="greaterThan">
      <formula>0.9</formula>
    </cfRule>
    <cfRule type="cellIs" dxfId="6308" priority="659" operator="greaterThan">
      <formula>0.85</formula>
    </cfRule>
  </conditionalFormatting>
  <conditionalFormatting sqref="N91">
    <cfRule type="cellIs" dxfId="6307" priority="656" operator="greaterThan">
      <formula>0.9</formula>
    </cfRule>
    <cfRule type="cellIs" dxfId="6306" priority="657" operator="greaterThan">
      <formula>0.85</formula>
    </cfRule>
  </conditionalFormatting>
  <conditionalFormatting sqref="E91">
    <cfRule type="expression" dxfId="6305" priority="652">
      <formula>AND(IF(OR($Q91=1,$Q91=2),1,0),IF($X91&lt;=20,1,0))</formula>
    </cfRule>
    <cfRule type="expression" dxfId="6304" priority="653">
      <formula>AND(IF($Q91=2,1,0),IF($X91&lt;30,1,0))</formula>
    </cfRule>
    <cfRule type="expression" dxfId="6303" priority="654">
      <formula>AND(IF($Q91=3,1,0),IF($X91&lt;30,1,0))</formula>
    </cfRule>
    <cfRule type="expression" dxfId="6302" priority="655">
      <formula>AND(IF($Q91=3,1,IF($Q91=4,1,0)),IF($F91&lt;=85,1,0))</formula>
    </cfRule>
  </conditionalFormatting>
  <conditionalFormatting sqref="X91">
    <cfRule type="expression" dxfId="6301" priority="648">
      <formula>AND(IF(OR($Q91=1,$Q91=2),1,0),IF($X91&lt;=20,1,0))</formula>
    </cfRule>
    <cfRule type="expression" dxfId="6300" priority="649">
      <formula>AND(IF($Q91=2,1,0),IF($X91&lt;30,1,0))</formula>
    </cfRule>
    <cfRule type="expression" dxfId="6299" priority="650">
      <formula>AND(IF($Q91=3,1,0),IF($X91&lt;30,1,0))</formula>
    </cfRule>
    <cfRule type="expression" dxfId="6298" priority="651">
      <formula>AND(IF($Q91=3,1,IF($Q91=4,1,0)),IF($F91&lt;=85,1,0))</formula>
    </cfRule>
  </conditionalFormatting>
  <conditionalFormatting sqref="AI91">
    <cfRule type="expression" dxfId="6297" priority="644">
      <formula>AND(IF(OR($Q91=1,$Q91=2),1,0),IF($X91&lt;=20,1,0))</formula>
    </cfRule>
    <cfRule type="expression" dxfId="6296" priority="645">
      <formula>AND(IF($Q91=2,1,0),IF($X91&lt;30,1,0))</formula>
    </cfRule>
    <cfRule type="expression" dxfId="6295" priority="646">
      <formula>AND(IF($Q91=3,1,0),IF($X91&lt;30,1,0))</formula>
    </cfRule>
    <cfRule type="expression" dxfId="6294" priority="647">
      <formula>AND(IF($Q91=3,1,IF($Q91=4,1,0)),IF($F91&lt;=85,1,0))</formula>
    </cfRule>
  </conditionalFormatting>
  <conditionalFormatting sqref="AV92">
    <cfRule type="expression" dxfId="6293" priority="642">
      <formula>AV92="X"</formula>
    </cfRule>
    <cfRule type="expression" dxfId="6292" priority="643">
      <formula>AV92="후보"</formula>
    </cfRule>
  </conditionalFormatting>
  <conditionalFormatting sqref="Z92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6291" priority="639" operator="greaterThan">
      <formula>0.9</formula>
    </cfRule>
    <cfRule type="cellIs" dxfId="6290" priority="640" operator="greaterThan">
      <formula>0.85</formula>
    </cfRule>
  </conditionalFormatting>
  <conditionalFormatting sqref="N92">
    <cfRule type="cellIs" dxfId="6289" priority="637" operator="greaterThan">
      <formula>0.9</formula>
    </cfRule>
    <cfRule type="cellIs" dxfId="6288" priority="638" operator="greaterThan">
      <formula>0.85</formula>
    </cfRule>
  </conditionalFormatting>
  <conditionalFormatting sqref="E92">
    <cfRule type="expression" dxfId="6287" priority="633">
      <formula>AND(IF(OR($Q92=1,$Q92=2),1,0),IF($X92&lt;=20,1,0))</formula>
    </cfRule>
    <cfRule type="expression" dxfId="6286" priority="634">
      <formula>AND(IF($Q92=2,1,0),IF($X92&lt;30,1,0))</formula>
    </cfRule>
    <cfRule type="expression" dxfId="6285" priority="635">
      <formula>AND(IF($Q92=3,1,0),IF($X92&lt;30,1,0))</formula>
    </cfRule>
    <cfRule type="expression" dxfId="6284" priority="636">
      <formula>AND(IF($Q92=3,1,IF($Q92=4,1,0)),IF($F92&lt;=85,1,0))</formula>
    </cfRule>
  </conditionalFormatting>
  <conditionalFormatting sqref="X92">
    <cfRule type="expression" dxfId="6283" priority="629">
      <formula>AND(IF(OR($Q92=1,$Q92=2),1,0),IF($X92&lt;=20,1,0))</formula>
    </cfRule>
    <cfRule type="expression" dxfId="6282" priority="630">
      <formula>AND(IF($Q92=2,1,0),IF($X92&lt;30,1,0))</formula>
    </cfRule>
    <cfRule type="expression" dxfId="6281" priority="631">
      <formula>AND(IF($Q92=3,1,0),IF($X92&lt;30,1,0))</formula>
    </cfRule>
    <cfRule type="expression" dxfId="6280" priority="632">
      <formula>AND(IF($Q92=3,1,IF($Q92=4,1,0)),IF($F92&lt;=85,1,0))</formula>
    </cfRule>
  </conditionalFormatting>
  <conditionalFormatting sqref="AI92">
    <cfRule type="expression" dxfId="6279" priority="625">
      <formula>AND(IF(OR($Q92=1,$Q92=2),1,0),IF($X92&lt;=20,1,0))</formula>
    </cfRule>
    <cfRule type="expression" dxfId="6278" priority="626">
      <formula>AND(IF($Q92=2,1,0),IF($X92&lt;30,1,0))</formula>
    </cfRule>
    <cfRule type="expression" dxfId="6277" priority="627">
      <formula>AND(IF($Q92=3,1,0),IF($X92&lt;30,1,0))</formula>
    </cfRule>
    <cfRule type="expression" dxfId="6276" priority="628">
      <formula>AND(IF($Q92=3,1,IF($Q92=4,1,0)),IF($F92&lt;=85,1,0))</formula>
    </cfRule>
  </conditionalFormatting>
  <conditionalFormatting sqref="AV93">
    <cfRule type="expression" dxfId="6275" priority="623">
      <formula>AV93="X"</formula>
    </cfRule>
    <cfRule type="expression" dxfId="6274" priority="624">
      <formula>AV93="후보"</formula>
    </cfRule>
  </conditionalFormatting>
  <conditionalFormatting sqref="Z93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 N93">
    <cfRule type="cellIs" dxfId="6273" priority="620" operator="greaterThan">
      <formula>0.9</formula>
    </cfRule>
    <cfRule type="cellIs" dxfId="6272" priority="621" operator="greaterThan">
      <formula>0.85</formula>
    </cfRule>
  </conditionalFormatting>
  <conditionalFormatting sqref="AV94">
    <cfRule type="expression" dxfId="6271" priority="618">
      <formula>AV94="X"</formula>
    </cfRule>
    <cfRule type="expression" dxfId="6270" priority="619">
      <formula>AV94="후보"</formula>
    </cfRule>
  </conditionalFormatting>
  <conditionalFormatting sqref="Z94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6269" priority="615" operator="greaterThan">
      <formula>0.9</formula>
    </cfRule>
    <cfRule type="cellIs" dxfId="6268" priority="616" operator="greaterThan">
      <formula>0.85</formula>
    </cfRule>
  </conditionalFormatting>
  <conditionalFormatting sqref="N94">
    <cfRule type="cellIs" dxfId="6267" priority="613" operator="greaterThan">
      <formula>0.9</formula>
    </cfRule>
    <cfRule type="cellIs" dxfId="6266" priority="614" operator="greaterThan">
      <formula>0.85</formula>
    </cfRule>
  </conditionalFormatting>
  <conditionalFormatting sqref="E94">
    <cfRule type="expression" dxfId="6265" priority="609">
      <formula>AND(IF(OR($Q94=1,$Q94=2),1,0),IF($X94&lt;=20,1,0))</formula>
    </cfRule>
    <cfRule type="expression" dxfId="6264" priority="610">
      <formula>AND(IF($Q94=2,1,0),IF($X94&lt;30,1,0))</formula>
    </cfRule>
    <cfRule type="expression" dxfId="6263" priority="611">
      <formula>AND(IF($Q94=3,1,0),IF($X94&lt;30,1,0))</formula>
    </cfRule>
    <cfRule type="expression" dxfId="6262" priority="612">
      <formula>AND(IF($Q94=3,1,IF($Q94=4,1,0)),IF($F94&lt;=85,1,0))</formula>
    </cfRule>
  </conditionalFormatting>
  <conditionalFormatting sqref="X94">
    <cfRule type="expression" dxfId="6261" priority="605">
      <formula>AND(IF(OR($Q94=1,$Q94=2),1,0),IF($X94&lt;=20,1,0))</formula>
    </cfRule>
    <cfRule type="expression" dxfId="6260" priority="606">
      <formula>AND(IF($Q94=2,1,0),IF($X94&lt;30,1,0))</formula>
    </cfRule>
    <cfRule type="expression" dxfId="6259" priority="607">
      <formula>AND(IF($Q94=3,1,0),IF($X94&lt;30,1,0))</formula>
    </cfRule>
    <cfRule type="expression" dxfId="6258" priority="608">
      <formula>AND(IF($Q94=3,1,IF($Q94=4,1,0)),IF($F94&lt;=85,1,0))</formula>
    </cfRule>
  </conditionalFormatting>
  <conditionalFormatting sqref="AI94">
    <cfRule type="expression" dxfId="6257" priority="601">
      <formula>AND(IF(OR($Q94=1,$Q94=2),1,0),IF($X94&lt;=20,1,0))</formula>
    </cfRule>
    <cfRule type="expression" dxfId="6256" priority="602">
      <formula>AND(IF($Q94=2,1,0),IF($X94&lt;30,1,0))</formula>
    </cfRule>
    <cfRule type="expression" dxfId="6255" priority="603">
      <formula>AND(IF($Q94=3,1,0),IF($X94&lt;30,1,0))</formula>
    </cfRule>
    <cfRule type="expression" dxfId="6254" priority="604">
      <formula>AND(IF($Q94=3,1,IF($Q94=4,1,0)),IF($F94&lt;=85,1,0))</formula>
    </cfRule>
  </conditionalFormatting>
  <conditionalFormatting sqref="AV95">
    <cfRule type="expression" dxfId="6253" priority="599">
      <formula>AV95="X"</formula>
    </cfRule>
    <cfRule type="expression" dxfId="6252" priority="600">
      <formula>AV95="후보"</formula>
    </cfRule>
  </conditionalFormatting>
  <conditionalFormatting sqref="Z95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6251" priority="596" operator="greaterThan">
      <formula>0.9</formula>
    </cfRule>
    <cfRule type="cellIs" dxfId="6250" priority="597" operator="greaterThan">
      <formula>0.85</formula>
    </cfRule>
  </conditionalFormatting>
  <conditionalFormatting sqref="N95">
    <cfRule type="cellIs" dxfId="6249" priority="594" operator="greaterThan">
      <formula>0.9</formula>
    </cfRule>
    <cfRule type="cellIs" dxfId="6248" priority="595" operator="greaterThan">
      <formula>0.85</formula>
    </cfRule>
  </conditionalFormatting>
  <conditionalFormatting sqref="E95">
    <cfRule type="expression" dxfId="6247" priority="590">
      <formula>AND(IF(OR($Q95=1,$Q95=2),1,0),IF($X95&lt;=20,1,0))</formula>
    </cfRule>
    <cfRule type="expression" dxfId="6246" priority="591">
      <formula>AND(IF($Q95=2,1,0),IF($X95&lt;30,1,0))</formula>
    </cfRule>
    <cfRule type="expression" dxfId="6245" priority="592">
      <formula>AND(IF($Q95=3,1,0),IF($X95&lt;30,1,0))</formula>
    </cfRule>
    <cfRule type="expression" dxfId="6244" priority="593">
      <formula>AND(IF($Q95=3,1,IF($Q95=4,1,0)),IF($F95&lt;=85,1,0))</formula>
    </cfRule>
  </conditionalFormatting>
  <conditionalFormatting sqref="X95">
    <cfRule type="expression" dxfId="6243" priority="586">
      <formula>AND(IF(OR($Q95=1,$Q95=2),1,0),IF($X95&lt;=20,1,0))</formula>
    </cfRule>
    <cfRule type="expression" dxfId="6242" priority="587">
      <formula>AND(IF($Q95=2,1,0),IF($X95&lt;30,1,0))</formula>
    </cfRule>
    <cfRule type="expression" dxfId="6241" priority="588">
      <formula>AND(IF($Q95=3,1,0),IF($X95&lt;30,1,0))</formula>
    </cfRule>
    <cfRule type="expression" dxfId="6240" priority="589">
      <formula>AND(IF($Q95=3,1,IF($Q95=4,1,0)),IF($F95&lt;=85,1,0))</formula>
    </cfRule>
  </conditionalFormatting>
  <conditionalFormatting sqref="AI95">
    <cfRule type="expression" dxfId="6239" priority="582">
      <formula>AND(IF(OR($Q95=1,$Q95=2),1,0),IF($X95&lt;=20,1,0))</formula>
    </cfRule>
    <cfRule type="expression" dxfId="6238" priority="583">
      <formula>AND(IF($Q95=2,1,0),IF($X95&lt;30,1,0))</formula>
    </cfRule>
    <cfRule type="expression" dxfId="6237" priority="584">
      <formula>AND(IF($Q95=3,1,0),IF($X95&lt;30,1,0))</formula>
    </cfRule>
    <cfRule type="expression" dxfId="6236" priority="585">
      <formula>AND(IF($Q95=3,1,IF($Q95=4,1,0)),IF($F95&lt;=85,1,0))</formula>
    </cfRule>
  </conditionalFormatting>
  <conditionalFormatting sqref="AV96">
    <cfRule type="expression" dxfId="6235" priority="580">
      <formula>AV96="X"</formula>
    </cfRule>
    <cfRule type="expression" dxfId="6234" priority="581">
      <formula>AV96="후보"</formula>
    </cfRule>
  </conditionalFormatting>
  <conditionalFormatting sqref="Z96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6233" priority="577" operator="greaterThan">
      <formula>0.9</formula>
    </cfRule>
    <cfRule type="cellIs" dxfId="6232" priority="578" operator="greaterThan">
      <formula>0.85</formula>
    </cfRule>
  </conditionalFormatting>
  <conditionalFormatting sqref="N96">
    <cfRule type="cellIs" dxfId="6231" priority="575" operator="greaterThan">
      <formula>0.9</formula>
    </cfRule>
    <cfRule type="cellIs" dxfId="6230" priority="576" operator="greaterThan">
      <formula>0.85</formula>
    </cfRule>
  </conditionalFormatting>
  <conditionalFormatting sqref="E96">
    <cfRule type="expression" dxfId="6229" priority="571">
      <formula>AND(IF(OR($Q96=1,$Q96=2),1,0),IF($X96&lt;=20,1,0))</formula>
    </cfRule>
    <cfRule type="expression" dxfId="6228" priority="572">
      <formula>AND(IF($Q96=2,1,0),IF($X96&lt;30,1,0))</formula>
    </cfRule>
    <cfRule type="expression" dxfId="6227" priority="573">
      <formula>AND(IF($Q96=3,1,0),IF($X96&lt;30,1,0))</formula>
    </cfRule>
    <cfRule type="expression" dxfId="6226" priority="574">
      <formula>AND(IF($Q96=3,1,IF($Q96=4,1,0)),IF($F96&lt;=85,1,0))</formula>
    </cfRule>
  </conditionalFormatting>
  <conditionalFormatting sqref="X96">
    <cfRule type="expression" dxfId="6225" priority="567">
      <formula>AND(IF(OR($Q96=1,$Q96=2),1,0),IF($X96&lt;=20,1,0))</formula>
    </cfRule>
    <cfRule type="expression" dxfId="6224" priority="568">
      <formula>AND(IF($Q96=2,1,0),IF($X96&lt;30,1,0))</formula>
    </cfRule>
    <cfRule type="expression" dxfId="6223" priority="569">
      <formula>AND(IF($Q96=3,1,0),IF($X96&lt;30,1,0))</formula>
    </cfRule>
    <cfRule type="expression" dxfId="6222" priority="570">
      <formula>AND(IF($Q96=3,1,IF($Q96=4,1,0)),IF($F96&lt;=85,1,0))</formula>
    </cfRule>
  </conditionalFormatting>
  <conditionalFormatting sqref="AI96">
    <cfRule type="expression" dxfId="6221" priority="563">
      <formula>AND(IF(OR($Q96=1,$Q96=2),1,0),IF($X96&lt;=20,1,0))</formula>
    </cfRule>
    <cfRule type="expression" dxfId="6220" priority="564">
      <formula>AND(IF($Q96=2,1,0),IF($X96&lt;30,1,0))</formula>
    </cfRule>
    <cfRule type="expression" dxfId="6219" priority="565">
      <formula>AND(IF($Q96=3,1,0),IF($X96&lt;30,1,0))</formula>
    </cfRule>
    <cfRule type="expression" dxfId="6218" priority="566">
      <formula>AND(IF($Q96=3,1,IF($Q96=4,1,0)),IF($F96&lt;=85,1,0))</formula>
    </cfRule>
  </conditionalFormatting>
  <conditionalFormatting sqref="AV97">
    <cfRule type="expression" dxfId="6217" priority="561">
      <formula>AV97="X"</formula>
    </cfRule>
    <cfRule type="expression" dxfId="6216" priority="562">
      <formula>AV97="후보"</formula>
    </cfRule>
  </conditionalFormatting>
  <conditionalFormatting sqref="Z97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6215" priority="558" operator="greaterThan">
      <formula>0.9</formula>
    </cfRule>
    <cfRule type="cellIs" dxfId="6214" priority="559" operator="greaterThan">
      <formula>0.85</formula>
    </cfRule>
  </conditionalFormatting>
  <conditionalFormatting sqref="AV98">
    <cfRule type="expression" dxfId="6213" priority="556">
      <formula>AV98="X"</formula>
    </cfRule>
    <cfRule type="expression" dxfId="6212" priority="557">
      <formula>AV98="후보"</formula>
    </cfRule>
  </conditionalFormatting>
  <conditionalFormatting sqref="Z98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6211" priority="553" operator="greaterThan">
      <formula>0.9</formula>
    </cfRule>
    <cfRule type="cellIs" dxfId="6210" priority="554" operator="greaterThan">
      <formula>0.85</formula>
    </cfRule>
  </conditionalFormatting>
  <conditionalFormatting sqref="N98">
    <cfRule type="cellIs" dxfId="6209" priority="551" operator="greaterThan">
      <formula>0.9</formula>
    </cfRule>
    <cfRule type="cellIs" dxfId="6208" priority="552" operator="greaterThan">
      <formula>0.85</formula>
    </cfRule>
  </conditionalFormatting>
  <conditionalFormatting sqref="E98">
    <cfRule type="expression" dxfId="6207" priority="547">
      <formula>AND(IF(OR($Q98=1,$Q98=2),1,0),IF($X98&lt;=20,1,0))</formula>
    </cfRule>
    <cfRule type="expression" dxfId="6206" priority="548">
      <formula>AND(IF($Q98=2,1,0),IF($X98&lt;30,1,0))</formula>
    </cfRule>
    <cfRule type="expression" dxfId="6205" priority="549">
      <formula>AND(IF($Q98=3,1,0),IF($X98&lt;30,1,0))</formula>
    </cfRule>
    <cfRule type="expression" dxfId="6204" priority="550">
      <formula>AND(IF($Q98=3,1,IF($Q98=4,1,0)),IF($F98&lt;=85,1,0))</formula>
    </cfRule>
  </conditionalFormatting>
  <conditionalFormatting sqref="X98">
    <cfRule type="expression" dxfId="6203" priority="543">
      <formula>AND(IF(OR($Q98=1,$Q98=2),1,0),IF($X98&lt;=20,1,0))</formula>
    </cfRule>
    <cfRule type="expression" dxfId="6202" priority="544">
      <formula>AND(IF($Q98=2,1,0),IF($X98&lt;30,1,0))</formula>
    </cfRule>
    <cfRule type="expression" dxfId="6201" priority="545">
      <formula>AND(IF($Q98=3,1,0),IF($X98&lt;30,1,0))</formula>
    </cfRule>
    <cfRule type="expression" dxfId="6200" priority="546">
      <formula>AND(IF($Q98=3,1,IF($Q98=4,1,0)),IF($F98&lt;=85,1,0))</formula>
    </cfRule>
  </conditionalFormatting>
  <conditionalFormatting sqref="AI98">
    <cfRule type="expression" dxfId="6199" priority="539">
      <formula>AND(IF(OR($Q98=1,$Q98=2),1,0),IF($X98&lt;=20,1,0))</formula>
    </cfRule>
    <cfRule type="expression" dxfId="6198" priority="540">
      <formula>AND(IF($Q98=2,1,0),IF($X98&lt;30,1,0))</formula>
    </cfRule>
    <cfRule type="expression" dxfId="6197" priority="541">
      <formula>AND(IF($Q98=3,1,0),IF($X98&lt;30,1,0))</formula>
    </cfRule>
    <cfRule type="expression" dxfId="6196" priority="542">
      <formula>AND(IF($Q98=3,1,IF($Q98=4,1,0)),IF($F98&lt;=85,1,0))</formula>
    </cfRule>
  </conditionalFormatting>
  <conditionalFormatting sqref="AV99">
    <cfRule type="expression" dxfId="6195" priority="537">
      <formula>AV99="X"</formula>
    </cfRule>
    <cfRule type="expression" dxfId="6194" priority="538">
      <formula>AV99="후보"</formula>
    </cfRule>
  </conditionalFormatting>
  <conditionalFormatting sqref="Z99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6193" priority="534" operator="greaterThan">
      <formula>0.9</formula>
    </cfRule>
    <cfRule type="cellIs" dxfId="6192" priority="535" operator="greaterThan">
      <formula>0.85</formula>
    </cfRule>
  </conditionalFormatting>
  <conditionalFormatting sqref="N99">
    <cfRule type="cellIs" dxfId="6191" priority="532" operator="greaterThan">
      <formula>0.9</formula>
    </cfRule>
    <cfRule type="cellIs" dxfId="6190" priority="533" operator="greaterThan">
      <formula>0.85</formula>
    </cfRule>
  </conditionalFormatting>
  <conditionalFormatting sqref="E99">
    <cfRule type="expression" dxfId="6189" priority="528">
      <formula>AND(IF(OR($Q99=1,$Q99=2),1,0),IF($X99&lt;=20,1,0))</formula>
    </cfRule>
    <cfRule type="expression" dxfId="6188" priority="529">
      <formula>AND(IF($Q99=2,1,0),IF($X99&lt;30,1,0))</formula>
    </cfRule>
    <cfRule type="expression" dxfId="6187" priority="530">
      <formula>AND(IF($Q99=3,1,0),IF($X99&lt;30,1,0))</formula>
    </cfRule>
    <cfRule type="expression" dxfId="6186" priority="531">
      <formula>AND(IF($Q99=3,1,IF($Q99=4,1,0)),IF($F99&lt;=85,1,0))</formula>
    </cfRule>
  </conditionalFormatting>
  <conditionalFormatting sqref="X99">
    <cfRule type="expression" dxfId="6185" priority="524">
      <formula>AND(IF(OR($Q99=1,$Q99=2),1,0),IF($X99&lt;=20,1,0))</formula>
    </cfRule>
    <cfRule type="expression" dxfId="6184" priority="525">
      <formula>AND(IF($Q99=2,1,0),IF($X99&lt;30,1,0))</formula>
    </cfRule>
    <cfRule type="expression" dxfId="6183" priority="526">
      <formula>AND(IF($Q99=3,1,0),IF($X99&lt;30,1,0))</formula>
    </cfRule>
    <cfRule type="expression" dxfId="6182" priority="527">
      <formula>AND(IF($Q99=3,1,IF($Q99=4,1,0)),IF($F99&lt;=85,1,0))</formula>
    </cfRule>
  </conditionalFormatting>
  <conditionalFormatting sqref="AI99">
    <cfRule type="expression" dxfId="6181" priority="520">
      <formula>AND(IF(OR($Q99=1,$Q99=2),1,0),IF($X99&lt;=20,1,0))</formula>
    </cfRule>
    <cfRule type="expression" dxfId="6180" priority="521">
      <formula>AND(IF($Q99=2,1,0),IF($X99&lt;30,1,0))</formula>
    </cfRule>
    <cfRule type="expression" dxfId="6179" priority="522">
      <formula>AND(IF($Q99=3,1,0),IF($X99&lt;30,1,0))</formula>
    </cfRule>
    <cfRule type="expression" dxfId="6178" priority="523">
      <formula>AND(IF($Q99=3,1,IF($Q99=4,1,0)),IF($F99&lt;=85,1,0))</formula>
    </cfRule>
  </conditionalFormatting>
  <conditionalFormatting sqref="AV100">
    <cfRule type="expression" dxfId="6177" priority="518">
      <formula>AV100="X"</formula>
    </cfRule>
    <cfRule type="expression" dxfId="6176" priority="519">
      <formula>AV100="후보"</formula>
    </cfRule>
  </conditionalFormatting>
  <conditionalFormatting sqref="Z100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6175" priority="515" operator="greaterThan">
      <formula>0.9</formula>
    </cfRule>
    <cfRule type="cellIs" dxfId="6174" priority="516" operator="greaterThan">
      <formula>0.85</formula>
    </cfRule>
  </conditionalFormatting>
  <conditionalFormatting sqref="N100">
    <cfRule type="cellIs" dxfId="6173" priority="513" operator="greaterThan">
      <formula>0.9</formula>
    </cfRule>
    <cfRule type="cellIs" dxfId="6172" priority="514" operator="greaterThan">
      <formula>0.85</formula>
    </cfRule>
  </conditionalFormatting>
  <conditionalFormatting sqref="E100">
    <cfRule type="expression" dxfId="6171" priority="509">
      <formula>AND(IF(OR($Q100=1,$Q100=2),1,0),IF($X100&lt;=20,1,0))</formula>
    </cfRule>
    <cfRule type="expression" dxfId="6170" priority="510">
      <formula>AND(IF($Q100=2,1,0),IF($X100&lt;30,1,0))</formula>
    </cfRule>
    <cfRule type="expression" dxfId="6169" priority="511">
      <formula>AND(IF($Q100=3,1,0),IF($X100&lt;30,1,0))</formula>
    </cfRule>
    <cfRule type="expression" dxfId="6168" priority="512">
      <formula>AND(IF($Q100=3,1,IF($Q100=4,1,0)),IF($F100&lt;=85,1,0))</formula>
    </cfRule>
  </conditionalFormatting>
  <conditionalFormatting sqref="X100">
    <cfRule type="expression" dxfId="6167" priority="505">
      <formula>AND(IF(OR($Q100=1,$Q100=2),1,0),IF($X100&lt;=20,1,0))</formula>
    </cfRule>
    <cfRule type="expression" dxfId="6166" priority="506">
      <formula>AND(IF($Q100=2,1,0),IF($X100&lt;30,1,0))</formula>
    </cfRule>
    <cfRule type="expression" dxfId="6165" priority="507">
      <formula>AND(IF($Q100=3,1,0),IF($X100&lt;30,1,0))</formula>
    </cfRule>
    <cfRule type="expression" dxfId="6164" priority="508">
      <formula>AND(IF($Q100=3,1,IF($Q100=4,1,0)),IF($F100&lt;=85,1,0))</formula>
    </cfRule>
  </conditionalFormatting>
  <conditionalFormatting sqref="AI100">
    <cfRule type="expression" dxfId="6163" priority="501">
      <formula>AND(IF(OR($Q100=1,$Q100=2),1,0),IF($X100&lt;=20,1,0))</formula>
    </cfRule>
    <cfRule type="expression" dxfId="6162" priority="502">
      <formula>AND(IF($Q100=2,1,0),IF($X100&lt;30,1,0))</formula>
    </cfRule>
    <cfRule type="expression" dxfId="6161" priority="503">
      <formula>AND(IF($Q100=3,1,0),IF($X100&lt;30,1,0))</formula>
    </cfRule>
    <cfRule type="expression" dxfId="6160" priority="504">
      <formula>AND(IF($Q100=3,1,IF($Q100=4,1,0)),IF($F100&lt;=85,1,0))</formula>
    </cfRule>
  </conditionalFormatting>
  <conditionalFormatting sqref="AV101">
    <cfRule type="expression" dxfId="6159" priority="499">
      <formula>AV101="X"</formula>
    </cfRule>
    <cfRule type="expression" dxfId="6158" priority="500">
      <formula>AV101="후보"</formula>
    </cfRule>
  </conditionalFormatting>
  <conditionalFormatting sqref="Z101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6157" priority="496" operator="greaterThan">
      <formula>0.9</formula>
    </cfRule>
    <cfRule type="cellIs" dxfId="6156" priority="497" operator="greaterThan">
      <formula>0.85</formula>
    </cfRule>
  </conditionalFormatting>
  <conditionalFormatting sqref="N101">
    <cfRule type="cellIs" dxfId="6155" priority="494" operator="greaterThan">
      <formula>0.9</formula>
    </cfRule>
    <cfRule type="cellIs" dxfId="6154" priority="495" operator="greaterThan">
      <formula>0.85</formula>
    </cfRule>
  </conditionalFormatting>
  <conditionalFormatting sqref="E101">
    <cfRule type="expression" dxfId="6153" priority="490">
      <formula>AND(IF(OR($Q101=1,$Q101=2),1,0),IF($X101&lt;=20,1,0))</formula>
    </cfRule>
    <cfRule type="expression" dxfId="6152" priority="491">
      <formula>AND(IF($Q101=2,1,0),IF($X101&lt;30,1,0))</formula>
    </cfRule>
    <cfRule type="expression" dxfId="6151" priority="492">
      <formula>AND(IF($Q101=3,1,0),IF($X101&lt;30,1,0))</formula>
    </cfRule>
    <cfRule type="expression" dxfId="6150" priority="493">
      <formula>AND(IF($Q101=3,1,IF($Q101=4,1,0)),IF($F101&lt;=85,1,0))</formula>
    </cfRule>
  </conditionalFormatting>
  <conditionalFormatting sqref="X101">
    <cfRule type="expression" dxfId="6149" priority="486">
      <formula>AND(IF(OR($Q101=1,$Q101=2),1,0),IF($X101&lt;=20,1,0))</formula>
    </cfRule>
    <cfRule type="expression" dxfId="6148" priority="487">
      <formula>AND(IF($Q101=2,1,0),IF($X101&lt;30,1,0))</formula>
    </cfRule>
    <cfRule type="expression" dxfId="6147" priority="488">
      <formula>AND(IF($Q101=3,1,0),IF($X101&lt;30,1,0))</formula>
    </cfRule>
    <cfRule type="expression" dxfId="6146" priority="489">
      <formula>AND(IF($Q101=3,1,IF($Q101=4,1,0)),IF($F101&lt;=85,1,0))</formula>
    </cfRule>
  </conditionalFormatting>
  <conditionalFormatting sqref="AI101">
    <cfRule type="expression" dxfId="6145" priority="482">
      <formula>AND(IF(OR($Q101=1,$Q101=2),1,0),IF($X101&lt;=20,1,0))</formula>
    </cfRule>
    <cfRule type="expression" dxfId="6144" priority="483">
      <formula>AND(IF($Q101=2,1,0),IF($X101&lt;30,1,0))</formula>
    </cfRule>
    <cfRule type="expression" dxfId="6143" priority="484">
      <formula>AND(IF($Q101=3,1,0),IF($X101&lt;30,1,0))</formula>
    </cfRule>
    <cfRule type="expression" dxfId="6142" priority="485">
      <formula>AND(IF($Q101=3,1,IF($Q101=4,1,0)),IF($F101&lt;=85,1,0))</formula>
    </cfRule>
  </conditionalFormatting>
  <conditionalFormatting sqref="AV102">
    <cfRule type="expression" dxfId="6141" priority="480">
      <formula>AV102="X"</formula>
    </cfRule>
    <cfRule type="expression" dxfId="6140" priority="481">
      <formula>AV102="후보"</formula>
    </cfRule>
  </conditionalFormatting>
  <conditionalFormatting sqref="Z102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6139" priority="477" operator="greaterThan">
      <formula>0.9</formula>
    </cfRule>
    <cfRule type="cellIs" dxfId="6138" priority="478" operator="greaterThan">
      <formula>0.85</formula>
    </cfRule>
  </conditionalFormatting>
  <conditionalFormatting sqref="N102">
    <cfRule type="cellIs" dxfId="6137" priority="475" operator="greaterThan">
      <formula>0.9</formula>
    </cfRule>
    <cfRule type="cellIs" dxfId="6136" priority="476" operator="greaterThan">
      <formula>0.85</formula>
    </cfRule>
  </conditionalFormatting>
  <conditionalFormatting sqref="E102">
    <cfRule type="expression" dxfId="6135" priority="471">
      <formula>AND(IF(OR($Q102=1,$Q102=2),1,0),IF($X102&lt;=20,1,0))</formula>
    </cfRule>
    <cfRule type="expression" dxfId="6134" priority="472">
      <formula>AND(IF($Q102=2,1,0),IF($X102&lt;30,1,0))</formula>
    </cfRule>
    <cfRule type="expression" dxfId="6133" priority="473">
      <formula>AND(IF($Q102=3,1,0),IF($X102&lt;30,1,0))</formula>
    </cfRule>
    <cfRule type="expression" dxfId="6132" priority="474">
      <formula>AND(IF($Q102=3,1,IF($Q102=4,1,0)),IF($F102&lt;=85,1,0))</formula>
    </cfRule>
  </conditionalFormatting>
  <conditionalFormatting sqref="X102">
    <cfRule type="expression" dxfId="6131" priority="467">
      <formula>AND(IF(OR($Q102=1,$Q102=2),1,0),IF($X102&lt;=20,1,0))</formula>
    </cfRule>
    <cfRule type="expression" dxfId="6130" priority="468">
      <formula>AND(IF($Q102=2,1,0),IF($X102&lt;30,1,0))</formula>
    </cfRule>
    <cfRule type="expression" dxfId="6129" priority="469">
      <formula>AND(IF($Q102=3,1,0),IF($X102&lt;30,1,0))</formula>
    </cfRule>
    <cfRule type="expression" dxfId="6128" priority="470">
      <formula>AND(IF($Q102=3,1,IF($Q102=4,1,0)),IF($F102&lt;=85,1,0))</formula>
    </cfRule>
  </conditionalFormatting>
  <conditionalFormatting sqref="AI102">
    <cfRule type="expression" dxfId="6127" priority="463">
      <formula>AND(IF(OR($Q102=1,$Q102=2),1,0),IF($X102&lt;=20,1,0))</formula>
    </cfRule>
    <cfRule type="expression" dxfId="6126" priority="464">
      <formula>AND(IF($Q102=2,1,0),IF($X102&lt;30,1,0))</formula>
    </cfRule>
    <cfRule type="expression" dxfId="6125" priority="465">
      <formula>AND(IF($Q102=3,1,0),IF($X102&lt;30,1,0))</formula>
    </cfRule>
    <cfRule type="expression" dxfId="6124" priority="466">
      <formula>AND(IF($Q102=3,1,IF($Q102=4,1,0)),IF($F102&lt;=85,1,0))</formula>
    </cfRule>
  </conditionalFormatting>
  <conditionalFormatting sqref="AV103">
    <cfRule type="expression" dxfId="6123" priority="461">
      <formula>AV103="X"</formula>
    </cfRule>
    <cfRule type="expression" dxfId="6122" priority="462">
      <formula>AV103="후보"</formula>
    </cfRule>
  </conditionalFormatting>
  <conditionalFormatting sqref="Z103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6121" priority="458" operator="greaterThan">
      <formula>0.9</formula>
    </cfRule>
    <cfRule type="cellIs" dxfId="6120" priority="459" operator="greaterThan">
      <formula>0.85</formula>
    </cfRule>
  </conditionalFormatting>
  <conditionalFormatting sqref="N103">
    <cfRule type="cellIs" dxfId="6119" priority="456" operator="greaterThan">
      <formula>0.9</formula>
    </cfRule>
    <cfRule type="cellIs" dxfId="6118" priority="457" operator="greaterThan">
      <formula>0.85</formula>
    </cfRule>
  </conditionalFormatting>
  <conditionalFormatting sqref="E103">
    <cfRule type="expression" dxfId="6117" priority="452">
      <formula>AND(IF(OR($Q103=1,$Q103=2),1,0),IF($X103&lt;=20,1,0))</formula>
    </cfRule>
    <cfRule type="expression" dxfId="6116" priority="453">
      <formula>AND(IF($Q103=2,1,0),IF($X103&lt;30,1,0))</formula>
    </cfRule>
    <cfRule type="expression" dxfId="6115" priority="454">
      <formula>AND(IF($Q103=3,1,0),IF($X103&lt;30,1,0))</formula>
    </cfRule>
    <cfRule type="expression" dxfId="6114" priority="455">
      <formula>AND(IF($Q103=3,1,IF($Q103=4,1,0)),IF($F103&lt;=85,1,0))</formula>
    </cfRule>
  </conditionalFormatting>
  <conditionalFormatting sqref="X103">
    <cfRule type="expression" dxfId="6113" priority="448">
      <formula>AND(IF(OR($Q103=1,$Q103=2),1,0),IF($X103&lt;=20,1,0))</formula>
    </cfRule>
    <cfRule type="expression" dxfId="6112" priority="449">
      <formula>AND(IF($Q103=2,1,0),IF($X103&lt;30,1,0))</formula>
    </cfRule>
    <cfRule type="expression" dxfId="6111" priority="450">
      <formula>AND(IF($Q103=3,1,0),IF($X103&lt;30,1,0))</formula>
    </cfRule>
    <cfRule type="expression" dxfId="6110" priority="451">
      <formula>AND(IF($Q103=3,1,IF($Q103=4,1,0)),IF($F103&lt;=85,1,0))</formula>
    </cfRule>
  </conditionalFormatting>
  <conditionalFormatting sqref="AI103">
    <cfRule type="expression" dxfId="6109" priority="444">
      <formula>AND(IF(OR($Q103=1,$Q103=2),1,0),IF($X103&lt;=20,1,0))</formula>
    </cfRule>
    <cfRule type="expression" dxfId="6108" priority="445">
      <formula>AND(IF($Q103=2,1,0),IF($X103&lt;30,1,0))</formula>
    </cfRule>
    <cfRule type="expression" dxfId="6107" priority="446">
      <formula>AND(IF($Q103=3,1,0),IF($X103&lt;30,1,0))</formula>
    </cfRule>
    <cfRule type="expression" dxfId="6106" priority="447">
      <formula>AND(IF($Q103=3,1,IF($Q103=4,1,0)),IF($F103&lt;=85,1,0))</formula>
    </cfRule>
  </conditionalFormatting>
  <conditionalFormatting sqref="AV104">
    <cfRule type="expression" dxfId="6105" priority="442">
      <formula>AV104="X"</formula>
    </cfRule>
    <cfRule type="expression" dxfId="6104" priority="443">
      <formula>AV104="후보"</formula>
    </cfRule>
  </conditionalFormatting>
  <conditionalFormatting sqref="Z104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6103" priority="439" operator="greaterThan">
      <formula>0.9</formula>
    </cfRule>
    <cfRule type="cellIs" dxfId="6102" priority="440" operator="greaterThan">
      <formula>0.85</formula>
    </cfRule>
  </conditionalFormatting>
  <conditionalFormatting sqref="N104">
    <cfRule type="cellIs" dxfId="6101" priority="437" operator="greaterThan">
      <formula>0.9</formula>
    </cfRule>
    <cfRule type="cellIs" dxfId="6100" priority="438" operator="greaterThan">
      <formula>0.85</formula>
    </cfRule>
  </conditionalFormatting>
  <conditionalFormatting sqref="E104">
    <cfRule type="expression" dxfId="6099" priority="433">
      <formula>AND(IF(OR($Q104=1,$Q104=2),1,0),IF($X104&lt;=20,1,0))</formula>
    </cfRule>
    <cfRule type="expression" dxfId="6098" priority="434">
      <formula>AND(IF($Q104=2,1,0),IF($X104&lt;30,1,0))</formula>
    </cfRule>
    <cfRule type="expression" dxfId="6097" priority="435">
      <formula>AND(IF($Q104=3,1,0),IF($X104&lt;30,1,0))</formula>
    </cfRule>
    <cfRule type="expression" dxfId="6096" priority="436">
      <formula>AND(IF($Q104=3,1,IF($Q104=4,1,0)),IF($F104&lt;=85,1,0))</formula>
    </cfRule>
  </conditionalFormatting>
  <conditionalFormatting sqref="X104">
    <cfRule type="expression" dxfId="6095" priority="429">
      <formula>AND(IF(OR($Q104=1,$Q104=2),1,0),IF($X104&lt;=20,1,0))</formula>
    </cfRule>
    <cfRule type="expression" dxfId="6094" priority="430">
      <formula>AND(IF($Q104=2,1,0),IF($X104&lt;30,1,0))</formula>
    </cfRule>
    <cfRule type="expression" dxfId="6093" priority="431">
      <formula>AND(IF($Q104=3,1,0),IF($X104&lt;30,1,0))</formula>
    </cfRule>
    <cfRule type="expression" dxfId="6092" priority="432">
      <formula>AND(IF($Q104=3,1,IF($Q104=4,1,0)),IF($F104&lt;=85,1,0))</formula>
    </cfRule>
  </conditionalFormatting>
  <conditionalFormatting sqref="AI104">
    <cfRule type="expression" dxfId="6091" priority="425">
      <formula>AND(IF(OR($Q104=1,$Q104=2),1,0),IF($X104&lt;=20,1,0))</formula>
    </cfRule>
    <cfRule type="expression" dxfId="6090" priority="426">
      <formula>AND(IF($Q104=2,1,0),IF($X104&lt;30,1,0))</formula>
    </cfRule>
    <cfRule type="expression" dxfId="6089" priority="427">
      <formula>AND(IF($Q104=3,1,0),IF($X104&lt;30,1,0))</formula>
    </cfRule>
    <cfRule type="expression" dxfId="6088" priority="428">
      <formula>AND(IF($Q104=3,1,IF($Q104=4,1,0)),IF($F104&lt;=85,1,0))</formula>
    </cfRule>
  </conditionalFormatting>
  <conditionalFormatting sqref="AV105">
    <cfRule type="expression" dxfId="6087" priority="423">
      <formula>AV105="X"</formula>
    </cfRule>
    <cfRule type="expression" dxfId="6086" priority="424">
      <formula>AV105="후보"</formula>
    </cfRule>
  </conditionalFormatting>
  <conditionalFormatting sqref="Z105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6085" priority="420" operator="greaterThan">
      <formula>0.9</formula>
    </cfRule>
    <cfRule type="cellIs" dxfId="6084" priority="421" operator="greaterThan">
      <formula>0.85</formula>
    </cfRule>
  </conditionalFormatting>
  <conditionalFormatting sqref="N105">
    <cfRule type="cellIs" dxfId="6083" priority="418" operator="greaterThan">
      <formula>0.9</formula>
    </cfRule>
    <cfRule type="cellIs" dxfId="6082" priority="419" operator="greaterThan">
      <formula>0.85</formula>
    </cfRule>
  </conditionalFormatting>
  <conditionalFormatting sqref="E105">
    <cfRule type="expression" dxfId="6081" priority="414">
      <formula>AND(IF(OR($Q105=1,$Q105=2),1,0),IF($X105&lt;=20,1,0))</formula>
    </cfRule>
    <cfRule type="expression" dxfId="6080" priority="415">
      <formula>AND(IF($Q105=2,1,0),IF($X105&lt;30,1,0))</formula>
    </cfRule>
    <cfRule type="expression" dxfId="6079" priority="416">
      <formula>AND(IF($Q105=3,1,0),IF($X105&lt;30,1,0))</formula>
    </cfRule>
    <cfRule type="expression" dxfId="6078" priority="417">
      <formula>AND(IF($Q105=3,1,IF($Q105=4,1,0)),IF($F105&lt;=85,1,0))</formula>
    </cfRule>
  </conditionalFormatting>
  <conditionalFormatting sqref="X105">
    <cfRule type="expression" dxfId="6077" priority="410">
      <formula>AND(IF(OR($Q105=1,$Q105=2),1,0),IF($X105&lt;=20,1,0))</formula>
    </cfRule>
    <cfRule type="expression" dxfId="6076" priority="411">
      <formula>AND(IF($Q105=2,1,0),IF($X105&lt;30,1,0))</formula>
    </cfRule>
    <cfRule type="expression" dxfId="6075" priority="412">
      <formula>AND(IF($Q105=3,1,0),IF($X105&lt;30,1,0))</formula>
    </cfRule>
    <cfRule type="expression" dxfId="6074" priority="413">
      <formula>AND(IF($Q105=3,1,IF($Q105=4,1,0)),IF($F105&lt;=85,1,0))</formula>
    </cfRule>
  </conditionalFormatting>
  <conditionalFormatting sqref="AI105">
    <cfRule type="expression" dxfId="6073" priority="406">
      <formula>AND(IF(OR($Q105=1,$Q105=2),1,0),IF($X105&lt;=20,1,0))</formula>
    </cfRule>
    <cfRule type="expression" dxfId="6072" priority="407">
      <formula>AND(IF($Q105=2,1,0),IF($X105&lt;30,1,0))</formula>
    </cfRule>
    <cfRule type="expression" dxfId="6071" priority="408">
      <formula>AND(IF($Q105=3,1,0),IF($X105&lt;30,1,0))</formula>
    </cfRule>
    <cfRule type="expression" dxfId="6070" priority="409">
      <formula>AND(IF($Q105=3,1,IF($Q105=4,1,0)),IF($F105&lt;=85,1,0))</formula>
    </cfRule>
  </conditionalFormatting>
  <conditionalFormatting sqref="AV106">
    <cfRule type="expression" dxfId="6069" priority="404">
      <formula>AV106="X"</formula>
    </cfRule>
    <cfRule type="expression" dxfId="6068" priority="405">
      <formula>AV106="후보"</formula>
    </cfRule>
  </conditionalFormatting>
  <conditionalFormatting sqref="Z106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6067" priority="401" operator="greaterThan">
      <formula>0.9</formula>
    </cfRule>
    <cfRule type="cellIs" dxfId="6066" priority="402" operator="greaterThan">
      <formula>0.85</formula>
    </cfRule>
  </conditionalFormatting>
  <conditionalFormatting sqref="AV107">
    <cfRule type="expression" dxfId="6065" priority="399">
      <formula>AV107="X"</formula>
    </cfRule>
    <cfRule type="expression" dxfId="6064" priority="400">
      <formula>AV107="후보"</formula>
    </cfRule>
  </conditionalFormatting>
  <conditionalFormatting sqref="Z107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6063" priority="396" operator="greaterThan">
      <formula>0.9</formula>
    </cfRule>
    <cfRule type="cellIs" dxfId="6062" priority="397" operator="greaterThan">
      <formula>0.85</formula>
    </cfRule>
  </conditionalFormatting>
  <conditionalFormatting sqref="N107">
    <cfRule type="cellIs" dxfId="6061" priority="394" operator="greaterThan">
      <formula>0.9</formula>
    </cfRule>
    <cfRule type="cellIs" dxfId="6060" priority="395" operator="greaterThan">
      <formula>0.85</formula>
    </cfRule>
  </conditionalFormatting>
  <conditionalFormatting sqref="E107">
    <cfRule type="expression" dxfId="6059" priority="390">
      <formula>AND(IF(OR($Q107=1,$Q107=2),1,0),IF($X107&lt;=20,1,0))</formula>
    </cfRule>
    <cfRule type="expression" dxfId="6058" priority="391">
      <formula>AND(IF($Q107=2,1,0),IF($X107&lt;30,1,0))</formula>
    </cfRule>
    <cfRule type="expression" dxfId="6057" priority="392">
      <formula>AND(IF($Q107=3,1,0),IF($X107&lt;30,1,0))</formula>
    </cfRule>
    <cfRule type="expression" dxfId="6056" priority="393">
      <formula>AND(IF($Q107=3,1,IF($Q107=4,1,0)),IF($F107&lt;=85,1,0))</formula>
    </cfRule>
  </conditionalFormatting>
  <conditionalFormatting sqref="X107">
    <cfRule type="expression" dxfId="6055" priority="386">
      <formula>AND(IF(OR($Q107=1,$Q107=2),1,0),IF($X107&lt;=20,1,0))</formula>
    </cfRule>
    <cfRule type="expression" dxfId="6054" priority="387">
      <formula>AND(IF($Q107=2,1,0),IF($X107&lt;30,1,0))</formula>
    </cfRule>
    <cfRule type="expression" dxfId="6053" priority="388">
      <formula>AND(IF($Q107=3,1,0),IF($X107&lt;30,1,0))</formula>
    </cfRule>
    <cfRule type="expression" dxfId="6052" priority="389">
      <formula>AND(IF($Q107=3,1,IF($Q107=4,1,0)),IF($F107&lt;=85,1,0))</formula>
    </cfRule>
  </conditionalFormatting>
  <conditionalFormatting sqref="AI107">
    <cfRule type="expression" dxfId="6051" priority="382">
      <formula>AND(IF(OR($Q107=1,$Q107=2),1,0),IF($X107&lt;=20,1,0))</formula>
    </cfRule>
    <cfRule type="expression" dxfId="6050" priority="383">
      <formula>AND(IF($Q107=2,1,0),IF($X107&lt;30,1,0))</formula>
    </cfRule>
    <cfRule type="expression" dxfId="6049" priority="384">
      <formula>AND(IF($Q107=3,1,0),IF($X107&lt;30,1,0))</formula>
    </cfRule>
    <cfRule type="expression" dxfId="6048" priority="385">
      <formula>AND(IF($Q107=3,1,IF($Q107=4,1,0)),IF($F107&lt;=85,1,0))</formula>
    </cfRule>
  </conditionalFormatting>
  <conditionalFormatting sqref="AV108">
    <cfRule type="expression" dxfId="6047" priority="380">
      <formula>AV108="X"</formula>
    </cfRule>
    <cfRule type="expression" dxfId="6046" priority="381">
      <formula>AV108="후보"</formula>
    </cfRule>
  </conditionalFormatting>
  <conditionalFormatting sqref="Z108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6045" priority="377" operator="greaterThan">
      <formula>0.9</formula>
    </cfRule>
    <cfRule type="cellIs" dxfId="6044" priority="378" operator="greaterThan">
      <formula>0.85</formula>
    </cfRule>
  </conditionalFormatting>
  <conditionalFormatting sqref="N108">
    <cfRule type="cellIs" dxfId="6043" priority="375" operator="greaterThan">
      <formula>0.9</formula>
    </cfRule>
    <cfRule type="cellIs" dxfId="6042" priority="376" operator="greaterThan">
      <formula>0.85</formula>
    </cfRule>
  </conditionalFormatting>
  <conditionalFormatting sqref="E108">
    <cfRule type="expression" dxfId="6041" priority="371">
      <formula>AND(IF(OR($Q108=1,$Q108=2),1,0),IF($X108&lt;=20,1,0))</formula>
    </cfRule>
    <cfRule type="expression" dxfId="6040" priority="372">
      <formula>AND(IF($Q108=2,1,0),IF($X108&lt;30,1,0))</formula>
    </cfRule>
    <cfRule type="expression" dxfId="6039" priority="373">
      <formula>AND(IF($Q108=3,1,0),IF($X108&lt;30,1,0))</formula>
    </cfRule>
    <cfRule type="expression" dxfId="6038" priority="374">
      <formula>AND(IF($Q108=3,1,IF($Q108=4,1,0)),IF($F108&lt;=85,1,0))</formula>
    </cfRule>
  </conditionalFormatting>
  <conditionalFormatting sqref="X108">
    <cfRule type="expression" dxfId="6037" priority="367">
      <formula>AND(IF(OR($Q108=1,$Q108=2),1,0),IF($X108&lt;=20,1,0))</formula>
    </cfRule>
    <cfRule type="expression" dxfId="6036" priority="368">
      <formula>AND(IF($Q108=2,1,0),IF($X108&lt;30,1,0))</formula>
    </cfRule>
    <cfRule type="expression" dxfId="6035" priority="369">
      <formula>AND(IF($Q108=3,1,0),IF($X108&lt;30,1,0))</formula>
    </cfRule>
    <cfRule type="expression" dxfId="6034" priority="370">
      <formula>AND(IF($Q108=3,1,IF($Q108=4,1,0)),IF($F108&lt;=85,1,0))</formula>
    </cfRule>
  </conditionalFormatting>
  <conditionalFormatting sqref="AI108">
    <cfRule type="expression" dxfId="6033" priority="363">
      <formula>AND(IF(OR($Q108=1,$Q108=2),1,0),IF($X108&lt;=20,1,0))</formula>
    </cfRule>
    <cfRule type="expression" dxfId="6032" priority="364">
      <formula>AND(IF($Q108=2,1,0),IF($X108&lt;30,1,0))</formula>
    </cfRule>
    <cfRule type="expression" dxfId="6031" priority="365">
      <formula>AND(IF($Q108=3,1,0),IF($X108&lt;30,1,0))</formula>
    </cfRule>
    <cfRule type="expression" dxfId="6030" priority="366">
      <formula>AND(IF($Q108=3,1,IF($Q108=4,1,0)),IF($F108&lt;=85,1,0))</formula>
    </cfRule>
  </conditionalFormatting>
  <conditionalFormatting sqref="AV109">
    <cfRule type="expression" dxfId="6029" priority="361">
      <formula>AV109="X"</formula>
    </cfRule>
    <cfRule type="expression" dxfId="6028" priority="362">
      <formula>AV109="후보"</formula>
    </cfRule>
  </conditionalFormatting>
  <conditionalFormatting sqref="Z109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6027" priority="358" operator="greaterThan">
      <formula>0.9</formula>
    </cfRule>
    <cfRule type="cellIs" dxfId="6026" priority="359" operator="greaterThan">
      <formula>0.85</formula>
    </cfRule>
  </conditionalFormatting>
  <conditionalFormatting sqref="N109">
    <cfRule type="cellIs" dxfId="6025" priority="356" operator="greaterThan">
      <formula>0.9</formula>
    </cfRule>
    <cfRule type="cellIs" dxfId="6024" priority="357" operator="greaterThan">
      <formula>0.85</formula>
    </cfRule>
  </conditionalFormatting>
  <conditionalFormatting sqref="E109">
    <cfRule type="expression" dxfId="6023" priority="352">
      <formula>AND(IF(OR($Q109=1,$Q109=2),1,0),IF($X109&lt;=20,1,0))</formula>
    </cfRule>
    <cfRule type="expression" dxfId="6022" priority="353">
      <formula>AND(IF($Q109=2,1,0),IF($X109&lt;30,1,0))</formula>
    </cfRule>
    <cfRule type="expression" dxfId="6021" priority="354">
      <formula>AND(IF($Q109=3,1,0),IF($X109&lt;30,1,0))</formula>
    </cfRule>
    <cfRule type="expression" dxfId="6020" priority="355">
      <formula>AND(IF($Q109=3,1,IF($Q109=4,1,0)),IF($F109&lt;=85,1,0))</formula>
    </cfRule>
  </conditionalFormatting>
  <conditionalFormatting sqref="X109">
    <cfRule type="expression" dxfId="6019" priority="348">
      <formula>AND(IF(OR($Q109=1,$Q109=2),1,0),IF($X109&lt;=20,1,0))</formula>
    </cfRule>
    <cfRule type="expression" dxfId="6018" priority="349">
      <formula>AND(IF($Q109=2,1,0),IF($X109&lt;30,1,0))</formula>
    </cfRule>
    <cfRule type="expression" dxfId="6017" priority="350">
      <formula>AND(IF($Q109=3,1,0),IF($X109&lt;30,1,0))</formula>
    </cfRule>
    <cfRule type="expression" dxfId="6016" priority="351">
      <formula>AND(IF($Q109=3,1,IF($Q109=4,1,0)),IF($F109&lt;=85,1,0))</formula>
    </cfRule>
  </conditionalFormatting>
  <conditionalFormatting sqref="AI109">
    <cfRule type="expression" dxfId="6015" priority="344">
      <formula>AND(IF(OR($Q109=1,$Q109=2),1,0),IF($X109&lt;=20,1,0))</formula>
    </cfRule>
    <cfRule type="expression" dxfId="6014" priority="345">
      <formula>AND(IF($Q109=2,1,0),IF($X109&lt;30,1,0))</formula>
    </cfRule>
    <cfRule type="expression" dxfId="6013" priority="346">
      <formula>AND(IF($Q109=3,1,0),IF($X109&lt;30,1,0))</formula>
    </cfRule>
    <cfRule type="expression" dxfId="6012" priority="347">
      <formula>AND(IF($Q109=3,1,IF($Q109=4,1,0)),IF($F109&lt;=85,1,0))</formula>
    </cfRule>
  </conditionalFormatting>
  <conditionalFormatting sqref="AV110">
    <cfRule type="expression" dxfId="6011" priority="342">
      <formula>AV110="X"</formula>
    </cfRule>
    <cfRule type="expression" dxfId="6010" priority="343">
      <formula>AV110="후보"</formula>
    </cfRule>
  </conditionalFormatting>
  <conditionalFormatting sqref="Z110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6009" priority="339" operator="greaterThan">
      <formula>0.9</formula>
    </cfRule>
    <cfRule type="cellIs" dxfId="6008" priority="340" operator="greaterThan">
      <formula>0.85</formula>
    </cfRule>
  </conditionalFormatting>
  <conditionalFormatting sqref="N110">
    <cfRule type="cellIs" dxfId="6007" priority="337" operator="greaterThan">
      <formula>0.9</formula>
    </cfRule>
    <cfRule type="cellIs" dxfId="6006" priority="338" operator="greaterThan">
      <formula>0.85</formula>
    </cfRule>
  </conditionalFormatting>
  <conditionalFormatting sqref="E110">
    <cfRule type="expression" dxfId="6005" priority="333">
      <formula>AND(IF(OR($Q110=1,$Q110=2),1,0),IF($X110&lt;=20,1,0))</formula>
    </cfRule>
    <cfRule type="expression" dxfId="6004" priority="334">
      <formula>AND(IF($Q110=2,1,0),IF($X110&lt;30,1,0))</formula>
    </cfRule>
    <cfRule type="expression" dxfId="6003" priority="335">
      <formula>AND(IF($Q110=3,1,0),IF($X110&lt;30,1,0))</formula>
    </cfRule>
    <cfRule type="expression" dxfId="6002" priority="336">
      <formula>AND(IF($Q110=3,1,IF($Q110=4,1,0)),IF($F110&lt;=85,1,0))</formula>
    </cfRule>
  </conditionalFormatting>
  <conditionalFormatting sqref="X110">
    <cfRule type="expression" dxfId="6001" priority="329">
      <formula>AND(IF(OR($Q110=1,$Q110=2),1,0),IF($X110&lt;=20,1,0))</formula>
    </cfRule>
    <cfRule type="expression" dxfId="6000" priority="330">
      <formula>AND(IF($Q110=2,1,0),IF($X110&lt;30,1,0))</formula>
    </cfRule>
    <cfRule type="expression" dxfId="5999" priority="331">
      <formula>AND(IF($Q110=3,1,0),IF($X110&lt;30,1,0))</formula>
    </cfRule>
    <cfRule type="expression" dxfId="5998" priority="332">
      <formula>AND(IF($Q110=3,1,IF($Q110=4,1,0)),IF($F110&lt;=85,1,0))</formula>
    </cfRule>
  </conditionalFormatting>
  <conditionalFormatting sqref="AI110">
    <cfRule type="expression" dxfId="5997" priority="325">
      <formula>AND(IF(OR($Q110=1,$Q110=2),1,0),IF($X110&lt;=20,1,0))</formula>
    </cfRule>
    <cfRule type="expression" dxfId="5996" priority="326">
      <formula>AND(IF($Q110=2,1,0),IF($X110&lt;30,1,0))</formula>
    </cfRule>
    <cfRule type="expression" dxfId="5995" priority="327">
      <formula>AND(IF($Q110=3,1,0),IF($X110&lt;30,1,0))</formula>
    </cfRule>
    <cfRule type="expression" dxfId="5994" priority="328">
      <formula>AND(IF($Q110=3,1,IF($Q110=4,1,0)),IF($F110&lt;=85,1,0))</formula>
    </cfRule>
  </conditionalFormatting>
  <conditionalFormatting sqref="AV111">
    <cfRule type="expression" dxfId="5993" priority="323">
      <formula>AV111="X"</formula>
    </cfRule>
    <cfRule type="expression" dxfId="5992" priority="324">
      <formula>AV111="후보"</formula>
    </cfRule>
  </conditionalFormatting>
  <conditionalFormatting sqref="Z111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 N111">
    <cfRule type="cellIs" dxfId="5991" priority="320" operator="greaterThan">
      <formula>0.9</formula>
    </cfRule>
    <cfRule type="cellIs" dxfId="5990" priority="321" operator="greaterThan">
      <formula>0.85</formula>
    </cfRule>
  </conditionalFormatting>
  <conditionalFormatting sqref="AV112">
    <cfRule type="expression" dxfId="5989" priority="318">
      <formula>AV112="X"</formula>
    </cfRule>
    <cfRule type="expression" dxfId="5988" priority="319">
      <formula>AV112="후보"</formula>
    </cfRule>
  </conditionalFormatting>
  <conditionalFormatting sqref="Z112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5987" priority="315" operator="greaterThan">
      <formula>0.9</formula>
    </cfRule>
    <cfRule type="cellIs" dxfId="5986" priority="316" operator="greaterThan">
      <formula>0.85</formula>
    </cfRule>
  </conditionalFormatting>
  <conditionalFormatting sqref="N112">
    <cfRule type="cellIs" dxfId="5985" priority="313" operator="greaterThan">
      <formula>0.9</formula>
    </cfRule>
    <cfRule type="cellIs" dxfId="5984" priority="314" operator="greaterThan">
      <formula>0.85</formula>
    </cfRule>
  </conditionalFormatting>
  <conditionalFormatting sqref="E112">
    <cfRule type="expression" dxfId="5983" priority="309">
      <formula>AND(IF(OR($Q112=1,$Q112=2),1,0),IF($X112&lt;=20,1,0))</formula>
    </cfRule>
    <cfRule type="expression" dxfId="5982" priority="310">
      <formula>AND(IF($Q112=2,1,0),IF($X112&lt;30,1,0))</formula>
    </cfRule>
    <cfRule type="expression" dxfId="5981" priority="311">
      <formula>AND(IF($Q112=3,1,0),IF($X112&lt;30,1,0))</formula>
    </cfRule>
    <cfRule type="expression" dxfId="5980" priority="312">
      <formula>AND(IF($Q112=3,1,IF($Q112=4,1,0)),IF($F112&lt;=85,1,0))</formula>
    </cfRule>
  </conditionalFormatting>
  <conditionalFormatting sqref="X112">
    <cfRule type="expression" dxfId="5979" priority="305">
      <formula>AND(IF(OR($Q112=1,$Q112=2),1,0),IF($X112&lt;=20,1,0))</formula>
    </cfRule>
    <cfRule type="expression" dxfId="5978" priority="306">
      <formula>AND(IF($Q112=2,1,0),IF($X112&lt;30,1,0))</formula>
    </cfRule>
    <cfRule type="expression" dxfId="5977" priority="307">
      <formula>AND(IF($Q112=3,1,0),IF($X112&lt;30,1,0))</formula>
    </cfRule>
    <cfRule type="expression" dxfId="5976" priority="308">
      <formula>AND(IF($Q112=3,1,IF($Q112=4,1,0)),IF($F112&lt;=85,1,0))</formula>
    </cfRule>
  </conditionalFormatting>
  <conditionalFormatting sqref="AI112">
    <cfRule type="expression" dxfId="5975" priority="301">
      <formula>AND(IF(OR($Q112=1,$Q112=2),1,0),IF($X112&lt;=20,1,0))</formula>
    </cfRule>
    <cfRule type="expression" dxfId="5974" priority="302">
      <formula>AND(IF($Q112=2,1,0),IF($X112&lt;30,1,0))</formula>
    </cfRule>
    <cfRule type="expression" dxfId="5973" priority="303">
      <formula>AND(IF($Q112=3,1,0),IF($X112&lt;30,1,0))</formula>
    </cfRule>
    <cfRule type="expression" dxfId="5972" priority="304">
      <formula>AND(IF($Q112=3,1,IF($Q112=4,1,0)),IF($F112&lt;=85,1,0))</formula>
    </cfRule>
  </conditionalFormatting>
  <conditionalFormatting sqref="AV113">
    <cfRule type="expression" dxfId="5971" priority="299">
      <formula>AV113="X"</formula>
    </cfRule>
    <cfRule type="expression" dxfId="5970" priority="300">
      <formula>AV113="후보"</formula>
    </cfRule>
  </conditionalFormatting>
  <conditionalFormatting sqref="Z113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5969" priority="296" operator="greaterThan">
      <formula>0.9</formula>
    </cfRule>
    <cfRule type="cellIs" dxfId="5968" priority="297" operator="greaterThan">
      <formula>0.85</formula>
    </cfRule>
  </conditionalFormatting>
  <conditionalFormatting sqref="N113">
    <cfRule type="cellIs" dxfId="5967" priority="294" operator="greaterThan">
      <formula>0.9</formula>
    </cfRule>
    <cfRule type="cellIs" dxfId="5966" priority="295" operator="greaterThan">
      <formula>0.85</formula>
    </cfRule>
  </conditionalFormatting>
  <conditionalFormatting sqref="E113">
    <cfRule type="expression" dxfId="5965" priority="290">
      <formula>AND(IF(OR($Q113=1,$Q113=2),1,0),IF($X113&lt;=20,1,0))</formula>
    </cfRule>
    <cfRule type="expression" dxfId="5964" priority="291">
      <formula>AND(IF($Q113=2,1,0),IF($X113&lt;30,1,0))</formula>
    </cfRule>
    <cfRule type="expression" dxfId="5963" priority="292">
      <formula>AND(IF($Q113=3,1,0),IF($X113&lt;30,1,0))</formula>
    </cfRule>
    <cfRule type="expression" dxfId="5962" priority="293">
      <formula>AND(IF($Q113=3,1,IF($Q113=4,1,0)),IF($F113&lt;=85,1,0))</formula>
    </cfRule>
  </conditionalFormatting>
  <conditionalFormatting sqref="X113">
    <cfRule type="expression" dxfId="5961" priority="286">
      <formula>AND(IF(OR($Q113=1,$Q113=2),1,0),IF($X113&lt;=20,1,0))</formula>
    </cfRule>
    <cfRule type="expression" dxfId="5960" priority="287">
      <formula>AND(IF($Q113=2,1,0),IF($X113&lt;30,1,0))</formula>
    </cfRule>
    <cfRule type="expression" dxfId="5959" priority="288">
      <formula>AND(IF($Q113=3,1,0),IF($X113&lt;30,1,0))</formula>
    </cfRule>
    <cfRule type="expression" dxfId="5958" priority="289">
      <formula>AND(IF($Q113=3,1,IF($Q113=4,1,0)),IF($F113&lt;=85,1,0))</formula>
    </cfRule>
  </conditionalFormatting>
  <conditionalFormatting sqref="AI113">
    <cfRule type="expression" dxfId="5957" priority="282">
      <formula>AND(IF(OR($Q113=1,$Q113=2),1,0),IF($X113&lt;=20,1,0))</formula>
    </cfRule>
    <cfRule type="expression" dxfId="5956" priority="283">
      <formula>AND(IF($Q113=2,1,0),IF($X113&lt;30,1,0))</formula>
    </cfRule>
    <cfRule type="expression" dxfId="5955" priority="284">
      <formula>AND(IF($Q113=3,1,0),IF($X113&lt;30,1,0))</formula>
    </cfRule>
    <cfRule type="expression" dxfId="5954" priority="285">
      <formula>AND(IF($Q113=3,1,IF($Q113=4,1,0)),IF($F113&lt;=85,1,0))</formula>
    </cfRule>
  </conditionalFormatting>
  <conditionalFormatting sqref="AV114">
    <cfRule type="expression" dxfId="5953" priority="280">
      <formula>AV114="X"</formula>
    </cfRule>
    <cfRule type="expression" dxfId="5952" priority="281">
      <formula>AV114="후보"</formula>
    </cfRule>
  </conditionalFormatting>
  <conditionalFormatting sqref="Z114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5951" priority="277" operator="greaterThan">
      <formula>0.9</formula>
    </cfRule>
    <cfRule type="cellIs" dxfId="5950" priority="278" operator="greaterThan">
      <formula>0.85</formula>
    </cfRule>
  </conditionalFormatting>
  <conditionalFormatting sqref="N114">
    <cfRule type="cellIs" dxfId="5949" priority="275" operator="greaterThan">
      <formula>0.9</formula>
    </cfRule>
    <cfRule type="cellIs" dxfId="5948" priority="276" operator="greaterThan">
      <formula>0.85</formula>
    </cfRule>
  </conditionalFormatting>
  <conditionalFormatting sqref="E114">
    <cfRule type="expression" dxfId="5947" priority="271">
      <formula>AND(IF(OR($Q114=1,$Q114=2),1,0),IF($X114&lt;=20,1,0))</formula>
    </cfRule>
    <cfRule type="expression" dxfId="5946" priority="272">
      <formula>AND(IF($Q114=2,1,0),IF($X114&lt;30,1,0))</formula>
    </cfRule>
    <cfRule type="expression" dxfId="5945" priority="273">
      <formula>AND(IF($Q114=3,1,0),IF($X114&lt;30,1,0))</formula>
    </cfRule>
    <cfRule type="expression" dxfId="5944" priority="274">
      <formula>AND(IF($Q114=3,1,IF($Q114=4,1,0)),IF($F114&lt;=85,1,0))</formula>
    </cfRule>
  </conditionalFormatting>
  <conditionalFormatting sqref="X114">
    <cfRule type="expression" dxfId="5943" priority="267">
      <formula>AND(IF(OR($Q114=1,$Q114=2),1,0),IF($X114&lt;=20,1,0))</formula>
    </cfRule>
    <cfRule type="expression" dxfId="5942" priority="268">
      <formula>AND(IF($Q114=2,1,0),IF($X114&lt;30,1,0))</formula>
    </cfRule>
    <cfRule type="expression" dxfId="5941" priority="269">
      <formula>AND(IF($Q114=3,1,0),IF($X114&lt;30,1,0))</formula>
    </cfRule>
    <cfRule type="expression" dxfId="5940" priority="270">
      <formula>AND(IF($Q114=3,1,IF($Q114=4,1,0)),IF($F114&lt;=85,1,0))</formula>
    </cfRule>
  </conditionalFormatting>
  <conditionalFormatting sqref="AI114">
    <cfRule type="expression" dxfId="5939" priority="263">
      <formula>AND(IF(OR($Q114=1,$Q114=2),1,0),IF($X114&lt;=20,1,0))</formula>
    </cfRule>
    <cfRule type="expression" dxfId="5938" priority="264">
      <formula>AND(IF($Q114=2,1,0),IF($X114&lt;30,1,0))</formula>
    </cfRule>
    <cfRule type="expression" dxfId="5937" priority="265">
      <formula>AND(IF($Q114=3,1,0),IF($X114&lt;30,1,0))</formula>
    </cfRule>
    <cfRule type="expression" dxfId="5936" priority="266">
      <formula>AND(IF($Q114=3,1,IF($Q114=4,1,0)),IF($F114&lt;=85,1,0))</formula>
    </cfRule>
  </conditionalFormatting>
  <conditionalFormatting sqref="AV115">
    <cfRule type="expression" dxfId="5935" priority="261">
      <formula>AV115="X"</formula>
    </cfRule>
    <cfRule type="expression" dxfId="5934" priority="262">
      <formula>AV115="후보"</formula>
    </cfRule>
  </conditionalFormatting>
  <conditionalFormatting sqref="Z11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5933" priority="258" operator="greaterThan">
      <formula>0.9</formula>
    </cfRule>
    <cfRule type="cellIs" dxfId="5932" priority="259" operator="greaterThan">
      <formula>0.85</formula>
    </cfRule>
  </conditionalFormatting>
  <conditionalFormatting sqref="N115">
    <cfRule type="cellIs" dxfId="5931" priority="256" operator="greaterThan">
      <formula>0.9</formula>
    </cfRule>
    <cfRule type="cellIs" dxfId="5930" priority="257" operator="greaterThan">
      <formula>0.85</formula>
    </cfRule>
  </conditionalFormatting>
  <conditionalFormatting sqref="E115">
    <cfRule type="expression" dxfId="5929" priority="252">
      <formula>AND(IF(OR($Q115=1,$Q115=2),1,0),IF($X115&lt;=20,1,0))</formula>
    </cfRule>
    <cfRule type="expression" dxfId="5928" priority="253">
      <formula>AND(IF($Q115=2,1,0),IF($X115&lt;30,1,0))</formula>
    </cfRule>
    <cfRule type="expression" dxfId="5927" priority="254">
      <formula>AND(IF($Q115=3,1,0),IF($X115&lt;30,1,0))</formula>
    </cfRule>
    <cfRule type="expression" dxfId="5926" priority="255">
      <formula>AND(IF($Q115=3,1,IF($Q115=4,1,0)),IF($F115&lt;=85,1,0))</formula>
    </cfRule>
  </conditionalFormatting>
  <conditionalFormatting sqref="X115">
    <cfRule type="expression" dxfId="5925" priority="248">
      <formula>AND(IF(OR($Q115=1,$Q115=2),1,0),IF($X115&lt;=20,1,0))</formula>
    </cfRule>
    <cfRule type="expression" dxfId="5924" priority="249">
      <formula>AND(IF($Q115=2,1,0),IF($X115&lt;30,1,0))</formula>
    </cfRule>
    <cfRule type="expression" dxfId="5923" priority="250">
      <formula>AND(IF($Q115=3,1,0),IF($X115&lt;30,1,0))</formula>
    </cfRule>
    <cfRule type="expression" dxfId="5922" priority="251">
      <formula>AND(IF($Q115=3,1,IF($Q115=4,1,0)),IF($F115&lt;=85,1,0))</formula>
    </cfRule>
  </conditionalFormatting>
  <conditionalFormatting sqref="AI115">
    <cfRule type="expression" dxfId="5921" priority="244">
      <formula>AND(IF(OR($Q115=1,$Q115=2),1,0),IF($X115&lt;=20,1,0))</formula>
    </cfRule>
    <cfRule type="expression" dxfId="5920" priority="245">
      <formula>AND(IF($Q115=2,1,0),IF($X115&lt;30,1,0))</formula>
    </cfRule>
    <cfRule type="expression" dxfId="5919" priority="246">
      <formula>AND(IF($Q115=3,1,0),IF($X115&lt;30,1,0))</formula>
    </cfRule>
    <cfRule type="expression" dxfId="5918" priority="247">
      <formula>AND(IF($Q115=3,1,IF($Q115=4,1,0)),IF($F115&lt;=85,1,0))</formula>
    </cfRule>
  </conditionalFormatting>
  <conditionalFormatting sqref="AV116">
    <cfRule type="expression" dxfId="5917" priority="242">
      <formula>AV116="X"</formula>
    </cfRule>
    <cfRule type="expression" dxfId="5916" priority="243">
      <formula>AV116="후보"</formula>
    </cfRule>
  </conditionalFormatting>
  <conditionalFormatting sqref="Z11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5915" priority="239" operator="greaterThan">
      <formula>0.9</formula>
    </cfRule>
    <cfRule type="cellIs" dxfId="5914" priority="240" operator="greaterThan">
      <formula>0.85</formula>
    </cfRule>
  </conditionalFormatting>
  <conditionalFormatting sqref="N116">
    <cfRule type="cellIs" dxfId="5913" priority="237" operator="greaterThan">
      <formula>0.9</formula>
    </cfRule>
    <cfRule type="cellIs" dxfId="5912" priority="238" operator="greaterThan">
      <formula>0.85</formula>
    </cfRule>
  </conditionalFormatting>
  <conditionalFormatting sqref="E116">
    <cfRule type="expression" dxfId="5911" priority="233">
      <formula>AND(IF(OR($Q116=1,$Q116=2),1,0),IF($X116&lt;=20,1,0))</formula>
    </cfRule>
    <cfRule type="expression" dxfId="5910" priority="234">
      <formula>AND(IF($Q116=2,1,0),IF($X116&lt;30,1,0))</formula>
    </cfRule>
    <cfRule type="expression" dxfId="5909" priority="235">
      <formula>AND(IF($Q116=3,1,0),IF($X116&lt;30,1,0))</formula>
    </cfRule>
    <cfRule type="expression" dxfId="5908" priority="236">
      <formula>AND(IF($Q116=3,1,IF($Q116=4,1,0)),IF($F116&lt;=85,1,0))</formula>
    </cfRule>
  </conditionalFormatting>
  <conditionalFormatting sqref="X116">
    <cfRule type="expression" dxfId="5907" priority="229">
      <formula>AND(IF(OR($Q116=1,$Q116=2),1,0),IF($X116&lt;=20,1,0))</formula>
    </cfRule>
    <cfRule type="expression" dxfId="5906" priority="230">
      <formula>AND(IF($Q116=2,1,0),IF($X116&lt;30,1,0))</formula>
    </cfRule>
    <cfRule type="expression" dxfId="5905" priority="231">
      <formula>AND(IF($Q116=3,1,0),IF($X116&lt;30,1,0))</formula>
    </cfRule>
    <cfRule type="expression" dxfId="5904" priority="232">
      <formula>AND(IF($Q116=3,1,IF($Q116=4,1,0)),IF($F116&lt;=85,1,0))</formula>
    </cfRule>
  </conditionalFormatting>
  <conditionalFormatting sqref="AI116">
    <cfRule type="expression" dxfId="5903" priority="225">
      <formula>AND(IF(OR($Q116=1,$Q116=2),1,0),IF($X116&lt;=20,1,0))</formula>
    </cfRule>
    <cfRule type="expression" dxfId="5902" priority="226">
      <formula>AND(IF($Q116=2,1,0),IF($X116&lt;30,1,0))</formula>
    </cfRule>
    <cfRule type="expression" dxfId="5901" priority="227">
      <formula>AND(IF($Q116=3,1,0),IF($X116&lt;30,1,0))</formula>
    </cfRule>
    <cfRule type="expression" dxfId="5900" priority="228">
      <formula>AND(IF($Q116=3,1,IF($Q116=4,1,0)),IF($F116&lt;=85,1,0))</formula>
    </cfRule>
  </conditionalFormatting>
  <conditionalFormatting sqref="AV117">
    <cfRule type="expression" dxfId="5899" priority="223">
      <formula>AV117="X"</formula>
    </cfRule>
    <cfRule type="expression" dxfId="5898" priority="224">
      <formula>AV117="후보"</formula>
    </cfRule>
  </conditionalFormatting>
  <conditionalFormatting sqref="Z117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 N117">
    <cfRule type="cellIs" dxfId="5897" priority="220" operator="greaterThan">
      <formula>0.9</formula>
    </cfRule>
    <cfRule type="cellIs" dxfId="5896" priority="221" operator="greaterThan">
      <formula>0.85</formula>
    </cfRule>
  </conditionalFormatting>
  <conditionalFormatting sqref="AV118">
    <cfRule type="expression" dxfId="5895" priority="218">
      <formula>AV118="X"</formula>
    </cfRule>
    <cfRule type="expression" dxfId="5894" priority="219">
      <formula>AV118="후보"</formula>
    </cfRule>
  </conditionalFormatting>
  <conditionalFormatting sqref="Z118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5893" priority="215" operator="greaterThan">
      <formula>0.9</formula>
    </cfRule>
    <cfRule type="cellIs" dxfId="5892" priority="216" operator="greaterThan">
      <formula>0.85</formula>
    </cfRule>
  </conditionalFormatting>
  <conditionalFormatting sqref="N118">
    <cfRule type="cellIs" dxfId="5891" priority="213" operator="greaterThan">
      <formula>0.9</formula>
    </cfRule>
    <cfRule type="cellIs" dxfId="5890" priority="214" operator="greaterThan">
      <formula>0.85</formula>
    </cfRule>
  </conditionalFormatting>
  <conditionalFormatting sqref="E118">
    <cfRule type="expression" dxfId="5889" priority="209">
      <formula>AND(IF(OR($Q118=1,$Q118=2),1,0),IF($X118&lt;=20,1,0))</formula>
    </cfRule>
    <cfRule type="expression" dxfId="5888" priority="210">
      <formula>AND(IF($Q118=2,1,0),IF($X118&lt;30,1,0))</formula>
    </cfRule>
    <cfRule type="expression" dxfId="5887" priority="211">
      <formula>AND(IF($Q118=3,1,0),IF($X118&lt;30,1,0))</formula>
    </cfRule>
    <cfRule type="expression" dxfId="5886" priority="212">
      <formula>AND(IF($Q118=3,1,IF($Q118=4,1,0)),IF($F118&lt;=85,1,0))</formula>
    </cfRule>
  </conditionalFormatting>
  <conditionalFormatting sqref="X118">
    <cfRule type="expression" dxfId="5885" priority="205">
      <formula>AND(IF(OR($Q118=1,$Q118=2),1,0),IF($X118&lt;=20,1,0))</formula>
    </cfRule>
    <cfRule type="expression" dxfId="5884" priority="206">
      <formula>AND(IF($Q118=2,1,0),IF($X118&lt;30,1,0))</formula>
    </cfRule>
    <cfRule type="expression" dxfId="5883" priority="207">
      <formula>AND(IF($Q118=3,1,0),IF($X118&lt;30,1,0))</formula>
    </cfRule>
    <cfRule type="expression" dxfId="5882" priority="208">
      <formula>AND(IF($Q118=3,1,IF($Q118=4,1,0)),IF($F118&lt;=85,1,0))</formula>
    </cfRule>
  </conditionalFormatting>
  <conditionalFormatting sqref="AI118">
    <cfRule type="expression" dxfId="5881" priority="201">
      <formula>AND(IF(OR($Q118=1,$Q118=2),1,0),IF($X118&lt;=20,1,0))</formula>
    </cfRule>
    <cfRule type="expression" dxfId="5880" priority="202">
      <formula>AND(IF($Q118=2,1,0),IF($X118&lt;30,1,0))</formula>
    </cfRule>
    <cfRule type="expression" dxfId="5879" priority="203">
      <formula>AND(IF($Q118=3,1,0),IF($X118&lt;30,1,0))</formula>
    </cfRule>
    <cfRule type="expression" dxfId="5878" priority="204">
      <formula>AND(IF($Q118=3,1,IF($Q118=4,1,0)),IF($F118&lt;=85,1,0))</formula>
    </cfRule>
  </conditionalFormatting>
  <conditionalFormatting sqref="AV119">
    <cfRule type="expression" dxfId="5877" priority="199">
      <formula>AV119="X"</formula>
    </cfRule>
    <cfRule type="expression" dxfId="5876" priority="200">
      <formula>AV119="후보"</formula>
    </cfRule>
  </conditionalFormatting>
  <conditionalFormatting sqref="Z11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5875" priority="196" operator="greaterThan">
      <formula>0.9</formula>
    </cfRule>
    <cfRule type="cellIs" dxfId="5874" priority="197" operator="greaterThan">
      <formula>0.85</formula>
    </cfRule>
  </conditionalFormatting>
  <conditionalFormatting sqref="N119">
    <cfRule type="cellIs" dxfId="5873" priority="194" operator="greaterThan">
      <formula>0.9</formula>
    </cfRule>
    <cfRule type="cellIs" dxfId="5872" priority="195" operator="greaterThan">
      <formula>0.85</formula>
    </cfRule>
  </conditionalFormatting>
  <conditionalFormatting sqref="E119">
    <cfRule type="expression" dxfId="5871" priority="190">
      <formula>AND(IF(OR($Q119=1,$Q119=2),1,0),IF($X119&lt;=20,1,0))</formula>
    </cfRule>
    <cfRule type="expression" dxfId="5870" priority="191">
      <formula>AND(IF($Q119=2,1,0),IF($X119&lt;30,1,0))</formula>
    </cfRule>
    <cfRule type="expression" dxfId="5869" priority="192">
      <formula>AND(IF($Q119=3,1,0),IF($X119&lt;30,1,0))</formula>
    </cfRule>
    <cfRule type="expression" dxfId="5868" priority="193">
      <formula>AND(IF($Q119=3,1,IF($Q119=4,1,0)),IF($F119&lt;=85,1,0))</formula>
    </cfRule>
  </conditionalFormatting>
  <conditionalFormatting sqref="X119">
    <cfRule type="expression" dxfId="5867" priority="186">
      <formula>AND(IF(OR($Q119=1,$Q119=2),1,0),IF($X119&lt;=20,1,0))</formula>
    </cfRule>
    <cfRule type="expression" dxfId="5866" priority="187">
      <formula>AND(IF($Q119=2,1,0),IF($X119&lt;30,1,0))</formula>
    </cfRule>
    <cfRule type="expression" dxfId="5865" priority="188">
      <formula>AND(IF($Q119=3,1,0),IF($X119&lt;30,1,0))</formula>
    </cfRule>
    <cfRule type="expression" dxfId="5864" priority="189">
      <formula>AND(IF($Q119=3,1,IF($Q119=4,1,0)),IF($F119&lt;=85,1,0))</formula>
    </cfRule>
  </conditionalFormatting>
  <conditionalFormatting sqref="AI119">
    <cfRule type="expression" dxfId="5863" priority="182">
      <formula>AND(IF(OR($Q119=1,$Q119=2),1,0),IF($X119&lt;=20,1,0))</formula>
    </cfRule>
    <cfRule type="expression" dxfId="5862" priority="183">
      <formula>AND(IF($Q119=2,1,0),IF($X119&lt;30,1,0))</formula>
    </cfRule>
    <cfRule type="expression" dxfId="5861" priority="184">
      <formula>AND(IF($Q119=3,1,0),IF($X119&lt;30,1,0))</formula>
    </cfRule>
    <cfRule type="expression" dxfId="5860" priority="185">
      <formula>AND(IF($Q119=3,1,IF($Q119=4,1,0)),IF($F119&lt;=85,1,0))</formula>
    </cfRule>
  </conditionalFormatting>
  <conditionalFormatting sqref="AV120">
    <cfRule type="expression" dxfId="5859" priority="180">
      <formula>AV120="X"</formula>
    </cfRule>
    <cfRule type="expression" dxfId="5858" priority="181">
      <formula>AV120="후보"</formula>
    </cfRule>
  </conditionalFormatting>
  <conditionalFormatting sqref="Z12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5857" priority="177" operator="greaterThan">
      <formula>0.9</formula>
    </cfRule>
    <cfRule type="cellIs" dxfId="5856" priority="178" operator="greaterThan">
      <formula>0.85</formula>
    </cfRule>
  </conditionalFormatting>
  <conditionalFormatting sqref="N120">
    <cfRule type="cellIs" dxfId="5855" priority="175" operator="greaterThan">
      <formula>0.9</formula>
    </cfRule>
    <cfRule type="cellIs" dxfId="5854" priority="176" operator="greaterThan">
      <formula>0.85</formula>
    </cfRule>
  </conditionalFormatting>
  <conditionalFormatting sqref="E120">
    <cfRule type="expression" dxfId="5853" priority="171">
      <formula>AND(IF(OR($Q120=1,$Q120=2),1,0),IF($X120&lt;=20,1,0))</formula>
    </cfRule>
    <cfRule type="expression" dxfId="5852" priority="172">
      <formula>AND(IF($Q120=2,1,0),IF($X120&lt;30,1,0))</formula>
    </cfRule>
    <cfRule type="expression" dxfId="5851" priority="173">
      <formula>AND(IF($Q120=3,1,0),IF($X120&lt;30,1,0))</formula>
    </cfRule>
    <cfRule type="expression" dxfId="5850" priority="174">
      <formula>AND(IF($Q120=3,1,IF($Q120=4,1,0)),IF($F120&lt;=85,1,0))</formula>
    </cfRule>
  </conditionalFormatting>
  <conditionalFormatting sqref="X120">
    <cfRule type="expression" dxfId="5849" priority="167">
      <formula>AND(IF(OR($Q120=1,$Q120=2),1,0),IF($X120&lt;=20,1,0))</formula>
    </cfRule>
    <cfRule type="expression" dxfId="5848" priority="168">
      <formula>AND(IF($Q120=2,1,0),IF($X120&lt;30,1,0))</formula>
    </cfRule>
    <cfRule type="expression" dxfId="5847" priority="169">
      <formula>AND(IF($Q120=3,1,0),IF($X120&lt;30,1,0))</formula>
    </cfRule>
    <cfRule type="expression" dxfId="5846" priority="170">
      <formula>AND(IF($Q120=3,1,IF($Q120=4,1,0)),IF($F120&lt;=85,1,0))</formula>
    </cfRule>
  </conditionalFormatting>
  <conditionalFormatting sqref="AI120">
    <cfRule type="expression" dxfId="5845" priority="163">
      <formula>AND(IF(OR($Q120=1,$Q120=2),1,0),IF($X120&lt;=20,1,0))</formula>
    </cfRule>
    <cfRule type="expression" dxfId="5844" priority="164">
      <formula>AND(IF($Q120=2,1,0),IF($X120&lt;30,1,0))</formula>
    </cfRule>
    <cfRule type="expression" dxfId="5843" priority="165">
      <formula>AND(IF($Q120=3,1,0),IF($X120&lt;30,1,0))</formula>
    </cfRule>
    <cfRule type="expression" dxfId="5842" priority="166">
      <formula>AND(IF($Q120=3,1,IF($Q120=4,1,0)),IF($F120&lt;=85,1,0))</formula>
    </cfRule>
  </conditionalFormatting>
  <conditionalFormatting sqref="AV121">
    <cfRule type="expression" dxfId="5841" priority="161">
      <formula>AV121="X"</formula>
    </cfRule>
    <cfRule type="expression" dxfId="5840" priority="162">
      <formula>AV121="후보"</formula>
    </cfRule>
  </conditionalFormatting>
  <conditionalFormatting sqref="Z12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5839" priority="158" operator="greaterThan">
      <formula>0.9</formula>
    </cfRule>
    <cfRule type="cellIs" dxfId="5838" priority="159" operator="greaterThan">
      <formula>0.85</formula>
    </cfRule>
  </conditionalFormatting>
  <conditionalFormatting sqref="AV122">
    <cfRule type="expression" dxfId="5837" priority="156">
      <formula>AV122="X"</formula>
    </cfRule>
    <cfRule type="expression" dxfId="5836" priority="157">
      <formula>AV122="후보"</formula>
    </cfRule>
  </conditionalFormatting>
  <conditionalFormatting sqref="Z122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5835" priority="153" operator="greaterThan">
      <formula>0.9</formula>
    </cfRule>
    <cfRule type="cellIs" dxfId="5834" priority="154" operator="greaterThan">
      <formula>0.85</formula>
    </cfRule>
  </conditionalFormatting>
  <conditionalFormatting sqref="N122">
    <cfRule type="cellIs" dxfId="5833" priority="151" operator="greaterThan">
      <formula>0.9</formula>
    </cfRule>
    <cfRule type="cellIs" dxfId="5832" priority="152" operator="greaterThan">
      <formula>0.85</formula>
    </cfRule>
  </conditionalFormatting>
  <conditionalFormatting sqref="E122">
    <cfRule type="expression" dxfId="5831" priority="147">
      <formula>AND(IF(OR($Q122=1,$Q122=2),1,0),IF($X122&lt;=20,1,0))</formula>
    </cfRule>
    <cfRule type="expression" dxfId="5830" priority="148">
      <formula>AND(IF($Q122=2,1,0),IF($X122&lt;30,1,0))</formula>
    </cfRule>
    <cfRule type="expression" dxfId="5829" priority="149">
      <formula>AND(IF($Q122=3,1,0),IF($X122&lt;30,1,0))</formula>
    </cfRule>
    <cfRule type="expression" dxfId="5828" priority="150">
      <formula>AND(IF($Q122=3,1,IF($Q122=4,1,0)),IF($F122&lt;=85,1,0))</formula>
    </cfRule>
  </conditionalFormatting>
  <conditionalFormatting sqref="X122">
    <cfRule type="expression" dxfId="5827" priority="143">
      <formula>AND(IF(OR($Q122=1,$Q122=2),1,0),IF($X122&lt;=20,1,0))</formula>
    </cfRule>
    <cfRule type="expression" dxfId="5826" priority="144">
      <formula>AND(IF($Q122=2,1,0),IF($X122&lt;30,1,0))</formula>
    </cfRule>
    <cfRule type="expression" dxfId="5825" priority="145">
      <formula>AND(IF($Q122=3,1,0),IF($X122&lt;30,1,0))</formula>
    </cfRule>
    <cfRule type="expression" dxfId="5824" priority="146">
      <formula>AND(IF($Q122=3,1,IF($Q122=4,1,0)),IF($F122&lt;=85,1,0))</formula>
    </cfRule>
  </conditionalFormatting>
  <conditionalFormatting sqref="AI122">
    <cfRule type="expression" dxfId="5823" priority="139">
      <formula>AND(IF(OR($Q122=1,$Q122=2),1,0),IF($X122&lt;=20,1,0))</formula>
    </cfRule>
    <cfRule type="expression" dxfId="5822" priority="140">
      <formula>AND(IF($Q122=2,1,0),IF($X122&lt;30,1,0))</formula>
    </cfRule>
    <cfRule type="expression" dxfId="5821" priority="141">
      <formula>AND(IF($Q122=3,1,0),IF($X122&lt;30,1,0))</formula>
    </cfRule>
    <cfRule type="expression" dxfId="5820" priority="142">
      <formula>AND(IF($Q122=3,1,IF($Q122=4,1,0)),IF($F122&lt;=85,1,0))</formula>
    </cfRule>
  </conditionalFormatting>
  <conditionalFormatting sqref="AV123">
    <cfRule type="expression" dxfId="5819" priority="137">
      <formula>AV123="X"</formula>
    </cfRule>
    <cfRule type="expression" dxfId="5818" priority="138">
      <formula>AV123="후보"</formula>
    </cfRule>
  </conditionalFormatting>
  <conditionalFormatting sqref="Z12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5817" priority="134" operator="greaterThan">
      <formula>0.9</formula>
    </cfRule>
    <cfRule type="cellIs" dxfId="5816" priority="135" operator="greaterThan">
      <formula>0.85</formula>
    </cfRule>
  </conditionalFormatting>
  <conditionalFormatting sqref="N123">
    <cfRule type="cellIs" dxfId="5815" priority="132" operator="greaterThan">
      <formula>0.9</formula>
    </cfRule>
    <cfRule type="cellIs" dxfId="5814" priority="133" operator="greaterThan">
      <formula>0.85</formula>
    </cfRule>
  </conditionalFormatting>
  <conditionalFormatting sqref="E123">
    <cfRule type="expression" dxfId="5813" priority="128">
      <formula>AND(IF(OR($Q123=1,$Q123=2),1,0),IF($X123&lt;=20,1,0))</formula>
    </cfRule>
    <cfRule type="expression" dxfId="5812" priority="129">
      <formula>AND(IF($Q123=2,1,0),IF($X123&lt;30,1,0))</formula>
    </cfRule>
    <cfRule type="expression" dxfId="5811" priority="130">
      <formula>AND(IF($Q123=3,1,0),IF($X123&lt;30,1,0))</formula>
    </cfRule>
    <cfRule type="expression" dxfId="5810" priority="131">
      <formula>AND(IF($Q123=3,1,IF($Q123=4,1,0)),IF($F123&lt;=85,1,0))</formula>
    </cfRule>
  </conditionalFormatting>
  <conditionalFormatting sqref="X123">
    <cfRule type="expression" dxfId="5809" priority="124">
      <formula>AND(IF(OR($Q123=1,$Q123=2),1,0),IF($X123&lt;=20,1,0))</formula>
    </cfRule>
    <cfRule type="expression" dxfId="5808" priority="125">
      <formula>AND(IF($Q123=2,1,0),IF($X123&lt;30,1,0))</formula>
    </cfRule>
    <cfRule type="expression" dxfId="5807" priority="126">
      <formula>AND(IF($Q123=3,1,0),IF($X123&lt;30,1,0))</formula>
    </cfRule>
    <cfRule type="expression" dxfId="5806" priority="127">
      <formula>AND(IF($Q123=3,1,IF($Q123=4,1,0)),IF($F123&lt;=85,1,0))</formula>
    </cfRule>
  </conditionalFormatting>
  <conditionalFormatting sqref="AI123">
    <cfRule type="expression" dxfId="5805" priority="120">
      <formula>AND(IF(OR($Q123=1,$Q123=2),1,0),IF($X123&lt;=20,1,0))</formula>
    </cfRule>
    <cfRule type="expression" dxfId="5804" priority="121">
      <formula>AND(IF($Q123=2,1,0),IF($X123&lt;30,1,0))</formula>
    </cfRule>
    <cfRule type="expression" dxfId="5803" priority="122">
      <formula>AND(IF($Q123=3,1,0),IF($X123&lt;30,1,0))</formula>
    </cfRule>
    <cfRule type="expression" dxfId="5802" priority="123">
      <formula>AND(IF($Q123=3,1,IF($Q123=4,1,0)),IF($F123&lt;=85,1,0))</formula>
    </cfRule>
  </conditionalFormatting>
  <conditionalFormatting sqref="AV124">
    <cfRule type="expression" dxfId="5801" priority="118">
      <formula>AV124="X"</formula>
    </cfRule>
    <cfRule type="expression" dxfId="5800" priority="119">
      <formula>AV124="후보"</formula>
    </cfRule>
  </conditionalFormatting>
  <conditionalFormatting sqref="Z12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5799" priority="115" operator="greaterThan">
      <formula>0.9</formula>
    </cfRule>
    <cfRule type="cellIs" dxfId="5798" priority="116" operator="greaterThan">
      <formula>0.85</formula>
    </cfRule>
  </conditionalFormatting>
  <conditionalFormatting sqref="N124">
    <cfRule type="cellIs" dxfId="5797" priority="113" operator="greaterThan">
      <formula>0.9</formula>
    </cfRule>
    <cfRule type="cellIs" dxfId="5796" priority="114" operator="greaterThan">
      <formula>0.85</formula>
    </cfRule>
  </conditionalFormatting>
  <conditionalFormatting sqref="E124">
    <cfRule type="expression" dxfId="5795" priority="109">
      <formula>AND(IF(OR($Q124=1,$Q124=2),1,0),IF($X124&lt;=20,1,0))</formula>
    </cfRule>
    <cfRule type="expression" dxfId="5794" priority="110">
      <formula>AND(IF($Q124=2,1,0),IF($X124&lt;30,1,0))</formula>
    </cfRule>
    <cfRule type="expression" dxfId="5793" priority="111">
      <formula>AND(IF($Q124=3,1,0),IF($X124&lt;30,1,0))</formula>
    </cfRule>
    <cfRule type="expression" dxfId="5792" priority="112">
      <formula>AND(IF($Q124=3,1,IF($Q124=4,1,0)),IF($F124&lt;=85,1,0))</formula>
    </cfRule>
  </conditionalFormatting>
  <conditionalFormatting sqref="X124">
    <cfRule type="expression" dxfId="5791" priority="105">
      <formula>AND(IF(OR($Q124=1,$Q124=2),1,0),IF($X124&lt;=20,1,0))</formula>
    </cfRule>
    <cfRule type="expression" dxfId="5790" priority="106">
      <formula>AND(IF($Q124=2,1,0),IF($X124&lt;30,1,0))</formula>
    </cfRule>
    <cfRule type="expression" dxfId="5789" priority="107">
      <formula>AND(IF($Q124=3,1,0),IF($X124&lt;30,1,0))</formula>
    </cfRule>
    <cfRule type="expression" dxfId="5788" priority="108">
      <formula>AND(IF($Q124=3,1,IF($Q124=4,1,0)),IF($F124&lt;=85,1,0))</formula>
    </cfRule>
  </conditionalFormatting>
  <conditionalFormatting sqref="AI124">
    <cfRule type="expression" dxfId="5787" priority="101">
      <formula>AND(IF(OR($Q124=1,$Q124=2),1,0),IF($X124&lt;=20,1,0))</formula>
    </cfRule>
    <cfRule type="expression" dxfId="5786" priority="102">
      <formula>AND(IF($Q124=2,1,0),IF($X124&lt;30,1,0))</formula>
    </cfRule>
    <cfRule type="expression" dxfId="5785" priority="103">
      <formula>AND(IF($Q124=3,1,0),IF($X124&lt;30,1,0))</formula>
    </cfRule>
    <cfRule type="expression" dxfId="5784" priority="104">
      <formula>AND(IF($Q124=3,1,IF($Q124=4,1,0)),IF($F124&lt;=85,1,0))</formula>
    </cfRule>
  </conditionalFormatting>
  <conditionalFormatting sqref="AV125">
    <cfRule type="expression" dxfId="5783" priority="99">
      <formula>AV125="X"</formula>
    </cfRule>
    <cfRule type="expression" dxfId="5782" priority="100">
      <formula>AV125="후보"</formula>
    </cfRule>
  </conditionalFormatting>
  <conditionalFormatting sqref="Z12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5781" priority="96" operator="greaterThan">
      <formula>0.9</formula>
    </cfRule>
    <cfRule type="cellIs" dxfId="5780" priority="97" operator="greaterThan">
      <formula>0.85</formula>
    </cfRule>
  </conditionalFormatting>
  <conditionalFormatting sqref="N125">
    <cfRule type="cellIs" dxfId="5779" priority="94" operator="greaterThan">
      <formula>0.9</formula>
    </cfRule>
    <cfRule type="cellIs" dxfId="5778" priority="95" operator="greaterThan">
      <formula>0.85</formula>
    </cfRule>
  </conditionalFormatting>
  <conditionalFormatting sqref="E125">
    <cfRule type="expression" dxfId="5777" priority="90">
      <formula>AND(IF(OR($Q125=1,$Q125=2),1,0),IF($X125&lt;=20,1,0))</formula>
    </cfRule>
    <cfRule type="expression" dxfId="5776" priority="91">
      <formula>AND(IF($Q125=2,1,0),IF($X125&lt;30,1,0))</formula>
    </cfRule>
    <cfRule type="expression" dxfId="5775" priority="92">
      <formula>AND(IF($Q125=3,1,0),IF($X125&lt;30,1,0))</formula>
    </cfRule>
    <cfRule type="expression" dxfId="5774" priority="93">
      <formula>AND(IF($Q125=3,1,IF($Q125=4,1,0)),IF($F125&lt;=85,1,0))</formula>
    </cfRule>
  </conditionalFormatting>
  <conditionalFormatting sqref="X125">
    <cfRule type="expression" dxfId="5773" priority="86">
      <formula>AND(IF(OR($Q125=1,$Q125=2),1,0),IF($X125&lt;=20,1,0))</formula>
    </cfRule>
    <cfRule type="expression" dxfId="5772" priority="87">
      <formula>AND(IF($Q125=2,1,0),IF($X125&lt;30,1,0))</formula>
    </cfRule>
    <cfRule type="expression" dxfId="5771" priority="88">
      <formula>AND(IF($Q125=3,1,0),IF($X125&lt;30,1,0))</formula>
    </cfRule>
    <cfRule type="expression" dxfId="5770" priority="89">
      <formula>AND(IF($Q125=3,1,IF($Q125=4,1,0)),IF($F125&lt;=85,1,0))</formula>
    </cfRule>
  </conditionalFormatting>
  <conditionalFormatting sqref="AI125">
    <cfRule type="expression" dxfId="5769" priority="82">
      <formula>AND(IF(OR($Q125=1,$Q125=2),1,0),IF($X125&lt;=20,1,0))</formula>
    </cfRule>
    <cfRule type="expression" dxfId="5768" priority="83">
      <formula>AND(IF($Q125=2,1,0),IF($X125&lt;30,1,0))</formula>
    </cfRule>
    <cfRule type="expression" dxfId="5767" priority="84">
      <formula>AND(IF($Q125=3,1,0),IF($X125&lt;30,1,0))</formula>
    </cfRule>
    <cfRule type="expression" dxfId="5766" priority="85">
      <formula>AND(IF($Q125=3,1,IF($Q125=4,1,0)),IF($F125&lt;=85,1,0))</formula>
    </cfRule>
  </conditionalFormatting>
  <conditionalFormatting sqref="AV126">
    <cfRule type="expression" dxfId="5765" priority="80">
      <formula>AV126="X"</formula>
    </cfRule>
    <cfRule type="expression" dxfId="5764" priority="81">
      <formula>AV126="후보"</formula>
    </cfRule>
  </conditionalFormatting>
  <conditionalFormatting sqref="Z12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5763" priority="77" operator="greaterThan">
      <formula>0.9</formula>
    </cfRule>
    <cfRule type="cellIs" dxfId="5762" priority="78" operator="greaterThan">
      <formula>0.85</formula>
    </cfRule>
  </conditionalFormatting>
  <conditionalFormatting sqref="N126">
    <cfRule type="cellIs" dxfId="5761" priority="75" operator="greaterThan">
      <formula>0.9</formula>
    </cfRule>
    <cfRule type="cellIs" dxfId="5760" priority="76" operator="greaterThan">
      <formula>0.85</formula>
    </cfRule>
  </conditionalFormatting>
  <conditionalFormatting sqref="E126">
    <cfRule type="expression" dxfId="5759" priority="71">
      <formula>AND(IF(OR($Q126=1,$Q126=2),1,0),IF($X126&lt;=20,1,0))</formula>
    </cfRule>
    <cfRule type="expression" dxfId="5758" priority="72">
      <formula>AND(IF($Q126=2,1,0),IF($X126&lt;30,1,0))</formula>
    </cfRule>
    <cfRule type="expression" dxfId="5757" priority="73">
      <formula>AND(IF($Q126=3,1,0),IF($X126&lt;30,1,0))</formula>
    </cfRule>
    <cfRule type="expression" dxfId="5756" priority="74">
      <formula>AND(IF($Q126=3,1,IF($Q126=4,1,0)),IF($F126&lt;=85,1,0))</formula>
    </cfRule>
  </conditionalFormatting>
  <conditionalFormatting sqref="X126">
    <cfRule type="expression" dxfId="5755" priority="67">
      <formula>AND(IF(OR($Q126=1,$Q126=2),1,0),IF($X126&lt;=20,1,0))</formula>
    </cfRule>
    <cfRule type="expression" dxfId="5754" priority="68">
      <formula>AND(IF($Q126=2,1,0),IF($X126&lt;30,1,0))</formula>
    </cfRule>
    <cfRule type="expression" dxfId="5753" priority="69">
      <formula>AND(IF($Q126=3,1,0),IF($X126&lt;30,1,0))</formula>
    </cfRule>
    <cfRule type="expression" dxfId="5752" priority="70">
      <formula>AND(IF($Q126=3,1,IF($Q126=4,1,0)),IF($F126&lt;=85,1,0))</formula>
    </cfRule>
  </conditionalFormatting>
  <conditionalFormatting sqref="AI126">
    <cfRule type="expression" dxfId="5751" priority="63">
      <formula>AND(IF(OR($Q126=1,$Q126=2),1,0),IF($X126&lt;=20,1,0))</formula>
    </cfRule>
    <cfRule type="expression" dxfId="5750" priority="64">
      <formula>AND(IF($Q126=2,1,0),IF($X126&lt;30,1,0))</formula>
    </cfRule>
    <cfRule type="expression" dxfId="5749" priority="65">
      <formula>AND(IF($Q126=3,1,0),IF($X126&lt;30,1,0))</formula>
    </cfRule>
    <cfRule type="expression" dxfId="5748" priority="66">
      <formula>AND(IF($Q126=3,1,IF($Q126=4,1,0)),IF($F126&lt;=85,1,0))</formula>
    </cfRule>
  </conditionalFormatting>
  <conditionalFormatting sqref="AV127">
    <cfRule type="expression" dxfId="5747" priority="61">
      <formula>AV127="X"</formula>
    </cfRule>
    <cfRule type="expression" dxfId="5746" priority="62">
      <formula>AV127="후보"</formula>
    </cfRule>
  </conditionalFormatting>
  <conditionalFormatting sqref="Z127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5745" priority="58" operator="greaterThan">
      <formula>0.9</formula>
    </cfRule>
    <cfRule type="cellIs" dxfId="5744" priority="59" operator="greaterThan">
      <formula>0.85</formula>
    </cfRule>
  </conditionalFormatting>
  <conditionalFormatting sqref="N127">
    <cfRule type="cellIs" dxfId="5743" priority="56" operator="greaterThan">
      <formula>0.9</formula>
    </cfRule>
    <cfRule type="cellIs" dxfId="5742" priority="57" operator="greaterThan">
      <formula>0.85</formula>
    </cfRule>
  </conditionalFormatting>
  <conditionalFormatting sqref="E127">
    <cfRule type="expression" dxfId="5741" priority="52">
      <formula>AND(IF(OR($Q127=1,$Q127=2),1,0),IF($X127&lt;=20,1,0))</formula>
    </cfRule>
    <cfRule type="expression" dxfId="5740" priority="53">
      <formula>AND(IF($Q127=2,1,0),IF($X127&lt;30,1,0))</formula>
    </cfRule>
    <cfRule type="expression" dxfId="5739" priority="54">
      <formula>AND(IF($Q127=3,1,0),IF($X127&lt;30,1,0))</formula>
    </cfRule>
    <cfRule type="expression" dxfId="5738" priority="55">
      <formula>AND(IF($Q127=3,1,IF($Q127=4,1,0)),IF($F127&lt;=85,1,0))</formula>
    </cfRule>
  </conditionalFormatting>
  <conditionalFormatting sqref="X127">
    <cfRule type="expression" dxfId="5737" priority="48">
      <formula>AND(IF(OR($Q127=1,$Q127=2),1,0),IF($X127&lt;=20,1,0))</formula>
    </cfRule>
    <cfRule type="expression" dxfId="5736" priority="49">
      <formula>AND(IF($Q127=2,1,0),IF($X127&lt;30,1,0))</formula>
    </cfRule>
    <cfRule type="expression" dxfId="5735" priority="50">
      <formula>AND(IF($Q127=3,1,0),IF($X127&lt;30,1,0))</formula>
    </cfRule>
    <cfRule type="expression" dxfId="5734" priority="51">
      <formula>AND(IF($Q127=3,1,IF($Q127=4,1,0)),IF($F127&lt;=85,1,0))</formula>
    </cfRule>
  </conditionalFormatting>
  <conditionalFormatting sqref="AI127">
    <cfRule type="expression" dxfId="5733" priority="44">
      <formula>AND(IF(OR($Q127=1,$Q127=2),1,0),IF($X127&lt;=20,1,0))</formula>
    </cfRule>
    <cfRule type="expression" dxfId="5732" priority="45">
      <formula>AND(IF($Q127=2,1,0),IF($X127&lt;30,1,0))</formula>
    </cfRule>
    <cfRule type="expression" dxfId="5731" priority="46">
      <formula>AND(IF($Q127=3,1,0),IF($X127&lt;30,1,0))</formula>
    </cfRule>
    <cfRule type="expression" dxfId="5730" priority="47">
      <formula>AND(IF($Q127=3,1,IF($Q127=4,1,0)),IF($F127&lt;=85,1,0))</formula>
    </cfRule>
  </conditionalFormatting>
  <conditionalFormatting sqref="AV128">
    <cfRule type="expression" dxfId="5729" priority="42">
      <formula>AV128="X"</formula>
    </cfRule>
    <cfRule type="expression" dxfId="5728" priority="43">
      <formula>AV128="후보"</formula>
    </cfRule>
  </conditionalFormatting>
  <conditionalFormatting sqref="Z128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5727" priority="39" operator="greaterThan">
      <formula>0.9</formula>
    </cfRule>
    <cfRule type="cellIs" dxfId="5726" priority="40" operator="greaterThan">
      <formula>0.85</formula>
    </cfRule>
  </conditionalFormatting>
  <conditionalFormatting sqref="N128">
    <cfRule type="cellIs" dxfId="5725" priority="37" operator="greaterThan">
      <formula>0.9</formula>
    </cfRule>
    <cfRule type="cellIs" dxfId="5724" priority="38" operator="greaterThan">
      <formula>0.85</formula>
    </cfRule>
  </conditionalFormatting>
  <conditionalFormatting sqref="E128">
    <cfRule type="expression" dxfId="5723" priority="33">
      <formula>AND(IF(OR($Q128=1,$Q128=2),1,0),IF($X128&lt;=20,1,0))</formula>
    </cfRule>
    <cfRule type="expression" dxfId="5722" priority="34">
      <formula>AND(IF($Q128=2,1,0),IF($X128&lt;30,1,0))</formula>
    </cfRule>
    <cfRule type="expression" dxfId="5721" priority="35">
      <formula>AND(IF($Q128=3,1,0),IF($X128&lt;30,1,0))</formula>
    </cfRule>
    <cfRule type="expression" dxfId="5720" priority="36">
      <formula>AND(IF($Q128=3,1,IF($Q128=4,1,0)),IF($F128&lt;=85,1,0))</formula>
    </cfRule>
  </conditionalFormatting>
  <conditionalFormatting sqref="X128">
    <cfRule type="expression" dxfId="5719" priority="29">
      <formula>AND(IF(OR($Q128=1,$Q128=2),1,0),IF($X128&lt;=20,1,0))</formula>
    </cfRule>
    <cfRule type="expression" dxfId="5718" priority="30">
      <formula>AND(IF($Q128=2,1,0),IF($X128&lt;30,1,0))</formula>
    </cfRule>
    <cfRule type="expression" dxfId="5717" priority="31">
      <formula>AND(IF($Q128=3,1,0),IF($X128&lt;30,1,0))</formula>
    </cfRule>
    <cfRule type="expression" dxfId="5716" priority="32">
      <formula>AND(IF($Q128=3,1,IF($Q128=4,1,0)),IF($F128&lt;=85,1,0))</formula>
    </cfRule>
  </conditionalFormatting>
  <conditionalFormatting sqref="AI128">
    <cfRule type="expression" dxfId="5715" priority="25">
      <formula>AND(IF(OR($Q128=1,$Q128=2),1,0),IF($X128&lt;=20,1,0))</formula>
    </cfRule>
    <cfRule type="expression" dxfId="5714" priority="26">
      <formula>AND(IF($Q128=2,1,0),IF($X128&lt;30,1,0))</formula>
    </cfRule>
    <cfRule type="expression" dxfId="5713" priority="27">
      <formula>AND(IF($Q128=3,1,0),IF($X128&lt;30,1,0))</formula>
    </cfRule>
    <cfRule type="expression" dxfId="5712" priority="28">
      <formula>AND(IF($Q128=3,1,IF($Q128=4,1,0)),IF($F128&lt;=85,1,0))</formula>
    </cfRule>
  </conditionalFormatting>
  <conditionalFormatting sqref="AV129">
    <cfRule type="expression" dxfId="5711" priority="23">
      <formula>AV129="X"</formula>
    </cfRule>
    <cfRule type="expression" dxfId="5710" priority="24">
      <formula>AV129="후보"</formula>
    </cfRule>
  </conditionalFormatting>
  <conditionalFormatting sqref="Z129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 N129">
    <cfRule type="cellIs" dxfId="5709" priority="20" operator="greaterThan">
      <formula>0.9</formula>
    </cfRule>
    <cfRule type="cellIs" dxfId="5708" priority="21" operator="greaterThan">
      <formula>0.85</formula>
    </cfRule>
  </conditionalFormatting>
  <conditionalFormatting sqref="AV130">
    <cfRule type="expression" dxfId="5707" priority="18">
      <formula>AV130="X"</formula>
    </cfRule>
    <cfRule type="expression" dxfId="5706" priority="19">
      <formula>AV130="후보"</formula>
    </cfRule>
  </conditionalFormatting>
  <conditionalFormatting sqref="Z13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5705" priority="15" operator="greaterThan">
      <formula>0.9</formula>
    </cfRule>
    <cfRule type="cellIs" dxfId="5704" priority="16" operator="greaterThan">
      <formula>0.85</formula>
    </cfRule>
  </conditionalFormatting>
  <conditionalFormatting sqref="N130">
    <cfRule type="cellIs" dxfId="5703" priority="13" operator="greaterThan">
      <formula>0.9</formula>
    </cfRule>
    <cfRule type="cellIs" dxfId="5702" priority="14" operator="greaterThan">
      <formula>0.85</formula>
    </cfRule>
  </conditionalFormatting>
  <conditionalFormatting sqref="E130">
    <cfRule type="expression" dxfId="5701" priority="9">
      <formula>AND(IF(OR($Q130=1,$Q130=2),1,0),IF($X130&lt;=20,1,0))</formula>
    </cfRule>
    <cfRule type="expression" dxfId="5700" priority="10">
      <formula>AND(IF($Q130=2,1,0),IF($X130&lt;30,1,0))</formula>
    </cfRule>
    <cfRule type="expression" dxfId="5699" priority="11">
      <formula>AND(IF($Q130=3,1,0),IF($X130&lt;30,1,0))</formula>
    </cfRule>
    <cfRule type="expression" dxfId="5698" priority="12">
      <formula>AND(IF($Q130=3,1,IF($Q130=4,1,0)),IF($F130&lt;=85,1,0))</formula>
    </cfRule>
  </conditionalFormatting>
  <conditionalFormatting sqref="X130">
    <cfRule type="expression" dxfId="5697" priority="5">
      <formula>AND(IF(OR($Q130=1,$Q130=2),1,0),IF($X130&lt;=20,1,0))</formula>
    </cfRule>
    <cfRule type="expression" dxfId="5696" priority="6">
      <formula>AND(IF($Q130=2,1,0),IF($X130&lt;30,1,0))</formula>
    </cfRule>
    <cfRule type="expression" dxfId="5695" priority="7">
      <formula>AND(IF($Q130=3,1,0),IF($X130&lt;30,1,0))</formula>
    </cfRule>
    <cfRule type="expression" dxfId="5694" priority="8">
      <formula>AND(IF($Q130=3,1,IF($Q130=4,1,0)),IF($F130&lt;=85,1,0))</formula>
    </cfRule>
  </conditionalFormatting>
  <conditionalFormatting sqref="AI130">
    <cfRule type="expression" dxfId="5693" priority="1">
      <formula>AND(IF(OR($Q130=1,$Q130=2),1,0),IF($X130&lt;=20,1,0))</formula>
    </cfRule>
    <cfRule type="expression" dxfId="5692" priority="2">
      <formula>AND(IF($Q130=2,1,0),IF($X130&lt;30,1,0))</formula>
    </cfRule>
    <cfRule type="expression" dxfId="5691" priority="3">
      <formula>AND(IF($Q130=3,1,0),IF($X130&lt;30,1,0))</formula>
    </cfRule>
    <cfRule type="expression" dxfId="5690" priority="4">
      <formula>AND(IF($Q130=3,1,IF($Q130=4,1,0)),IF($F130&lt;=85,1,0))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귤현동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1386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귤현동 계양센트레빌3단지('13.06.,454^)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1387</v>
      </c>
      <c r="B6" s="16" t="s">
        <v>1388</v>
      </c>
      <c r="C6" s="28">
        <v>454</v>
      </c>
      <c r="D6" s="25">
        <v>112.1</v>
      </c>
      <c r="E6" s="106">
        <v>34</v>
      </c>
      <c r="F6" s="25">
        <v>85</v>
      </c>
      <c r="G6" s="27">
        <v>26</v>
      </c>
      <c r="H6" s="28">
        <v>79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414</v>
      </c>
      <c r="U6" s="13"/>
      <c r="W6" s="25">
        <f>D6</f>
        <v>112.1</v>
      </c>
      <c r="X6" s="106">
        <f>E6</f>
        <v>34</v>
      </c>
      <c r="Y6" s="32">
        <f>H6</f>
        <v>79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계양센트레빌3단지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1387</v>
      </c>
      <c r="B7" s="16" t="s">
        <v>1388</v>
      </c>
      <c r="C7" s="28">
        <v>454</v>
      </c>
      <c r="D7" s="25">
        <v>112.3</v>
      </c>
      <c r="E7" s="106">
        <v>34</v>
      </c>
      <c r="F7" s="25">
        <v>84.9</v>
      </c>
      <c r="G7" s="27">
        <v>26</v>
      </c>
      <c r="H7" s="28">
        <v>66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1389</v>
      </c>
      <c r="U7" s="13"/>
      <c r="W7" s="25">
        <f>D7</f>
        <v>112.3</v>
      </c>
      <c r="X7" s="106">
        <f>E7</f>
        <v>34</v>
      </c>
      <c r="Y7" s="32">
        <f>H7</f>
        <v>66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계양센트레빌3단지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1387</v>
      </c>
      <c r="B8" s="16" t="s">
        <v>1388</v>
      </c>
      <c r="C8" s="28">
        <v>454</v>
      </c>
      <c r="D8" s="25">
        <v>112.5</v>
      </c>
      <c r="E8" s="106">
        <v>34</v>
      </c>
      <c r="F8" s="25">
        <v>85</v>
      </c>
      <c r="G8" s="27">
        <v>26</v>
      </c>
      <c r="H8" s="28">
        <v>50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64</v>
      </c>
      <c r="T8" s="8" t="s">
        <v>1390</v>
      </c>
      <c r="U8" s="13"/>
      <c r="W8" s="25">
        <f>D8</f>
        <v>112.5</v>
      </c>
      <c r="X8" s="106">
        <f>E8</f>
        <v>34</v>
      </c>
      <c r="Y8" s="32">
        <f>H8</f>
        <v>50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계양센트레빌3단지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1387</v>
      </c>
      <c r="B9" s="16" t="s">
        <v>1388</v>
      </c>
      <c r="C9" s="28">
        <v>454</v>
      </c>
      <c r="D9" s="25">
        <v>132.1</v>
      </c>
      <c r="E9" s="106">
        <v>40</v>
      </c>
      <c r="F9" s="25">
        <v>101.9</v>
      </c>
      <c r="G9" s="27">
        <v>31</v>
      </c>
      <c r="H9" s="28">
        <v>109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64</v>
      </c>
      <c r="T9" s="8">
        <v>132</v>
      </c>
      <c r="U9" s="13"/>
      <c r="W9" s="25">
        <f>D9</f>
        <v>132.1</v>
      </c>
      <c r="X9" s="106">
        <f>E9</f>
        <v>40</v>
      </c>
      <c r="Y9" s="32">
        <f>H9</f>
        <v>109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계양센트레빌3단지</v>
      </c>
      <c r="AI9" s="106">
        <f>IF(E9="","",E9)</f>
        <v>40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1387</v>
      </c>
      <c r="B10" s="16" t="s">
        <v>1388</v>
      </c>
      <c r="C10" s="28">
        <v>454</v>
      </c>
      <c r="D10" s="25">
        <v>153.1</v>
      </c>
      <c r="E10" s="106">
        <v>46</v>
      </c>
      <c r="F10" s="25">
        <v>121.7</v>
      </c>
      <c r="G10" s="27">
        <v>37</v>
      </c>
      <c r="H10" s="28">
        <v>62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64</v>
      </c>
      <c r="T10" s="8" t="s">
        <v>1391</v>
      </c>
      <c r="U10" s="13"/>
      <c r="W10" s="25">
        <f>D10</f>
        <v>153.1</v>
      </c>
      <c r="X10" s="106">
        <f>E10</f>
        <v>46</v>
      </c>
      <c r="Y10" s="32">
        <f>H10</f>
        <v>62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계양센트레빌3단지</v>
      </c>
      <c r="AI10" s="106">
        <f>IF(E10="","",E10)</f>
        <v>46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1387</v>
      </c>
      <c r="B11" s="16" t="s">
        <v>1388</v>
      </c>
      <c r="C11" s="28">
        <v>454</v>
      </c>
      <c r="D11" s="25">
        <v>153</v>
      </c>
      <c r="E11" s="106">
        <v>46</v>
      </c>
      <c r="F11" s="25">
        <v>121.2</v>
      </c>
      <c r="G11" s="27">
        <v>37</v>
      </c>
      <c r="H11" s="28">
        <v>12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64</v>
      </c>
      <c r="T11" s="8" t="s">
        <v>1392</v>
      </c>
      <c r="U11" s="13"/>
      <c r="W11" s="25">
        <f>D11</f>
        <v>153</v>
      </c>
      <c r="X11" s="106">
        <f>E11</f>
        <v>46</v>
      </c>
      <c r="Y11" s="32">
        <f>H11</f>
        <v>12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계양센트레빌3단지</v>
      </c>
      <c r="AI11" s="106">
        <f>IF(E11="","",E11)</f>
        <v>46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1387</v>
      </c>
      <c r="B12" s="16" t="s">
        <v>1388</v>
      </c>
      <c r="C12" s="28">
        <v>454</v>
      </c>
      <c r="D12" s="25">
        <v>177.3</v>
      </c>
      <c r="E12" s="106">
        <v>54</v>
      </c>
      <c r="F12" s="25">
        <v>145.9</v>
      </c>
      <c r="G12" s="27">
        <v>44</v>
      </c>
      <c r="H12" s="28">
        <v>50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64</v>
      </c>
      <c r="T12" s="8" t="s">
        <v>1393</v>
      </c>
      <c r="U12" s="13"/>
      <c r="W12" s="25">
        <f>D12</f>
        <v>177.3</v>
      </c>
      <c r="X12" s="106">
        <f>E12</f>
        <v>54</v>
      </c>
      <c r="Y12" s="32">
        <f>H12</f>
        <v>50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계양센트레빌3단지</v>
      </c>
      <c r="AI12" s="106">
        <f>IF(E12="","",E12)</f>
        <v>54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1387</v>
      </c>
      <c r="B13" s="16" t="s">
        <v>1388</v>
      </c>
      <c r="C13" s="28">
        <v>454</v>
      </c>
      <c r="D13" s="25">
        <v>177.3</v>
      </c>
      <c r="E13" s="106">
        <v>54</v>
      </c>
      <c r="F13" s="25">
        <v>145.80000000000001</v>
      </c>
      <c r="G13" s="27">
        <v>44</v>
      </c>
      <c r="H13" s="28">
        <v>26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64</v>
      </c>
      <c r="T13" s="8" t="s">
        <v>1394</v>
      </c>
      <c r="U13" s="13"/>
      <c r="W13" s="25">
        <f>D13</f>
        <v>177.3</v>
      </c>
      <c r="X13" s="106">
        <f>E13</f>
        <v>54</v>
      </c>
      <c r="Y13" s="32">
        <f>H13</f>
        <v>26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계양센트레빌3단지</v>
      </c>
      <c r="AI13" s="106">
        <f>IF(E13="","",E13)</f>
        <v>54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귤현동 귤현IPARK('04.10.,394^)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1395</v>
      </c>
      <c r="B15" s="16" t="s">
        <v>1396</v>
      </c>
      <c r="C15" s="28">
        <v>394</v>
      </c>
      <c r="D15" s="25">
        <v>105.8</v>
      </c>
      <c r="E15" s="106">
        <v>32</v>
      </c>
      <c r="F15" s="25">
        <v>85</v>
      </c>
      <c r="G15" s="27">
        <v>26</v>
      </c>
      <c r="H15" s="28">
        <v>394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>
        <v>105</v>
      </c>
      <c r="U15" s="13"/>
      <c r="W15" s="25">
        <f>D15</f>
        <v>105.8</v>
      </c>
      <c r="X15" s="106">
        <f>E15</f>
        <v>32</v>
      </c>
      <c r="Y15" s="32">
        <f>H15</f>
        <v>394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귤현IPARK</v>
      </c>
      <c r="AI15" s="106">
        <f>IF(E15="","",E15)</f>
        <v>32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귤현동 계양센트레빌2단지('13.06.,256^)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1397</v>
      </c>
      <c r="B17" s="16" t="s">
        <v>1388</v>
      </c>
      <c r="C17" s="28">
        <v>256</v>
      </c>
      <c r="D17" s="25">
        <v>110.8</v>
      </c>
      <c r="E17" s="106">
        <v>34</v>
      </c>
      <c r="F17" s="25">
        <v>85</v>
      </c>
      <c r="G17" s="27">
        <v>26</v>
      </c>
      <c r="H17" s="28">
        <v>79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64</v>
      </c>
      <c r="T17" s="8" t="s">
        <v>1398</v>
      </c>
      <c r="U17" s="13"/>
      <c r="W17" s="25">
        <f>D17</f>
        <v>110.8</v>
      </c>
      <c r="X17" s="106">
        <f>E17</f>
        <v>34</v>
      </c>
      <c r="Y17" s="32">
        <f>H17</f>
        <v>79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계양센트레빌2단지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1397</v>
      </c>
      <c r="B18" s="16" t="s">
        <v>1388</v>
      </c>
      <c r="C18" s="28">
        <v>256</v>
      </c>
      <c r="D18" s="25">
        <v>111</v>
      </c>
      <c r="E18" s="106">
        <v>34</v>
      </c>
      <c r="F18" s="25">
        <v>84.9</v>
      </c>
      <c r="G18" s="27">
        <v>26</v>
      </c>
      <c r="H18" s="28">
        <v>53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64</v>
      </c>
      <c r="T18" s="8" t="s">
        <v>1399</v>
      </c>
      <c r="U18" s="13"/>
      <c r="W18" s="25">
        <f>D18</f>
        <v>111</v>
      </c>
      <c r="X18" s="106">
        <f>E18</f>
        <v>34</v>
      </c>
      <c r="Y18" s="32">
        <f>H18</f>
        <v>53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계양센트레빌2단지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1397</v>
      </c>
      <c r="B19" s="16" t="s">
        <v>1388</v>
      </c>
      <c r="C19" s="28">
        <v>256</v>
      </c>
      <c r="D19" s="25">
        <v>111.2</v>
      </c>
      <c r="E19" s="106">
        <v>34</v>
      </c>
      <c r="F19" s="25">
        <v>85</v>
      </c>
      <c r="G19" s="27">
        <v>26</v>
      </c>
      <c r="H19" s="28">
        <v>26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64</v>
      </c>
      <c r="T19" s="8" t="s">
        <v>1400</v>
      </c>
      <c r="U19" s="13"/>
      <c r="W19" s="25">
        <f>D19</f>
        <v>111.2</v>
      </c>
      <c r="X19" s="106">
        <f>E19</f>
        <v>34</v>
      </c>
      <c r="Y19" s="32">
        <f>H19</f>
        <v>26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계양센트레빌2단지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5" t="s">
        <v>1397</v>
      </c>
      <c r="B20" s="16" t="s">
        <v>1388</v>
      </c>
      <c r="C20" s="28">
        <v>256</v>
      </c>
      <c r="D20" s="25">
        <v>132.30000000000001</v>
      </c>
      <c r="E20" s="106">
        <v>40</v>
      </c>
      <c r="F20" s="25">
        <v>101.9</v>
      </c>
      <c r="G20" s="27">
        <v>31</v>
      </c>
      <c r="H20" s="28">
        <v>54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64</v>
      </c>
      <c r="T20" s="8">
        <v>132</v>
      </c>
      <c r="U20" s="13"/>
      <c r="W20" s="25">
        <f>D20</f>
        <v>132.30000000000001</v>
      </c>
      <c r="X20" s="106">
        <f>E20</f>
        <v>40</v>
      </c>
      <c r="Y20" s="32">
        <f>H20</f>
        <v>54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계양센트레빌2단지</v>
      </c>
      <c r="AI20" s="106">
        <f>IF(E20="","",E20)</f>
        <v>40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X</v>
      </c>
      <c r="AV20" s="113" t="str">
        <f>IF(AO20="","",IF(AND(AO20="O",AP20="O",AR20="O",AT20="O",AU20="O"),"후보","X"))</f>
        <v/>
      </c>
    </row>
    <row r="21" spans="1:48" x14ac:dyDescent="0.3">
      <c r="A21" s="5" t="s">
        <v>1397</v>
      </c>
      <c r="B21" s="16" t="s">
        <v>1388</v>
      </c>
      <c r="C21" s="28">
        <v>256</v>
      </c>
      <c r="D21" s="25">
        <v>150.4</v>
      </c>
      <c r="E21" s="106">
        <v>45</v>
      </c>
      <c r="F21" s="25">
        <v>121.7</v>
      </c>
      <c r="G21" s="27">
        <v>37</v>
      </c>
      <c r="H21" s="28">
        <v>30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2</v>
      </c>
      <c r="S21" s="113" t="s">
        <v>64</v>
      </c>
      <c r="T21" s="8" t="s">
        <v>1401</v>
      </c>
      <c r="U21" s="13"/>
      <c r="W21" s="25">
        <f>D21</f>
        <v>150.4</v>
      </c>
      <c r="X21" s="106">
        <f>E21</f>
        <v>45</v>
      </c>
      <c r="Y21" s="32">
        <f>H21</f>
        <v>30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4/2</v>
      </c>
      <c r="AH21" s="36" t="str">
        <f>IF(A21="","",A21)</f>
        <v>계양센트레빌2단지</v>
      </c>
      <c r="AI21" s="106">
        <f>IF(E21="","",E21)</f>
        <v>45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1397</v>
      </c>
      <c r="B22" s="16" t="s">
        <v>1388</v>
      </c>
      <c r="C22" s="28">
        <v>256</v>
      </c>
      <c r="D22" s="25">
        <v>150.4</v>
      </c>
      <c r="E22" s="106">
        <v>45</v>
      </c>
      <c r="F22" s="25">
        <v>121.2</v>
      </c>
      <c r="G22" s="27">
        <v>37</v>
      </c>
      <c r="H22" s="28">
        <v>14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64</v>
      </c>
      <c r="T22" s="8" t="s">
        <v>1402</v>
      </c>
      <c r="U22" s="13"/>
      <c r="W22" s="25">
        <f>D22</f>
        <v>150.4</v>
      </c>
      <c r="X22" s="106">
        <f>E22</f>
        <v>45</v>
      </c>
      <c r="Y22" s="32">
        <f>H22</f>
        <v>14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계양센트레빌2단지</v>
      </c>
      <c r="AI22" s="106">
        <f>IF(E22="","",E22)</f>
        <v>45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귤현동 계양센트레빌1단지('13.02.,715^)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1403</v>
      </c>
      <c r="B24" s="16" t="s">
        <v>1404</v>
      </c>
      <c r="C24" s="28">
        <v>715</v>
      </c>
      <c r="D24" s="25">
        <v>111.4</v>
      </c>
      <c r="E24" s="106">
        <v>34</v>
      </c>
      <c r="F24" s="25">
        <v>84.9</v>
      </c>
      <c r="G24" s="27">
        <v>26</v>
      </c>
      <c r="H24" s="28">
        <v>221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64</v>
      </c>
      <c r="T24" s="8" t="s">
        <v>1405</v>
      </c>
      <c r="U24" s="13"/>
      <c r="W24" s="25">
        <f>D24</f>
        <v>111.4</v>
      </c>
      <c r="X24" s="106">
        <f>E24</f>
        <v>34</v>
      </c>
      <c r="Y24" s="32">
        <f>H24</f>
        <v>221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계양센트레빌1단지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1403</v>
      </c>
      <c r="B25" s="16" t="s">
        <v>1404</v>
      </c>
      <c r="C25" s="28">
        <v>715</v>
      </c>
      <c r="D25" s="25">
        <v>111.7</v>
      </c>
      <c r="E25" s="106">
        <v>34</v>
      </c>
      <c r="F25" s="25">
        <v>85</v>
      </c>
      <c r="G25" s="27">
        <v>26</v>
      </c>
      <c r="H25" s="28">
        <v>174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64</v>
      </c>
      <c r="T25" s="8" t="s">
        <v>1400</v>
      </c>
      <c r="U25" s="13"/>
      <c r="W25" s="25">
        <f>D25</f>
        <v>111.7</v>
      </c>
      <c r="X25" s="106">
        <f>E25</f>
        <v>34</v>
      </c>
      <c r="Y25" s="32">
        <f>H25</f>
        <v>174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계양센트레빌1단지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1403</v>
      </c>
      <c r="B26" s="16" t="s">
        <v>1404</v>
      </c>
      <c r="C26" s="28">
        <v>715</v>
      </c>
      <c r="D26" s="25">
        <v>111.3</v>
      </c>
      <c r="E26" s="106">
        <v>34</v>
      </c>
      <c r="F26" s="25">
        <v>85</v>
      </c>
      <c r="G26" s="27">
        <v>26</v>
      </c>
      <c r="H26" s="28">
        <v>145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64</v>
      </c>
      <c r="T26" s="8" t="s">
        <v>1406</v>
      </c>
      <c r="U26" s="13"/>
      <c r="W26" s="25">
        <f>D26</f>
        <v>111.3</v>
      </c>
      <c r="X26" s="106">
        <f>E26</f>
        <v>34</v>
      </c>
      <c r="Y26" s="32">
        <f>H26</f>
        <v>145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계양센트레빌1단지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1403</v>
      </c>
      <c r="B27" s="16" t="s">
        <v>1404</v>
      </c>
      <c r="C27" s="28">
        <v>715</v>
      </c>
      <c r="D27" s="25">
        <v>131.6</v>
      </c>
      <c r="E27" s="106">
        <v>40</v>
      </c>
      <c r="F27" s="25">
        <v>101.9</v>
      </c>
      <c r="G27" s="27">
        <v>31</v>
      </c>
      <c r="H27" s="28">
        <v>87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64</v>
      </c>
      <c r="T27" s="8">
        <v>131</v>
      </c>
      <c r="U27" s="13"/>
      <c r="W27" s="25">
        <f>D27</f>
        <v>131.6</v>
      </c>
      <c r="X27" s="106">
        <f>E27</f>
        <v>40</v>
      </c>
      <c r="Y27" s="32">
        <f>H27</f>
        <v>87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계양센트레빌1단지</v>
      </c>
      <c r="AI27" s="106">
        <f>IF(E27="","",E27)</f>
        <v>40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1403</v>
      </c>
      <c r="B28" s="16" t="s">
        <v>1404</v>
      </c>
      <c r="C28" s="28">
        <v>715</v>
      </c>
      <c r="D28" s="25">
        <v>150.4</v>
      </c>
      <c r="E28" s="106">
        <v>45</v>
      </c>
      <c r="F28" s="25">
        <v>121.7</v>
      </c>
      <c r="G28" s="27">
        <v>37</v>
      </c>
      <c r="H28" s="28">
        <v>58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64</v>
      </c>
      <c r="T28" s="8" t="s">
        <v>1401</v>
      </c>
      <c r="U28" s="13"/>
      <c r="W28" s="25">
        <f>D28</f>
        <v>150.4</v>
      </c>
      <c r="X28" s="106">
        <f>E28</f>
        <v>45</v>
      </c>
      <c r="Y28" s="32">
        <f>H28</f>
        <v>58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계양센트레빌1단지</v>
      </c>
      <c r="AI28" s="106">
        <f>IF(E28="","",E28)</f>
        <v>45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1403</v>
      </c>
      <c r="B29" s="16" t="s">
        <v>1404</v>
      </c>
      <c r="C29" s="28">
        <v>715</v>
      </c>
      <c r="D29" s="25">
        <v>150.4</v>
      </c>
      <c r="E29" s="106">
        <v>45</v>
      </c>
      <c r="F29" s="25">
        <v>121.2</v>
      </c>
      <c r="G29" s="27">
        <v>37</v>
      </c>
      <c r="H29" s="28">
        <v>30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64</v>
      </c>
      <c r="T29" s="8" t="s">
        <v>1402</v>
      </c>
      <c r="U29" s="13"/>
      <c r="W29" s="25">
        <f>D29</f>
        <v>150.4</v>
      </c>
      <c r="X29" s="106">
        <f>E29</f>
        <v>45</v>
      </c>
      <c r="Y29" s="32">
        <f>H29</f>
        <v>30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계양센트레빌1단지</v>
      </c>
      <c r="AI29" s="106">
        <f>IF(E29="","",E29)</f>
        <v>45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</sheetData>
  <mergeCells count="1">
    <mergeCell ref="AJ1:AN1"/>
  </mergeCells>
  <phoneticPr fontId="2" type="noConversion"/>
  <conditionalFormatting sqref="AV4:AV6">
    <cfRule type="expression" dxfId="5689" priority="415">
      <formula>AV4="X"</formula>
    </cfRule>
    <cfRule type="expression" dxfId="5688" priority="416">
      <formula>AV4="후보"</formula>
    </cfRule>
  </conditionalFormatting>
  <conditionalFormatting sqref="Z2:Z6">
    <cfRule type="colorScale" priority="4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687" priority="412" operator="greaterThan">
      <formula>0.9</formula>
    </cfRule>
    <cfRule type="cellIs" dxfId="5686" priority="413" operator="greaterThan">
      <formula>0.85</formula>
    </cfRule>
  </conditionalFormatting>
  <conditionalFormatting sqref="N1:N2">
    <cfRule type="cellIs" dxfId="5685" priority="410" operator="greaterThan">
      <formula>0.9</formula>
    </cfRule>
    <cfRule type="cellIs" dxfId="5684" priority="411" operator="greaterThan">
      <formula>0.85</formula>
    </cfRule>
  </conditionalFormatting>
  <conditionalFormatting sqref="N6">
    <cfRule type="cellIs" dxfId="5683" priority="408" operator="greaterThan">
      <formula>0.9</formula>
    </cfRule>
    <cfRule type="cellIs" dxfId="5682" priority="409" operator="greaterThan">
      <formula>0.85</formula>
    </cfRule>
  </conditionalFormatting>
  <conditionalFormatting sqref="E6">
    <cfRule type="expression" dxfId="5681" priority="404">
      <formula>AND(IF(OR($Q6=1,$Q6=2),1,0),IF($X6&lt;=20,1,0))</formula>
    </cfRule>
    <cfRule type="expression" dxfId="5680" priority="405">
      <formula>AND(IF($Q6=2,1,0),IF($X6&lt;30,1,0))</formula>
    </cfRule>
    <cfRule type="expression" dxfId="5679" priority="406">
      <formula>AND(IF($Q6=3,1,0),IF($X6&lt;30,1,0))</formula>
    </cfRule>
    <cfRule type="expression" dxfId="5678" priority="407">
      <formula>AND(IF($Q6=3,1,IF($Q6=4,1,0)),IF($F6&lt;=85,1,0))</formula>
    </cfRule>
  </conditionalFormatting>
  <conditionalFormatting sqref="X6">
    <cfRule type="expression" dxfId="5677" priority="400">
      <formula>AND(IF(OR($Q6=1,$Q6=2),1,0),IF($X6&lt;=20,1,0))</formula>
    </cfRule>
    <cfRule type="expression" dxfId="5676" priority="401">
      <formula>AND(IF($Q6=2,1,0),IF($X6&lt;30,1,0))</formula>
    </cfRule>
    <cfRule type="expression" dxfId="5675" priority="402">
      <formula>AND(IF($Q6=3,1,0),IF($X6&lt;30,1,0))</formula>
    </cfRule>
    <cfRule type="expression" dxfId="5674" priority="403">
      <formula>AND(IF($Q6=3,1,IF($Q6=4,1,0)),IF($F6&lt;=85,1,0))</formula>
    </cfRule>
  </conditionalFormatting>
  <conditionalFormatting sqref="AI6">
    <cfRule type="expression" dxfId="5673" priority="396">
      <formula>AND(IF(OR($Q6=1,$Q6=2),1,0),IF($X6&lt;=20,1,0))</formula>
    </cfRule>
    <cfRule type="expression" dxfId="5672" priority="397">
      <formula>AND(IF($Q6=2,1,0),IF($X6&lt;30,1,0))</formula>
    </cfRule>
    <cfRule type="expression" dxfId="5671" priority="398">
      <formula>AND(IF($Q6=3,1,0),IF($X6&lt;30,1,0))</formula>
    </cfRule>
    <cfRule type="expression" dxfId="5670" priority="399">
      <formula>AND(IF($Q6=3,1,IF($Q6=4,1,0)),IF($F6&lt;=85,1,0))</formula>
    </cfRule>
  </conditionalFormatting>
  <conditionalFormatting sqref="AV7">
    <cfRule type="expression" dxfId="5669" priority="394">
      <formula>AV7="X"</formula>
    </cfRule>
    <cfRule type="expression" dxfId="5668" priority="395">
      <formula>AV7="후보"</formula>
    </cfRule>
  </conditionalFormatting>
  <conditionalFormatting sqref="Z7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667" priority="391" operator="greaterThan">
      <formula>0.9</formula>
    </cfRule>
    <cfRule type="cellIs" dxfId="5666" priority="392" operator="greaterThan">
      <formula>0.85</formula>
    </cfRule>
  </conditionalFormatting>
  <conditionalFormatting sqref="N7">
    <cfRule type="cellIs" dxfId="5665" priority="389" operator="greaterThan">
      <formula>0.9</formula>
    </cfRule>
    <cfRule type="cellIs" dxfId="5664" priority="390" operator="greaterThan">
      <formula>0.85</formula>
    </cfRule>
  </conditionalFormatting>
  <conditionalFormatting sqref="E7">
    <cfRule type="expression" dxfId="5663" priority="385">
      <formula>AND(IF(OR($Q7=1,$Q7=2),1,0),IF($X7&lt;=20,1,0))</formula>
    </cfRule>
    <cfRule type="expression" dxfId="5662" priority="386">
      <formula>AND(IF($Q7=2,1,0),IF($X7&lt;30,1,0))</formula>
    </cfRule>
    <cfRule type="expression" dxfId="5661" priority="387">
      <formula>AND(IF($Q7=3,1,0),IF($X7&lt;30,1,0))</formula>
    </cfRule>
    <cfRule type="expression" dxfId="5660" priority="388">
      <formula>AND(IF($Q7=3,1,IF($Q7=4,1,0)),IF($F7&lt;=85,1,0))</formula>
    </cfRule>
  </conditionalFormatting>
  <conditionalFormatting sqref="X7">
    <cfRule type="expression" dxfId="5659" priority="381">
      <formula>AND(IF(OR($Q7=1,$Q7=2),1,0),IF($X7&lt;=20,1,0))</formula>
    </cfRule>
    <cfRule type="expression" dxfId="5658" priority="382">
      <formula>AND(IF($Q7=2,1,0),IF($X7&lt;30,1,0))</formula>
    </cfRule>
    <cfRule type="expression" dxfId="5657" priority="383">
      <formula>AND(IF($Q7=3,1,0),IF($X7&lt;30,1,0))</formula>
    </cfRule>
    <cfRule type="expression" dxfId="5656" priority="384">
      <formula>AND(IF($Q7=3,1,IF($Q7=4,1,0)),IF($F7&lt;=85,1,0))</formula>
    </cfRule>
  </conditionalFormatting>
  <conditionalFormatting sqref="AI7">
    <cfRule type="expression" dxfId="5655" priority="377">
      <formula>AND(IF(OR($Q7=1,$Q7=2),1,0),IF($X7&lt;=20,1,0))</formula>
    </cfRule>
    <cfRule type="expression" dxfId="5654" priority="378">
      <formula>AND(IF($Q7=2,1,0),IF($X7&lt;30,1,0))</formula>
    </cfRule>
    <cfRule type="expression" dxfId="5653" priority="379">
      <formula>AND(IF($Q7=3,1,0),IF($X7&lt;30,1,0))</formula>
    </cfRule>
    <cfRule type="expression" dxfId="5652" priority="380">
      <formula>AND(IF($Q7=3,1,IF($Q7=4,1,0)),IF($F7&lt;=85,1,0))</formula>
    </cfRule>
  </conditionalFormatting>
  <conditionalFormatting sqref="AV8">
    <cfRule type="expression" dxfId="5651" priority="375">
      <formula>AV8="X"</formula>
    </cfRule>
    <cfRule type="expression" dxfId="5650" priority="376">
      <formula>AV8="후보"</formula>
    </cfRule>
  </conditionalFormatting>
  <conditionalFormatting sqref="Z8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5649" priority="372" operator="greaterThan">
      <formula>0.9</formula>
    </cfRule>
    <cfRule type="cellIs" dxfId="5648" priority="373" operator="greaterThan">
      <formula>0.85</formula>
    </cfRule>
  </conditionalFormatting>
  <conditionalFormatting sqref="N8">
    <cfRule type="cellIs" dxfId="5647" priority="370" operator="greaterThan">
      <formula>0.9</formula>
    </cfRule>
    <cfRule type="cellIs" dxfId="5646" priority="371" operator="greaterThan">
      <formula>0.85</formula>
    </cfRule>
  </conditionalFormatting>
  <conditionalFormatting sqref="E8">
    <cfRule type="expression" dxfId="5645" priority="366">
      <formula>AND(IF(OR($Q8=1,$Q8=2),1,0),IF($X8&lt;=20,1,0))</formula>
    </cfRule>
    <cfRule type="expression" dxfId="5644" priority="367">
      <formula>AND(IF($Q8=2,1,0),IF($X8&lt;30,1,0))</formula>
    </cfRule>
    <cfRule type="expression" dxfId="5643" priority="368">
      <formula>AND(IF($Q8=3,1,0),IF($X8&lt;30,1,0))</formula>
    </cfRule>
    <cfRule type="expression" dxfId="5642" priority="369">
      <formula>AND(IF($Q8=3,1,IF($Q8=4,1,0)),IF($F8&lt;=85,1,0))</formula>
    </cfRule>
  </conditionalFormatting>
  <conditionalFormatting sqref="X8">
    <cfRule type="expression" dxfId="5641" priority="362">
      <formula>AND(IF(OR($Q8=1,$Q8=2),1,0),IF($X8&lt;=20,1,0))</formula>
    </cfRule>
    <cfRule type="expression" dxfId="5640" priority="363">
      <formula>AND(IF($Q8=2,1,0),IF($X8&lt;30,1,0))</formula>
    </cfRule>
    <cfRule type="expression" dxfId="5639" priority="364">
      <formula>AND(IF($Q8=3,1,0),IF($X8&lt;30,1,0))</formula>
    </cfRule>
    <cfRule type="expression" dxfId="5638" priority="365">
      <formula>AND(IF($Q8=3,1,IF($Q8=4,1,0)),IF($F8&lt;=85,1,0))</formula>
    </cfRule>
  </conditionalFormatting>
  <conditionalFormatting sqref="AI8">
    <cfRule type="expression" dxfId="5637" priority="358">
      <formula>AND(IF(OR($Q8=1,$Q8=2),1,0),IF($X8&lt;=20,1,0))</formula>
    </cfRule>
    <cfRule type="expression" dxfId="5636" priority="359">
      <formula>AND(IF($Q8=2,1,0),IF($X8&lt;30,1,0))</formula>
    </cfRule>
    <cfRule type="expression" dxfId="5635" priority="360">
      <formula>AND(IF($Q8=3,1,0),IF($X8&lt;30,1,0))</formula>
    </cfRule>
    <cfRule type="expression" dxfId="5634" priority="361">
      <formula>AND(IF($Q8=3,1,IF($Q8=4,1,0)),IF($F8&lt;=85,1,0))</formula>
    </cfRule>
  </conditionalFormatting>
  <conditionalFormatting sqref="AV9">
    <cfRule type="expression" dxfId="5633" priority="356">
      <formula>AV9="X"</formula>
    </cfRule>
    <cfRule type="expression" dxfId="5632" priority="357">
      <formula>AV9="후보"</formula>
    </cfRule>
  </conditionalFormatting>
  <conditionalFormatting sqref="Z9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631" priority="353" operator="greaterThan">
      <formula>0.9</formula>
    </cfRule>
    <cfRule type="cellIs" dxfId="5630" priority="354" operator="greaterThan">
      <formula>0.85</formula>
    </cfRule>
  </conditionalFormatting>
  <conditionalFormatting sqref="N9">
    <cfRule type="cellIs" dxfId="5629" priority="351" operator="greaterThan">
      <formula>0.9</formula>
    </cfRule>
    <cfRule type="cellIs" dxfId="5628" priority="352" operator="greaterThan">
      <formula>0.85</formula>
    </cfRule>
  </conditionalFormatting>
  <conditionalFormatting sqref="E9">
    <cfRule type="expression" dxfId="5627" priority="347">
      <formula>AND(IF(OR($Q9=1,$Q9=2),1,0),IF($X9&lt;=20,1,0))</formula>
    </cfRule>
    <cfRule type="expression" dxfId="5626" priority="348">
      <formula>AND(IF($Q9=2,1,0),IF($X9&lt;30,1,0))</formula>
    </cfRule>
    <cfRule type="expression" dxfId="5625" priority="349">
      <formula>AND(IF($Q9=3,1,0),IF($X9&lt;30,1,0))</formula>
    </cfRule>
    <cfRule type="expression" dxfId="5624" priority="350">
      <formula>AND(IF($Q9=3,1,IF($Q9=4,1,0)),IF($F9&lt;=85,1,0))</formula>
    </cfRule>
  </conditionalFormatting>
  <conditionalFormatting sqref="X9">
    <cfRule type="expression" dxfId="5623" priority="343">
      <formula>AND(IF(OR($Q9=1,$Q9=2),1,0),IF($X9&lt;=20,1,0))</formula>
    </cfRule>
    <cfRule type="expression" dxfId="5622" priority="344">
      <formula>AND(IF($Q9=2,1,0),IF($X9&lt;30,1,0))</formula>
    </cfRule>
    <cfRule type="expression" dxfId="5621" priority="345">
      <formula>AND(IF($Q9=3,1,0),IF($X9&lt;30,1,0))</formula>
    </cfRule>
    <cfRule type="expression" dxfId="5620" priority="346">
      <formula>AND(IF($Q9=3,1,IF($Q9=4,1,0)),IF($F9&lt;=85,1,0))</formula>
    </cfRule>
  </conditionalFormatting>
  <conditionalFormatting sqref="AI9">
    <cfRule type="expression" dxfId="5619" priority="339">
      <formula>AND(IF(OR($Q9=1,$Q9=2),1,0),IF($X9&lt;=20,1,0))</formula>
    </cfRule>
    <cfRule type="expression" dxfId="5618" priority="340">
      <formula>AND(IF($Q9=2,1,0),IF($X9&lt;30,1,0))</formula>
    </cfRule>
    <cfRule type="expression" dxfId="5617" priority="341">
      <formula>AND(IF($Q9=3,1,0),IF($X9&lt;30,1,0))</formula>
    </cfRule>
    <cfRule type="expression" dxfId="5616" priority="342">
      <formula>AND(IF($Q9=3,1,IF($Q9=4,1,0)),IF($F9&lt;=85,1,0))</formula>
    </cfRule>
  </conditionalFormatting>
  <conditionalFormatting sqref="AV10">
    <cfRule type="expression" dxfId="5615" priority="337">
      <formula>AV10="X"</formula>
    </cfRule>
    <cfRule type="expression" dxfId="5614" priority="338">
      <formula>AV10="후보"</formula>
    </cfRule>
  </conditionalFormatting>
  <conditionalFormatting sqref="Z10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613" priority="334" operator="greaterThan">
      <formula>0.9</formula>
    </cfRule>
    <cfRule type="cellIs" dxfId="5612" priority="335" operator="greaterThan">
      <formula>0.85</formula>
    </cfRule>
  </conditionalFormatting>
  <conditionalFormatting sqref="N10">
    <cfRule type="cellIs" dxfId="5611" priority="332" operator="greaterThan">
      <formula>0.9</formula>
    </cfRule>
    <cfRule type="cellIs" dxfId="5610" priority="333" operator="greaterThan">
      <formula>0.85</formula>
    </cfRule>
  </conditionalFormatting>
  <conditionalFormatting sqref="E10">
    <cfRule type="expression" dxfId="5609" priority="328">
      <formula>AND(IF(OR($Q10=1,$Q10=2),1,0),IF($X10&lt;=20,1,0))</formula>
    </cfRule>
    <cfRule type="expression" dxfId="5608" priority="329">
      <formula>AND(IF($Q10=2,1,0),IF($X10&lt;30,1,0))</formula>
    </cfRule>
    <cfRule type="expression" dxfId="5607" priority="330">
      <formula>AND(IF($Q10=3,1,0),IF($X10&lt;30,1,0))</formula>
    </cfRule>
    <cfRule type="expression" dxfId="5606" priority="331">
      <formula>AND(IF($Q10=3,1,IF($Q10=4,1,0)),IF($F10&lt;=85,1,0))</formula>
    </cfRule>
  </conditionalFormatting>
  <conditionalFormatting sqref="X10">
    <cfRule type="expression" dxfId="5605" priority="324">
      <formula>AND(IF(OR($Q10=1,$Q10=2),1,0),IF($X10&lt;=20,1,0))</formula>
    </cfRule>
    <cfRule type="expression" dxfId="5604" priority="325">
      <formula>AND(IF($Q10=2,1,0),IF($X10&lt;30,1,0))</formula>
    </cfRule>
    <cfRule type="expression" dxfId="5603" priority="326">
      <formula>AND(IF($Q10=3,1,0),IF($X10&lt;30,1,0))</formula>
    </cfRule>
    <cfRule type="expression" dxfId="5602" priority="327">
      <formula>AND(IF($Q10=3,1,IF($Q10=4,1,0)),IF($F10&lt;=85,1,0))</formula>
    </cfRule>
  </conditionalFormatting>
  <conditionalFormatting sqref="AI10">
    <cfRule type="expression" dxfId="5601" priority="320">
      <formula>AND(IF(OR($Q10=1,$Q10=2),1,0),IF($X10&lt;=20,1,0))</formula>
    </cfRule>
    <cfRule type="expression" dxfId="5600" priority="321">
      <formula>AND(IF($Q10=2,1,0),IF($X10&lt;30,1,0))</formula>
    </cfRule>
    <cfRule type="expression" dxfId="5599" priority="322">
      <formula>AND(IF($Q10=3,1,0),IF($X10&lt;30,1,0))</formula>
    </cfRule>
    <cfRule type="expression" dxfId="5598" priority="323">
      <formula>AND(IF($Q10=3,1,IF($Q10=4,1,0)),IF($F10&lt;=85,1,0))</formula>
    </cfRule>
  </conditionalFormatting>
  <conditionalFormatting sqref="AV11">
    <cfRule type="expression" dxfId="5597" priority="318">
      <formula>AV11="X"</formula>
    </cfRule>
    <cfRule type="expression" dxfId="5596" priority="319">
      <formula>AV11="후보"</formula>
    </cfRule>
  </conditionalFormatting>
  <conditionalFormatting sqref="Z11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595" priority="315" operator="greaterThan">
      <formula>0.9</formula>
    </cfRule>
    <cfRule type="cellIs" dxfId="5594" priority="316" operator="greaterThan">
      <formula>0.85</formula>
    </cfRule>
  </conditionalFormatting>
  <conditionalFormatting sqref="N11">
    <cfRule type="cellIs" dxfId="5593" priority="313" operator="greaterThan">
      <formula>0.9</formula>
    </cfRule>
    <cfRule type="cellIs" dxfId="5592" priority="314" operator="greaterThan">
      <formula>0.85</formula>
    </cfRule>
  </conditionalFormatting>
  <conditionalFormatting sqref="E11">
    <cfRule type="expression" dxfId="5591" priority="309">
      <formula>AND(IF(OR($Q11=1,$Q11=2),1,0),IF($X11&lt;=20,1,0))</formula>
    </cfRule>
    <cfRule type="expression" dxfId="5590" priority="310">
      <formula>AND(IF($Q11=2,1,0),IF($X11&lt;30,1,0))</formula>
    </cfRule>
    <cfRule type="expression" dxfId="5589" priority="311">
      <formula>AND(IF($Q11=3,1,0),IF($X11&lt;30,1,0))</formula>
    </cfRule>
    <cfRule type="expression" dxfId="5588" priority="312">
      <formula>AND(IF($Q11=3,1,IF($Q11=4,1,0)),IF($F11&lt;=85,1,0))</formula>
    </cfRule>
  </conditionalFormatting>
  <conditionalFormatting sqref="X11">
    <cfRule type="expression" dxfId="5587" priority="305">
      <formula>AND(IF(OR($Q11=1,$Q11=2),1,0),IF($X11&lt;=20,1,0))</formula>
    </cfRule>
    <cfRule type="expression" dxfId="5586" priority="306">
      <formula>AND(IF($Q11=2,1,0),IF($X11&lt;30,1,0))</formula>
    </cfRule>
    <cfRule type="expression" dxfId="5585" priority="307">
      <formula>AND(IF($Q11=3,1,0),IF($X11&lt;30,1,0))</formula>
    </cfRule>
    <cfRule type="expression" dxfId="5584" priority="308">
      <formula>AND(IF($Q11=3,1,IF($Q11=4,1,0)),IF($F11&lt;=85,1,0))</formula>
    </cfRule>
  </conditionalFormatting>
  <conditionalFormatting sqref="AI11">
    <cfRule type="expression" dxfId="5583" priority="301">
      <formula>AND(IF(OR($Q11=1,$Q11=2),1,0),IF($X11&lt;=20,1,0))</formula>
    </cfRule>
    <cfRule type="expression" dxfId="5582" priority="302">
      <formula>AND(IF($Q11=2,1,0),IF($X11&lt;30,1,0))</formula>
    </cfRule>
    <cfRule type="expression" dxfId="5581" priority="303">
      <formula>AND(IF($Q11=3,1,0),IF($X11&lt;30,1,0))</formula>
    </cfRule>
    <cfRule type="expression" dxfId="5580" priority="304">
      <formula>AND(IF($Q11=3,1,IF($Q11=4,1,0)),IF($F11&lt;=85,1,0))</formula>
    </cfRule>
  </conditionalFormatting>
  <conditionalFormatting sqref="AV12">
    <cfRule type="expression" dxfId="5579" priority="299">
      <formula>AV12="X"</formula>
    </cfRule>
    <cfRule type="expression" dxfId="5578" priority="300">
      <formula>AV12="후보"</formula>
    </cfRule>
  </conditionalFormatting>
  <conditionalFormatting sqref="Z12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5577" priority="296" operator="greaterThan">
      <formula>0.9</formula>
    </cfRule>
    <cfRule type="cellIs" dxfId="5576" priority="297" operator="greaterThan">
      <formula>0.85</formula>
    </cfRule>
  </conditionalFormatting>
  <conditionalFormatting sqref="N12">
    <cfRule type="cellIs" dxfId="5575" priority="294" operator="greaterThan">
      <formula>0.9</formula>
    </cfRule>
    <cfRule type="cellIs" dxfId="5574" priority="295" operator="greaterThan">
      <formula>0.85</formula>
    </cfRule>
  </conditionalFormatting>
  <conditionalFormatting sqref="E12">
    <cfRule type="expression" dxfId="5573" priority="290">
      <formula>AND(IF(OR($Q12=1,$Q12=2),1,0),IF($X12&lt;=20,1,0))</formula>
    </cfRule>
    <cfRule type="expression" dxfId="5572" priority="291">
      <formula>AND(IF($Q12=2,1,0),IF($X12&lt;30,1,0))</formula>
    </cfRule>
    <cfRule type="expression" dxfId="5571" priority="292">
      <formula>AND(IF($Q12=3,1,0),IF($X12&lt;30,1,0))</formula>
    </cfRule>
    <cfRule type="expression" dxfId="5570" priority="293">
      <formula>AND(IF($Q12=3,1,IF($Q12=4,1,0)),IF($F12&lt;=85,1,0))</formula>
    </cfRule>
  </conditionalFormatting>
  <conditionalFormatting sqref="X12">
    <cfRule type="expression" dxfId="5569" priority="286">
      <formula>AND(IF(OR($Q12=1,$Q12=2),1,0),IF($X12&lt;=20,1,0))</formula>
    </cfRule>
    <cfRule type="expression" dxfId="5568" priority="287">
      <formula>AND(IF($Q12=2,1,0),IF($X12&lt;30,1,0))</formula>
    </cfRule>
    <cfRule type="expression" dxfId="5567" priority="288">
      <formula>AND(IF($Q12=3,1,0),IF($X12&lt;30,1,0))</formula>
    </cfRule>
    <cfRule type="expression" dxfId="5566" priority="289">
      <formula>AND(IF($Q12=3,1,IF($Q12=4,1,0)),IF($F12&lt;=85,1,0))</formula>
    </cfRule>
  </conditionalFormatting>
  <conditionalFormatting sqref="AI12">
    <cfRule type="expression" dxfId="5565" priority="282">
      <formula>AND(IF(OR($Q12=1,$Q12=2),1,0),IF($X12&lt;=20,1,0))</formula>
    </cfRule>
    <cfRule type="expression" dxfId="5564" priority="283">
      <formula>AND(IF($Q12=2,1,0),IF($X12&lt;30,1,0))</formula>
    </cfRule>
    <cfRule type="expression" dxfId="5563" priority="284">
      <formula>AND(IF($Q12=3,1,0),IF($X12&lt;30,1,0))</formula>
    </cfRule>
    <cfRule type="expression" dxfId="5562" priority="285">
      <formula>AND(IF($Q12=3,1,IF($Q12=4,1,0)),IF($F12&lt;=85,1,0))</formula>
    </cfRule>
  </conditionalFormatting>
  <conditionalFormatting sqref="AV13">
    <cfRule type="expression" dxfId="5561" priority="280">
      <formula>AV13="X"</formula>
    </cfRule>
    <cfRule type="expression" dxfId="5560" priority="281">
      <formula>AV13="후보"</formula>
    </cfRule>
  </conditionalFormatting>
  <conditionalFormatting sqref="Z13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559" priority="277" operator="greaterThan">
      <formula>0.9</formula>
    </cfRule>
    <cfRule type="cellIs" dxfId="5558" priority="278" operator="greaterThan">
      <formula>0.85</formula>
    </cfRule>
  </conditionalFormatting>
  <conditionalFormatting sqref="N13">
    <cfRule type="cellIs" dxfId="5557" priority="275" operator="greaterThan">
      <formula>0.9</formula>
    </cfRule>
    <cfRule type="cellIs" dxfId="5556" priority="276" operator="greaterThan">
      <formula>0.85</formula>
    </cfRule>
  </conditionalFormatting>
  <conditionalFormatting sqref="E13">
    <cfRule type="expression" dxfId="5555" priority="271">
      <formula>AND(IF(OR($Q13=1,$Q13=2),1,0),IF($X13&lt;=20,1,0))</formula>
    </cfRule>
    <cfRule type="expression" dxfId="5554" priority="272">
      <formula>AND(IF($Q13=2,1,0),IF($X13&lt;30,1,0))</formula>
    </cfRule>
    <cfRule type="expression" dxfId="5553" priority="273">
      <formula>AND(IF($Q13=3,1,0),IF($X13&lt;30,1,0))</formula>
    </cfRule>
    <cfRule type="expression" dxfId="5552" priority="274">
      <formula>AND(IF($Q13=3,1,IF($Q13=4,1,0)),IF($F13&lt;=85,1,0))</formula>
    </cfRule>
  </conditionalFormatting>
  <conditionalFormatting sqref="X13">
    <cfRule type="expression" dxfId="5551" priority="267">
      <formula>AND(IF(OR($Q13=1,$Q13=2),1,0),IF($X13&lt;=20,1,0))</formula>
    </cfRule>
    <cfRule type="expression" dxfId="5550" priority="268">
      <formula>AND(IF($Q13=2,1,0),IF($X13&lt;30,1,0))</formula>
    </cfRule>
    <cfRule type="expression" dxfId="5549" priority="269">
      <formula>AND(IF($Q13=3,1,0),IF($X13&lt;30,1,0))</formula>
    </cfRule>
    <cfRule type="expression" dxfId="5548" priority="270">
      <formula>AND(IF($Q13=3,1,IF($Q13=4,1,0)),IF($F13&lt;=85,1,0))</formula>
    </cfRule>
  </conditionalFormatting>
  <conditionalFormatting sqref="AI13">
    <cfRule type="expression" dxfId="5547" priority="263">
      <formula>AND(IF(OR($Q13=1,$Q13=2),1,0),IF($X13&lt;=20,1,0))</formula>
    </cfRule>
    <cfRule type="expression" dxfId="5546" priority="264">
      <formula>AND(IF($Q13=2,1,0),IF($X13&lt;30,1,0))</formula>
    </cfRule>
    <cfRule type="expression" dxfId="5545" priority="265">
      <formula>AND(IF($Q13=3,1,0),IF($X13&lt;30,1,0))</formula>
    </cfRule>
    <cfRule type="expression" dxfId="5544" priority="266">
      <formula>AND(IF($Q13=3,1,IF($Q13=4,1,0)),IF($F13&lt;=85,1,0))</formula>
    </cfRule>
  </conditionalFormatting>
  <conditionalFormatting sqref="AV14">
    <cfRule type="expression" dxfId="5543" priority="261">
      <formula>AV14="X"</formula>
    </cfRule>
    <cfRule type="expression" dxfId="5542" priority="262">
      <formula>AV14="후보"</formula>
    </cfRule>
  </conditionalFormatting>
  <conditionalFormatting sqref="Z14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5541" priority="258" operator="greaterThan">
      <formula>0.9</formula>
    </cfRule>
    <cfRule type="cellIs" dxfId="5540" priority="259" operator="greaterThan">
      <formula>0.85</formula>
    </cfRule>
  </conditionalFormatting>
  <conditionalFormatting sqref="AV15">
    <cfRule type="expression" dxfId="5539" priority="256">
      <formula>AV15="X"</formula>
    </cfRule>
    <cfRule type="expression" dxfId="5538" priority="257">
      <formula>AV15="후보"</formula>
    </cfRule>
  </conditionalFormatting>
  <conditionalFormatting sqref="Z15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537" priority="253" operator="greaterThan">
      <formula>0.9</formula>
    </cfRule>
    <cfRule type="cellIs" dxfId="5536" priority="254" operator="greaterThan">
      <formula>0.85</formula>
    </cfRule>
  </conditionalFormatting>
  <conditionalFormatting sqref="N15">
    <cfRule type="cellIs" dxfId="5535" priority="251" operator="greaterThan">
      <formula>0.9</formula>
    </cfRule>
    <cfRule type="cellIs" dxfId="5534" priority="252" operator="greaterThan">
      <formula>0.85</formula>
    </cfRule>
  </conditionalFormatting>
  <conditionalFormatting sqref="E15">
    <cfRule type="expression" dxfId="5533" priority="247">
      <formula>AND(IF(OR($Q15=1,$Q15=2),1,0),IF($X15&lt;=20,1,0))</formula>
    </cfRule>
    <cfRule type="expression" dxfId="5532" priority="248">
      <formula>AND(IF($Q15=2,1,0),IF($X15&lt;30,1,0))</formula>
    </cfRule>
    <cfRule type="expression" dxfId="5531" priority="249">
      <formula>AND(IF($Q15=3,1,0),IF($X15&lt;30,1,0))</formula>
    </cfRule>
    <cfRule type="expression" dxfId="5530" priority="250">
      <formula>AND(IF($Q15=3,1,IF($Q15=4,1,0)),IF($F15&lt;=85,1,0))</formula>
    </cfRule>
  </conditionalFormatting>
  <conditionalFormatting sqref="X15">
    <cfRule type="expression" dxfId="5529" priority="243">
      <formula>AND(IF(OR($Q15=1,$Q15=2),1,0),IF($X15&lt;=20,1,0))</formula>
    </cfRule>
    <cfRule type="expression" dxfId="5528" priority="244">
      <formula>AND(IF($Q15=2,1,0),IF($X15&lt;30,1,0))</formula>
    </cfRule>
    <cfRule type="expression" dxfId="5527" priority="245">
      <formula>AND(IF($Q15=3,1,0),IF($X15&lt;30,1,0))</formula>
    </cfRule>
    <cfRule type="expression" dxfId="5526" priority="246">
      <formula>AND(IF($Q15=3,1,IF($Q15=4,1,0)),IF($F15&lt;=85,1,0))</formula>
    </cfRule>
  </conditionalFormatting>
  <conditionalFormatting sqref="AI15">
    <cfRule type="expression" dxfId="5525" priority="239">
      <formula>AND(IF(OR($Q15=1,$Q15=2),1,0),IF($X15&lt;=20,1,0))</formula>
    </cfRule>
    <cfRule type="expression" dxfId="5524" priority="240">
      <formula>AND(IF($Q15=2,1,0),IF($X15&lt;30,1,0))</formula>
    </cfRule>
    <cfRule type="expression" dxfId="5523" priority="241">
      <formula>AND(IF($Q15=3,1,0),IF($X15&lt;30,1,0))</formula>
    </cfRule>
    <cfRule type="expression" dxfId="5522" priority="242">
      <formula>AND(IF($Q15=3,1,IF($Q15=4,1,0)),IF($F15&lt;=85,1,0))</formula>
    </cfRule>
  </conditionalFormatting>
  <conditionalFormatting sqref="AV16">
    <cfRule type="expression" dxfId="5521" priority="237">
      <formula>AV16="X"</formula>
    </cfRule>
    <cfRule type="expression" dxfId="5520" priority="238">
      <formula>AV16="후보"</formula>
    </cfRule>
  </conditionalFormatting>
  <conditionalFormatting sqref="Z16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5519" priority="234" operator="greaterThan">
      <formula>0.9</formula>
    </cfRule>
    <cfRule type="cellIs" dxfId="5518" priority="235" operator="greaterThan">
      <formula>0.85</formula>
    </cfRule>
  </conditionalFormatting>
  <conditionalFormatting sqref="AV17">
    <cfRule type="expression" dxfId="5517" priority="232">
      <formula>AV17="X"</formula>
    </cfRule>
    <cfRule type="expression" dxfId="5516" priority="233">
      <formula>AV17="후보"</formula>
    </cfRule>
  </conditionalFormatting>
  <conditionalFormatting sqref="Z17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515" priority="229" operator="greaterThan">
      <formula>0.9</formula>
    </cfRule>
    <cfRule type="cellIs" dxfId="5514" priority="230" operator="greaterThan">
      <formula>0.85</formula>
    </cfRule>
  </conditionalFormatting>
  <conditionalFormatting sqref="N17">
    <cfRule type="cellIs" dxfId="5513" priority="227" operator="greaterThan">
      <formula>0.9</formula>
    </cfRule>
    <cfRule type="cellIs" dxfId="5512" priority="228" operator="greaterThan">
      <formula>0.85</formula>
    </cfRule>
  </conditionalFormatting>
  <conditionalFormatting sqref="E17">
    <cfRule type="expression" dxfId="5511" priority="223">
      <formula>AND(IF(OR($Q17=1,$Q17=2),1,0),IF($X17&lt;=20,1,0))</formula>
    </cfRule>
    <cfRule type="expression" dxfId="5510" priority="224">
      <formula>AND(IF($Q17=2,1,0),IF($X17&lt;30,1,0))</formula>
    </cfRule>
    <cfRule type="expression" dxfId="5509" priority="225">
      <formula>AND(IF($Q17=3,1,0),IF($X17&lt;30,1,0))</formula>
    </cfRule>
    <cfRule type="expression" dxfId="5508" priority="226">
      <formula>AND(IF($Q17=3,1,IF($Q17=4,1,0)),IF($F17&lt;=85,1,0))</formula>
    </cfRule>
  </conditionalFormatting>
  <conditionalFormatting sqref="X17">
    <cfRule type="expression" dxfId="5507" priority="219">
      <formula>AND(IF(OR($Q17=1,$Q17=2),1,0),IF($X17&lt;=20,1,0))</formula>
    </cfRule>
    <cfRule type="expression" dxfId="5506" priority="220">
      <formula>AND(IF($Q17=2,1,0),IF($X17&lt;30,1,0))</formula>
    </cfRule>
    <cfRule type="expression" dxfId="5505" priority="221">
      <formula>AND(IF($Q17=3,1,0),IF($X17&lt;30,1,0))</formula>
    </cfRule>
    <cfRule type="expression" dxfId="5504" priority="222">
      <formula>AND(IF($Q17=3,1,IF($Q17=4,1,0)),IF($F17&lt;=85,1,0))</formula>
    </cfRule>
  </conditionalFormatting>
  <conditionalFormatting sqref="AI17">
    <cfRule type="expression" dxfId="5503" priority="215">
      <formula>AND(IF(OR($Q17=1,$Q17=2),1,0),IF($X17&lt;=20,1,0))</formula>
    </cfRule>
    <cfRule type="expression" dxfId="5502" priority="216">
      <formula>AND(IF($Q17=2,1,0),IF($X17&lt;30,1,0))</formula>
    </cfRule>
    <cfRule type="expression" dxfId="5501" priority="217">
      <formula>AND(IF($Q17=3,1,0),IF($X17&lt;30,1,0))</formula>
    </cfRule>
    <cfRule type="expression" dxfId="5500" priority="218">
      <formula>AND(IF($Q17=3,1,IF($Q17=4,1,0)),IF($F17&lt;=85,1,0))</formula>
    </cfRule>
  </conditionalFormatting>
  <conditionalFormatting sqref="AV18">
    <cfRule type="expression" dxfId="5499" priority="213">
      <formula>AV18="X"</formula>
    </cfRule>
    <cfRule type="expression" dxfId="5498" priority="214">
      <formula>AV18="후보"</formula>
    </cfRule>
  </conditionalFormatting>
  <conditionalFormatting sqref="Z18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497" priority="210" operator="greaterThan">
      <formula>0.9</formula>
    </cfRule>
    <cfRule type="cellIs" dxfId="5496" priority="211" operator="greaterThan">
      <formula>0.85</formula>
    </cfRule>
  </conditionalFormatting>
  <conditionalFormatting sqref="N18">
    <cfRule type="cellIs" dxfId="5495" priority="208" operator="greaterThan">
      <formula>0.9</formula>
    </cfRule>
    <cfRule type="cellIs" dxfId="5494" priority="209" operator="greaterThan">
      <formula>0.85</formula>
    </cfRule>
  </conditionalFormatting>
  <conditionalFormatting sqref="E18">
    <cfRule type="expression" dxfId="5493" priority="204">
      <formula>AND(IF(OR($Q18=1,$Q18=2),1,0),IF($X18&lt;=20,1,0))</formula>
    </cfRule>
    <cfRule type="expression" dxfId="5492" priority="205">
      <formula>AND(IF($Q18=2,1,0),IF($X18&lt;30,1,0))</formula>
    </cfRule>
    <cfRule type="expression" dxfId="5491" priority="206">
      <formula>AND(IF($Q18=3,1,0),IF($X18&lt;30,1,0))</formula>
    </cfRule>
    <cfRule type="expression" dxfId="5490" priority="207">
      <formula>AND(IF($Q18=3,1,IF($Q18=4,1,0)),IF($F18&lt;=85,1,0))</formula>
    </cfRule>
  </conditionalFormatting>
  <conditionalFormatting sqref="X18">
    <cfRule type="expression" dxfId="5489" priority="200">
      <formula>AND(IF(OR($Q18=1,$Q18=2),1,0),IF($X18&lt;=20,1,0))</formula>
    </cfRule>
    <cfRule type="expression" dxfId="5488" priority="201">
      <formula>AND(IF($Q18=2,1,0),IF($X18&lt;30,1,0))</formula>
    </cfRule>
    <cfRule type="expression" dxfId="5487" priority="202">
      <formula>AND(IF($Q18=3,1,0),IF($X18&lt;30,1,0))</formula>
    </cfRule>
    <cfRule type="expression" dxfId="5486" priority="203">
      <formula>AND(IF($Q18=3,1,IF($Q18=4,1,0)),IF($F18&lt;=85,1,0))</formula>
    </cfRule>
  </conditionalFormatting>
  <conditionalFormatting sqref="AI18">
    <cfRule type="expression" dxfId="5485" priority="196">
      <formula>AND(IF(OR($Q18=1,$Q18=2),1,0),IF($X18&lt;=20,1,0))</formula>
    </cfRule>
    <cfRule type="expression" dxfId="5484" priority="197">
      <formula>AND(IF($Q18=2,1,0),IF($X18&lt;30,1,0))</formula>
    </cfRule>
    <cfRule type="expression" dxfId="5483" priority="198">
      <formula>AND(IF($Q18=3,1,0),IF($X18&lt;30,1,0))</formula>
    </cfRule>
    <cfRule type="expression" dxfId="5482" priority="199">
      <formula>AND(IF($Q18=3,1,IF($Q18=4,1,0)),IF($F18&lt;=85,1,0))</formula>
    </cfRule>
  </conditionalFormatting>
  <conditionalFormatting sqref="AV19">
    <cfRule type="expression" dxfId="5481" priority="194">
      <formula>AV19="X"</formula>
    </cfRule>
    <cfRule type="expression" dxfId="5480" priority="195">
      <formula>AV19="후보"</formula>
    </cfRule>
  </conditionalFormatting>
  <conditionalFormatting sqref="Z19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479" priority="191" operator="greaterThan">
      <formula>0.9</formula>
    </cfRule>
    <cfRule type="cellIs" dxfId="5478" priority="192" operator="greaterThan">
      <formula>0.85</formula>
    </cfRule>
  </conditionalFormatting>
  <conditionalFormatting sqref="N19">
    <cfRule type="cellIs" dxfId="5477" priority="189" operator="greaterThan">
      <formula>0.9</formula>
    </cfRule>
    <cfRule type="cellIs" dxfId="5476" priority="190" operator="greaterThan">
      <formula>0.85</formula>
    </cfRule>
  </conditionalFormatting>
  <conditionalFormatting sqref="E19">
    <cfRule type="expression" dxfId="5475" priority="185">
      <formula>AND(IF(OR($Q19=1,$Q19=2),1,0),IF($X19&lt;=20,1,0))</formula>
    </cfRule>
    <cfRule type="expression" dxfId="5474" priority="186">
      <formula>AND(IF($Q19=2,1,0),IF($X19&lt;30,1,0))</formula>
    </cfRule>
    <cfRule type="expression" dxfId="5473" priority="187">
      <formula>AND(IF($Q19=3,1,0),IF($X19&lt;30,1,0))</formula>
    </cfRule>
    <cfRule type="expression" dxfId="5472" priority="188">
      <formula>AND(IF($Q19=3,1,IF($Q19=4,1,0)),IF($F19&lt;=85,1,0))</formula>
    </cfRule>
  </conditionalFormatting>
  <conditionalFormatting sqref="X19">
    <cfRule type="expression" dxfId="5471" priority="181">
      <formula>AND(IF(OR($Q19=1,$Q19=2),1,0),IF($X19&lt;=20,1,0))</formula>
    </cfRule>
    <cfRule type="expression" dxfId="5470" priority="182">
      <formula>AND(IF($Q19=2,1,0),IF($X19&lt;30,1,0))</formula>
    </cfRule>
    <cfRule type="expression" dxfId="5469" priority="183">
      <formula>AND(IF($Q19=3,1,0),IF($X19&lt;30,1,0))</formula>
    </cfRule>
    <cfRule type="expression" dxfId="5468" priority="184">
      <formula>AND(IF($Q19=3,1,IF($Q19=4,1,0)),IF($F19&lt;=85,1,0))</formula>
    </cfRule>
  </conditionalFormatting>
  <conditionalFormatting sqref="AI19">
    <cfRule type="expression" dxfId="5467" priority="177">
      <formula>AND(IF(OR($Q19=1,$Q19=2),1,0),IF($X19&lt;=20,1,0))</formula>
    </cfRule>
    <cfRule type="expression" dxfId="5466" priority="178">
      <formula>AND(IF($Q19=2,1,0),IF($X19&lt;30,1,0))</formula>
    </cfRule>
    <cfRule type="expression" dxfId="5465" priority="179">
      <formula>AND(IF($Q19=3,1,0),IF($X19&lt;30,1,0))</formula>
    </cfRule>
    <cfRule type="expression" dxfId="5464" priority="180">
      <formula>AND(IF($Q19=3,1,IF($Q19=4,1,0)),IF($F19&lt;=85,1,0))</formula>
    </cfRule>
  </conditionalFormatting>
  <conditionalFormatting sqref="AV20">
    <cfRule type="expression" dxfId="5463" priority="175">
      <formula>AV20="X"</formula>
    </cfRule>
    <cfRule type="expression" dxfId="5462" priority="176">
      <formula>AV20="후보"</formula>
    </cfRule>
  </conditionalFormatting>
  <conditionalFormatting sqref="Z20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5461" priority="172" operator="greaterThan">
      <formula>0.9</formula>
    </cfRule>
    <cfRule type="cellIs" dxfId="5460" priority="173" operator="greaterThan">
      <formula>0.85</formula>
    </cfRule>
  </conditionalFormatting>
  <conditionalFormatting sqref="N20">
    <cfRule type="cellIs" dxfId="5459" priority="170" operator="greaterThan">
      <formula>0.9</formula>
    </cfRule>
    <cfRule type="cellIs" dxfId="5458" priority="171" operator="greaterThan">
      <formula>0.85</formula>
    </cfRule>
  </conditionalFormatting>
  <conditionalFormatting sqref="E20">
    <cfRule type="expression" dxfId="5457" priority="166">
      <formula>AND(IF(OR($Q20=1,$Q20=2),1,0),IF($X20&lt;=20,1,0))</formula>
    </cfRule>
    <cfRule type="expression" dxfId="5456" priority="167">
      <formula>AND(IF($Q20=2,1,0),IF($X20&lt;30,1,0))</formula>
    </cfRule>
    <cfRule type="expression" dxfId="5455" priority="168">
      <formula>AND(IF($Q20=3,1,0),IF($X20&lt;30,1,0))</formula>
    </cfRule>
    <cfRule type="expression" dxfId="5454" priority="169">
      <formula>AND(IF($Q20=3,1,IF($Q20=4,1,0)),IF($F20&lt;=85,1,0))</formula>
    </cfRule>
  </conditionalFormatting>
  <conditionalFormatting sqref="X20">
    <cfRule type="expression" dxfId="5453" priority="162">
      <formula>AND(IF(OR($Q20=1,$Q20=2),1,0),IF($X20&lt;=20,1,0))</formula>
    </cfRule>
    <cfRule type="expression" dxfId="5452" priority="163">
      <formula>AND(IF($Q20=2,1,0),IF($X20&lt;30,1,0))</formula>
    </cfRule>
    <cfRule type="expression" dxfId="5451" priority="164">
      <formula>AND(IF($Q20=3,1,0),IF($X20&lt;30,1,0))</formula>
    </cfRule>
    <cfRule type="expression" dxfId="5450" priority="165">
      <formula>AND(IF($Q20=3,1,IF($Q20=4,1,0)),IF($F20&lt;=85,1,0))</formula>
    </cfRule>
  </conditionalFormatting>
  <conditionalFormatting sqref="AI20">
    <cfRule type="expression" dxfId="5449" priority="158">
      <formula>AND(IF(OR($Q20=1,$Q20=2),1,0),IF($X20&lt;=20,1,0))</formula>
    </cfRule>
    <cfRule type="expression" dxfId="5448" priority="159">
      <formula>AND(IF($Q20=2,1,0),IF($X20&lt;30,1,0))</formula>
    </cfRule>
    <cfRule type="expression" dxfId="5447" priority="160">
      <formula>AND(IF($Q20=3,1,0),IF($X20&lt;30,1,0))</formula>
    </cfRule>
    <cfRule type="expression" dxfId="5446" priority="161">
      <formula>AND(IF($Q20=3,1,IF($Q20=4,1,0)),IF($F20&lt;=85,1,0))</formula>
    </cfRule>
  </conditionalFormatting>
  <conditionalFormatting sqref="AV21">
    <cfRule type="expression" dxfId="5445" priority="156">
      <formula>AV21="X"</formula>
    </cfRule>
    <cfRule type="expression" dxfId="5444" priority="157">
      <formula>AV21="후보"</formula>
    </cfRule>
  </conditionalFormatting>
  <conditionalFormatting sqref="Z21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443" priority="153" operator="greaterThan">
      <formula>0.9</formula>
    </cfRule>
    <cfRule type="cellIs" dxfId="5442" priority="154" operator="greaterThan">
      <formula>0.85</formula>
    </cfRule>
  </conditionalFormatting>
  <conditionalFormatting sqref="N21">
    <cfRule type="cellIs" dxfId="5441" priority="151" operator="greaterThan">
      <formula>0.9</formula>
    </cfRule>
    <cfRule type="cellIs" dxfId="5440" priority="152" operator="greaterThan">
      <formula>0.85</formula>
    </cfRule>
  </conditionalFormatting>
  <conditionalFormatting sqref="E21">
    <cfRule type="expression" dxfId="5439" priority="147">
      <formula>AND(IF(OR($Q21=1,$Q21=2),1,0),IF($X21&lt;=20,1,0))</formula>
    </cfRule>
    <cfRule type="expression" dxfId="5438" priority="148">
      <formula>AND(IF($Q21=2,1,0),IF($X21&lt;30,1,0))</formula>
    </cfRule>
    <cfRule type="expression" dxfId="5437" priority="149">
      <formula>AND(IF($Q21=3,1,0),IF($X21&lt;30,1,0))</formula>
    </cfRule>
    <cfRule type="expression" dxfId="5436" priority="150">
      <formula>AND(IF($Q21=3,1,IF($Q21=4,1,0)),IF($F21&lt;=85,1,0))</formula>
    </cfRule>
  </conditionalFormatting>
  <conditionalFormatting sqref="X21">
    <cfRule type="expression" dxfId="5435" priority="143">
      <formula>AND(IF(OR($Q21=1,$Q21=2),1,0),IF($X21&lt;=20,1,0))</formula>
    </cfRule>
    <cfRule type="expression" dxfId="5434" priority="144">
      <formula>AND(IF($Q21=2,1,0),IF($X21&lt;30,1,0))</formula>
    </cfRule>
    <cfRule type="expression" dxfId="5433" priority="145">
      <formula>AND(IF($Q21=3,1,0),IF($X21&lt;30,1,0))</formula>
    </cfRule>
    <cfRule type="expression" dxfId="5432" priority="146">
      <formula>AND(IF($Q21=3,1,IF($Q21=4,1,0)),IF($F21&lt;=85,1,0))</formula>
    </cfRule>
  </conditionalFormatting>
  <conditionalFormatting sqref="AI21">
    <cfRule type="expression" dxfId="5431" priority="139">
      <formula>AND(IF(OR($Q21=1,$Q21=2),1,0),IF($X21&lt;=20,1,0))</formula>
    </cfRule>
    <cfRule type="expression" dxfId="5430" priority="140">
      <formula>AND(IF($Q21=2,1,0),IF($X21&lt;30,1,0))</formula>
    </cfRule>
    <cfRule type="expression" dxfId="5429" priority="141">
      <formula>AND(IF($Q21=3,1,0),IF($X21&lt;30,1,0))</formula>
    </cfRule>
    <cfRule type="expression" dxfId="5428" priority="142">
      <formula>AND(IF($Q21=3,1,IF($Q21=4,1,0)),IF($F21&lt;=85,1,0))</formula>
    </cfRule>
  </conditionalFormatting>
  <conditionalFormatting sqref="AV22">
    <cfRule type="expression" dxfId="5427" priority="137">
      <formula>AV22="X"</formula>
    </cfRule>
    <cfRule type="expression" dxfId="5426" priority="138">
      <formula>AV22="후보"</formula>
    </cfRule>
  </conditionalFormatting>
  <conditionalFormatting sqref="Z22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5425" priority="134" operator="greaterThan">
      <formula>0.9</formula>
    </cfRule>
    <cfRule type="cellIs" dxfId="5424" priority="135" operator="greaterThan">
      <formula>0.85</formula>
    </cfRule>
  </conditionalFormatting>
  <conditionalFormatting sqref="N22">
    <cfRule type="cellIs" dxfId="5423" priority="132" operator="greaterThan">
      <formula>0.9</formula>
    </cfRule>
    <cfRule type="cellIs" dxfId="5422" priority="133" operator="greaterThan">
      <formula>0.85</formula>
    </cfRule>
  </conditionalFormatting>
  <conditionalFormatting sqref="E22">
    <cfRule type="expression" dxfId="5421" priority="128">
      <formula>AND(IF(OR($Q22=1,$Q22=2),1,0),IF($X22&lt;=20,1,0))</formula>
    </cfRule>
    <cfRule type="expression" dxfId="5420" priority="129">
      <formula>AND(IF($Q22=2,1,0),IF($X22&lt;30,1,0))</formula>
    </cfRule>
    <cfRule type="expression" dxfId="5419" priority="130">
      <formula>AND(IF($Q22=3,1,0),IF($X22&lt;30,1,0))</formula>
    </cfRule>
    <cfRule type="expression" dxfId="5418" priority="131">
      <formula>AND(IF($Q22=3,1,IF($Q22=4,1,0)),IF($F22&lt;=85,1,0))</formula>
    </cfRule>
  </conditionalFormatting>
  <conditionalFormatting sqref="X22">
    <cfRule type="expression" dxfId="5417" priority="124">
      <formula>AND(IF(OR($Q22=1,$Q22=2),1,0),IF($X22&lt;=20,1,0))</formula>
    </cfRule>
    <cfRule type="expression" dxfId="5416" priority="125">
      <formula>AND(IF($Q22=2,1,0),IF($X22&lt;30,1,0))</formula>
    </cfRule>
    <cfRule type="expression" dxfId="5415" priority="126">
      <formula>AND(IF($Q22=3,1,0),IF($X22&lt;30,1,0))</formula>
    </cfRule>
    <cfRule type="expression" dxfId="5414" priority="127">
      <formula>AND(IF($Q22=3,1,IF($Q22=4,1,0)),IF($F22&lt;=85,1,0))</formula>
    </cfRule>
  </conditionalFormatting>
  <conditionalFormatting sqref="AI22">
    <cfRule type="expression" dxfId="5413" priority="120">
      <formula>AND(IF(OR($Q22=1,$Q22=2),1,0),IF($X22&lt;=20,1,0))</formula>
    </cfRule>
    <cfRule type="expression" dxfId="5412" priority="121">
      <formula>AND(IF($Q22=2,1,0),IF($X22&lt;30,1,0))</formula>
    </cfRule>
    <cfRule type="expression" dxfId="5411" priority="122">
      <formula>AND(IF($Q22=3,1,0),IF($X22&lt;30,1,0))</formula>
    </cfRule>
    <cfRule type="expression" dxfId="5410" priority="123">
      <formula>AND(IF($Q22=3,1,IF($Q22=4,1,0)),IF($F22&lt;=85,1,0))</formula>
    </cfRule>
  </conditionalFormatting>
  <conditionalFormatting sqref="AV23">
    <cfRule type="expression" dxfId="5409" priority="118">
      <formula>AV23="X"</formula>
    </cfRule>
    <cfRule type="expression" dxfId="5408" priority="119">
      <formula>AV23="후보"</formula>
    </cfRule>
  </conditionalFormatting>
  <conditionalFormatting sqref="Z23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5407" priority="115" operator="greaterThan">
      <formula>0.9</formula>
    </cfRule>
    <cfRule type="cellIs" dxfId="5406" priority="116" operator="greaterThan">
      <formula>0.85</formula>
    </cfRule>
  </conditionalFormatting>
  <conditionalFormatting sqref="AV24">
    <cfRule type="expression" dxfId="5405" priority="113">
      <formula>AV24="X"</formula>
    </cfRule>
    <cfRule type="expression" dxfId="5404" priority="114">
      <formula>AV24="후보"</formula>
    </cfRule>
  </conditionalFormatting>
  <conditionalFormatting sqref="Z24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403" priority="110" operator="greaterThan">
      <formula>0.9</formula>
    </cfRule>
    <cfRule type="cellIs" dxfId="5402" priority="111" operator="greaterThan">
      <formula>0.85</formula>
    </cfRule>
  </conditionalFormatting>
  <conditionalFormatting sqref="N24">
    <cfRule type="cellIs" dxfId="5401" priority="108" operator="greaterThan">
      <formula>0.9</formula>
    </cfRule>
    <cfRule type="cellIs" dxfId="5400" priority="109" operator="greaterThan">
      <formula>0.85</formula>
    </cfRule>
  </conditionalFormatting>
  <conditionalFormatting sqref="E24">
    <cfRule type="expression" dxfId="5399" priority="104">
      <formula>AND(IF(OR($Q24=1,$Q24=2),1,0),IF($X24&lt;=20,1,0))</formula>
    </cfRule>
    <cfRule type="expression" dxfId="5398" priority="105">
      <formula>AND(IF($Q24=2,1,0),IF($X24&lt;30,1,0))</formula>
    </cfRule>
    <cfRule type="expression" dxfId="5397" priority="106">
      <formula>AND(IF($Q24=3,1,0),IF($X24&lt;30,1,0))</formula>
    </cfRule>
    <cfRule type="expression" dxfId="5396" priority="107">
      <formula>AND(IF($Q24=3,1,IF($Q24=4,1,0)),IF($F24&lt;=85,1,0))</formula>
    </cfRule>
  </conditionalFormatting>
  <conditionalFormatting sqref="X24">
    <cfRule type="expression" dxfId="5395" priority="100">
      <formula>AND(IF(OR($Q24=1,$Q24=2),1,0),IF($X24&lt;=20,1,0))</formula>
    </cfRule>
    <cfRule type="expression" dxfId="5394" priority="101">
      <formula>AND(IF($Q24=2,1,0),IF($X24&lt;30,1,0))</formula>
    </cfRule>
    <cfRule type="expression" dxfId="5393" priority="102">
      <formula>AND(IF($Q24=3,1,0),IF($X24&lt;30,1,0))</formula>
    </cfRule>
    <cfRule type="expression" dxfId="5392" priority="103">
      <formula>AND(IF($Q24=3,1,IF($Q24=4,1,0)),IF($F24&lt;=85,1,0))</formula>
    </cfRule>
  </conditionalFormatting>
  <conditionalFormatting sqref="AI24">
    <cfRule type="expression" dxfId="5391" priority="96">
      <formula>AND(IF(OR($Q24=1,$Q24=2),1,0),IF($X24&lt;=20,1,0))</formula>
    </cfRule>
    <cfRule type="expression" dxfId="5390" priority="97">
      <formula>AND(IF($Q24=2,1,0),IF($X24&lt;30,1,0))</formula>
    </cfRule>
    <cfRule type="expression" dxfId="5389" priority="98">
      <formula>AND(IF($Q24=3,1,0),IF($X24&lt;30,1,0))</formula>
    </cfRule>
    <cfRule type="expression" dxfId="5388" priority="99">
      <formula>AND(IF($Q24=3,1,IF($Q24=4,1,0)),IF($F24&lt;=85,1,0))</formula>
    </cfRule>
  </conditionalFormatting>
  <conditionalFormatting sqref="AV25">
    <cfRule type="expression" dxfId="5387" priority="94">
      <formula>AV25="X"</formula>
    </cfRule>
    <cfRule type="expression" dxfId="5386" priority="95">
      <formula>AV25="후보"</formula>
    </cfRule>
  </conditionalFormatting>
  <conditionalFormatting sqref="Z25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385" priority="91" operator="greaterThan">
      <formula>0.9</formula>
    </cfRule>
    <cfRule type="cellIs" dxfId="5384" priority="92" operator="greaterThan">
      <formula>0.85</formula>
    </cfRule>
  </conditionalFormatting>
  <conditionalFormatting sqref="N25">
    <cfRule type="cellIs" dxfId="5383" priority="89" operator="greaterThan">
      <formula>0.9</formula>
    </cfRule>
    <cfRule type="cellIs" dxfId="5382" priority="90" operator="greaterThan">
      <formula>0.85</formula>
    </cfRule>
  </conditionalFormatting>
  <conditionalFormatting sqref="E25">
    <cfRule type="expression" dxfId="5381" priority="85">
      <formula>AND(IF(OR($Q25=1,$Q25=2),1,0),IF($X25&lt;=20,1,0))</formula>
    </cfRule>
    <cfRule type="expression" dxfId="5380" priority="86">
      <formula>AND(IF($Q25=2,1,0),IF($X25&lt;30,1,0))</formula>
    </cfRule>
    <cfRule type="expression" dxfId="5379" priority="87">
      <formula>AND(IF($Q25=3,1,0),IF($X25&lt;30,1,0))</formula>
    </cfRule>
    <cfRule type="expression" dxfId="5378" priority="88">
      <formula>AND(IF($Q25=3,1,IF($Q25=4,1,0)),IF($F25&lt;=85,1,0))</formula>
    </cfRule>
  </conditionalFormatting>
  <conditionalFormatting sqref="X25">
    <cfRule type="expression" dxfId="5377" priority="81">
      <formula>AND(IF(OR($Q25=1,$Q25=2),1,0),IF($X25&lt;=20,1,0))</formula>
    </cfRule>
    <cfRule type="expression" dxfId="5376" priority="82">
      <formula>AND(IF($Q25=2,1,0),IF($X25&lt;30,1,0))</formula>
    </cfRule>
    <cfRule type="expression" dxfId="5375" priority="83">
      <formula>AND(IF($Q25=3,1,0),IF($X25&lt;30,1,0))</formula>
    </cfRule>
    <cfRule type="expression" dxfId="5374" priority="84">
      <formula>AND(IF($Q25=3,1,IF($Q25=4,1,0)),IF($F25&lt;=85,1,0))</formula>
    </cfRule>
  </conditionalFormatting>
  <conditionalFormatting sqref="AI25">
    <cfRule type="expression" dxfId="5373" priority="77">
      <formula>AND(IF(OR($Q25=1,$Q25=2),1,0),IF($X25&lt;=20,1,0))</formula>
    </cfRule>
    <cfRule type="expression" dxfId="5372" priority="78">
      <formula>AND(IF($Q25=2,1,0),IF($X25&lt;30,1,0))</formula>
    </cfRule>
    <cfRule type="expression" dxfId="5371" priority="79">
      <formula>AND(IF($Q25=3,1,0),IF($X25&lt;30,1,0))</formula>
    </cfRule>
    <cfRule type="expression" dxfId="5370" priority="80">
      <formula>AND(IF($Q25=3,1,IF($Q25=4,1,0)),IF($F25&lt;=85,1,0))</formula>
    </cfRule>
  </conditionalFormatting>
  <conditionalFormatting sqref="AV26">
    <cfRule type="expression" dxfId="5369" priority="75">
      <formula>AV26="X"</formula>
    </cfRule>
    <cfRule type="expression" dxfId="5368" priority="76">
      <formula>AV26="후보"</formula>
    </cfRule>
  </conditionalFormatting>
  <conditionalFormatting sqref="Z26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5367" priority="72" operator="greaterThan">
      <formula>0.9</formula>
    </cfRule>
    <cfRule type="cellIs" dxfId="5366" priority="73" operator="greaterThan">
      <formula>0.85</formula>
    </cfRule>
  </conditionalFormatting>
  <conditionalFormatting sqref="N26">
    <cfRule type="cellIs" dxfId="5365" priority="70" operator="greaterThan">
      <formula>0.9</formula>
    </cfRule>
    <cfRule type="cellIs" dxfId="5364" priority="71" operator="greaterThan">
      <formula>0.85</formula>
    </cfRule>
  </conditionalFormatting>
  <conditionalFormatting sqref="E26">
    <cfRule type="expression" dxfId="5363" priority="66">
      <formula>AND(IF(OR($Q26=1,$Q26=2),1,0),IF($X26&lt;=20,1,0))</formula>
    </cfRule>
    <cfRule type="expression" dxfId="5362" priority="67">
      <formula>AND(IF($Q26=2,1,0),IF($X26&lt;30,1,0))</formula>
    </cfRule>
    <cfRule type="expression" dxfId="5361" priority="68">
      <formula>AND(IF($Q26=3,1,0),IF($X26&lt;30,1,0))</formula>
    </cfRule>
    <cfRule type="expression" dxfId="5360" priority="69">
      <formula>AND(IF($Q26=3,1,IF($Q26=4,1,0)),IF($F26&lt;=85,1,0))</formula>
    </cfRule>
  </conditionalFormatting>
  <conditionalFormatting sqref="X26">
    <cfRule type="expression" dxfId="5359" priority="62">
      <formula>AND(IF(OR($Q26=1,$Q26=2),1,0),IF($X26&lt;=20,1,0))</formula>
    </cfRule>
    <cfRule type="expression" dxfId="5358" priority="63">
      <formula>AND(IF($Q26=2,1,0),IF($X26&lt;30,1,0))</formula>
    </cfRule>
    <cfRule type="expression" dxfId="5357" priority="64">
      <formula>AND(IF($Q26=3,1,0),IF($X26&lt;30,1,0))</formula>
    </cfRule>
    <cfRule type="expression" dxfId="5356" priority="65">
      <formula>AND(IF($Q26=3,1,IF($Q26=4,1,0)),IF($F26&lt;=85,1,0))</formula>
    </cfRule>
  </conditionalFormatting>
  <conditionalFormatting sqref="AI26">
    <cfRule type="expression" dxfId="5355" priority="58">
      <formula>AND(IF(OR($Q26=1,$Q26=2),1,0),IF($X26&lt;=20,1,0))</formula>
    </cfRule>
    <cfRule type="expression" dxfId="5354" priority="59">
      <formula>AND(IF($Q26=2,1,0),IF($X26&lt;30,1,0))</formula>
    </cfRule>
    <cfRule type="expression" dxfId="5353" priority="60">
      <formula>AND(IF($Q26=3,1,0),IF($X26&lt;30,1,0))</formula>
    </cfRule>
    <cfRule type="expression" dxfId="5352" priority="61">
      <formula>AND(IF($Q26=3,1,IF($Q26=4,1,0)),IF($F26&lt;=85,1,0))</formula>
    </cfRule>
  </conditionalFormatting>
  <conditionalFormatting sqref="AV27">
    <cfRule type="expression" dxfId="5351" priority="56">
      <formula>AV27="X"</formula>
    </cfRule>
    <cfRule type="expression" dxfId="5350" priority="57">
      <formula>AV27="후보"</formula>
    </cfRule>
  </conditionalFormatting>
  <conditionalFormatting sqref="Z2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5349" priority="53" operator="greaterThan">
      <formula>0.9</formula>
    </cfRule>
    <cfRule type="cellIs" dxfId="5348" priority="54" operator="greaterThan">
      <formula>0.85</formula>
    </cfRule>
  </conditionalFormatting>
  <conditionalFormatting sqref="N27">
    <cfRule type="cellIs" dxfId="5347" priority="51" operator="greaterThan">
      <formula>0.9</formula>
    </cfRule>
    <cfRule type="cellIs" dxfId="5346" priority="52" operator="greaterThan">
      <formula>0.85</formula>
    </cfRule>
  </conditionalFormatting>
  <conditionalFormatting sqref="E27">
    <cfRule type="expression" dxfId="5345" priority="47">
      <formula>AND(IF(OR($Q27=1,$Q27=2),1,0),IF($X27&lt;=20,1,0))</formula>
    </cfRule>
    <cfRule type="expression" dxfId="5344" priority="48">
      <formula>AND(IF($Q27=2,1,0),IF($X27&lt;30,1,0))</formula>
    </cfRule>
    <cfRule type="expression" dxfId="5343" priority="49">
      <formula>AND(IF($Q27=3,1,0),IF($X27&lt;30,1,0))</formula>
    </cfRule>
    <cfRule type="expression" dxfId="5342" priority="50">
      <formula>AND(IF($Q27=3,1,IF($Q27=4,1,0)),IF($F27&lt;=85,1,0))</formula>
    </cfRule>
  </conditionalFormatting>
  <conditionalFormatting sqref="X27">
    <cfRule type="expression" dxfId="5341" priority="43">
      <formula>AND(IF(OR($Q27=1,$Q27=2),1,0),IF($X27&lt;=20,1,0))</formula>
    </cfRule>
    <cfRule type="expression" dxfId="5340" priority="44">
      <formula>AND(IF($Q27=2,1,0),IF($X27&lt;30,1,0))</formula>
    </cfRule>
    <cfRule type="expression" dxfId="5339" priority="45">
      <formula>AND(IF($Q27=3,1,0),IF($X27&lt;30,1,0))</formula>
    </cfRule>
    <cfRule type="expression" dxfId="5338" priority="46">
      <formula>AND(IF($Q27=3,1,IF($Q27=4,1,0)),IF($F27&lt;=85,1,0))</formula>
    </cfRule>
  </conditionalFormatting>
  <conditionalFormatting sqref="AI27">
    <cfRule type="expression" dxfId="5337" priority="39">
      <formula>AND(IF(OR($Q27=1,$Q27=2),1,0),IF($X27&lt;=20,1,0))</formula>
    </cfRule>
    <cfRule type="expression" dxfId="5336" priority="40">
      <formula>AND(IF($Q27=2,1,0),IF($X27&lt;30,1,0))</formula>
    </cfRule>
    <cfRule type="expression" dxfId="5335" priority="41">
      <formula>AND(IF($Q27=3,1,0),IF($X27&lt;30,1,0))</formula>
    </cfRule>
    <cfRule type="expression" dxfId="5334" priority="42">
      <formula>AND(IF($Q27=3,1,IF($Q27=4,1,0)),IF($F27&lt;=85,1,0))</formula>
    </cfRule>
  </conditionalFormatting>
  <conditionalFormatting sqref="AV28">
    <cfRule type="expression" dxfId="5333" priority="37">
      <formula>AV28="X"</formula>
    </cfRule>
    <cfRule type="expression" dxfId="5332" priority="38">
      <formula>AV28="후보"</formula>
    </cfRule>
  </conditionalFormatting>
  <conditionalFormatting sqref="Z2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5331" priority="34" operator="greaterThan">
      <formula>0.9</formula>
    </cfRule>
    <cfRule type="cellIs" dxfId="5330" priority="35" operator="greaterThan">
      <formula>0.85</formula>
    </cfRule>
  </conditionalFormatting>
  <conditionalFormatting sqref="N28">
    <cfRule type="cellIs" dxfId="5329" priority="32" operator="greaterThan">
      <formula>0.9</formula>
    </cfRule>
    <cfRule type="cellIs" dxfId="5328" priority="33" operator="greaterThan">
      <formula>0.85</formula>
    </cfRule>
  </conditionalFormatting>
  <conditionalFormatting sqref="E28">
    <cfRule type="expression" dxfId="5327" priority="28">
      <formula>AND(IF(OR($Q28=1,$Q28=2),1,0),IF($X28&lt;=20,1,0))</formula>
    </cfRule>
    <cfRule type="expression" dxfId="5326" priority="29">
      <formula>AND(IF($Q28=2,1,0),IF($X28&lt;30,1,0))</formula>
    </cfRule>
    <cfRule type="expression" dxfId="5325" priority="30">
      <formula>AND(IF($Q28=3,1,0),IF($X28&lt;30,1,0))</formula>
    </cfRule>
    <cfRule type="expression" dxfId="5324" priority="31">
      <formula>AND(IF($Q28=3,1,IF($Q28=4,1,0)),IF($F28&lt;=85,1,0))</formula>
    </cfRule>
  </conditionalFormatting>
  <conditionalFormatting sqref="X28">
    <cfRule type="expression" dxfId="5323" priority="24">
      <formula>AND(IF(OR($Q28=1,$Q28=2),1,0),IF($X28&lt;=20,1,0))</formula>
    </cfRule>
    <cfRule type="expression" dxfId="5322" priority="25">
      <formula>AND(IF($Q28=2,1,0),IF($X28&lt;30,1,0))</formula>
    </cfRule>
    <cfRule type="expression" dxfId="5321" priority="26">
      <formula>AND(IF($Q28=3,1,0),IF($X28&lt;30,1,0))</formula>
    </cfRule>
    <cfRule type="expression" dxfId="5320" priority="27">
      <formula>AND(IF($Q28=3,1,IF($Q28=4,1,0)),IF($F28&lt;=85,1,0))</formula>
    </cfRule>
  </conditionalFormatting>
  <conditionalFormatting sqref="AI28">
    <cfRule type="expression" dxfId="5319" priority="20">
      <formula>AND(IF(OR($Q28=1,$Q28=2),1,0),IF($X28&lt;=20,1,0))</formula>
    </cfRule>
    <cfRule type="expression" dxfId="5318" priority="21">
      <formula>AND(IF($Q28=2,1,0),IF($X28&lt;30,1,0))</formula>
    </cfRule>
    <cfRule type="expression" dxfId="5317" priority="22">
      <formula>AND(IF($Q28=3,1,0),IF($X28&lt;30,1,0))</formula>
    </cfRule>
    <cfRule type="expression" dxfId="5316" priority="23">
      <formula>AND(IF($Q28=3,1,IF($Q28=4,1,0)),IF($F28&lt;=85,1,0))</formula>
    </cfRule>
  </conditionalFormatting>
  <conditionalFormatting sqref="AV29">
    <cfRule type="expression" dxfId="5315" priority="18">
      <formula>AV29="X"</formula>
    </cfRule>
    <cfRule type="expression" dxfId="5314" priority="19">
      <formula>AV29="후보"</formula>
    </cfRule>
  </conditionalFormatting>
  <conditionalFormatting sqref="Z2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5313" priority="15" operator="greaterThan">
      <formula>0.9</formula>
    </cfRule>
    <cfRule type="cellIs" dxfId="5312" priority="16" operator="greaterThan">
      <formula>0.85</formula>
    </cfRule>
  </conditionalFormatting>
  <conditionalFormatting sqref="N29">
    <cfRule type="cellIs" dxfId="5311" priority="13" operator="greaterThan">
      <formula>0.9</formula>
    </cfRule>
    <cfRule type="cellIs" dxfId="5310" priority="14" operator="greaterThan">
      <formula>0.85</formula>
    </cfRule>
  </conditionalFormatting>
  <conditionalFormatting sqref="E29">
    <cfRule type="expression" dxfId="5309" priority="9">
      <formula>AND(IF(OR($Q29=1,$Q29=2),1,0),IF($X29&lt;=20,1,0))</formula>
    </cfRule>
    <cfRule type="expression" dxfId="5308" priority="10">
      <formula>AND(IF($Q29=2,1,0),IF($X29&lt;30,1,0))</formula>
    </cfRule>
    <cfRule type="expression" dxfId="5307" priority="11">
      <formula>AND(IF($Q29=3,1,0),IF($X29&lt;30,1,0))</formula>
    </cfRule>
    <cfRule type="expression" dxfId="5306" priority="12">
      <formula>AND(IF($Q29=3,1,IF($Q29=4,1,0)),IF($F29&lt;=85,1,0))</formula>
    </cfRule>
  </conditionalFormatting>
  <conditionalFormatting sqref="X29">
    <cfRule type="expression" dxfId="5305" priority="5">
      <formula>AND(IF(OR($Q29=1,$Q29=2),1,0),IF($X29&lt;=20,1,0))</formula>
    </cfRule>
    <cfRule type="expression" dxfId="5304" priority="6">
      <formula>AND(IF($Q29=2,1,0),IF($X29&lt;30,1,0))</formula>
    </cfRule>
    <cfRule type="expression" dxfId="5303" priority="7">
      <formula>AND(IF($Q29=3,1,0),IF($X29&lt;30,1,0))</formula>
    </cfRule>
    <cfRule type="expression" dxfId="5302" priority="8">
      <formula>AND(IF($Q29=3,1,IF($Q29=4,1,0)),IF($F29&lt;=85,1,0))</formula>
    </cfRule>
  </conditionalFormatting>
  <conditionalFormatting sqref="AI29">
    <cfRule type="expression" dxfId="5301" priority="1">
      <formula>AND(IF(OR($Q29=1,$Q29=2),1,0),IF($X29&lt;=20,1,0))</formula>
    </cfRule>
    <cfRule type="expression" dxfId="5300" priority="2">
      <formula>AND(IF($Q29=2,1,0),IF($X29&lt;30,1,0))</formula>
    </cfRule>
    <cfRule type="expression" dxfId="5299" priority="3">
      <formula>AND(IF($Q29=3,1,0),IF($X29&lt;30,1,0))</formula>
    </cfRule>
    <cfRule type="expression" dxfId="5298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동양동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1407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동양동 동양휴먼빌('07.10.,466^)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1408</v>
      </c>
      <c r="B6" s="16" t="s">
        <v>1409</v>
      </c>
      <c r="C6" s="28">
        <v>466</v>
      </c>
      <c r="D6" s="25">
        <v>110.6</v>
      </c>
      <c r="E6" s="106">
        <v>33</v>
      </c>
      <c r="F6" s="25">
        <v>84.8</v>
      </c>
      <c r="G6" s="27">
        <v>26</v>
      </c>
      <c r="H6" s="28">
        <v>317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110</v>
      </c>
      <c r="U6" s="13"/>
      <c r="W6" s="25">
        <f>D6</f>
        <v>110.6</v>
      </c>
      <c r="X6" s="106">
        <f>E6</f>
        <v>33</v>
      </c>
      <c r="Y6" s="32">
        <f>H6</f>
        <v>317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동양휴먼빌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1408</v>
      </c>
      <c r="B7" s="16" t="s">
        <v>1409</v>
      </c>
      <c r="C7" s="28">
        <v>466</v>
      </c>
      <c r="D7" s="25">
        <v>142.9</v>
      </c>
      <c r="E7" s="106">
        <v>43</v>
      </c>
      <c r="F7" s="25">
        <v>114.8</v>
      </c>
      <c r="G7" s="27">
        <v>35</v>
      </c>
      <c r="H7" s="28">
        <v>149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64</v>
      </c>
      <c r="T7" s="8">
        <v>142</v>
      </c>
      <c r="U7" s="13"/>
      <c r="W7" s="25">
        <f>D7</f>
        <v>142.9</v>
      </c>
      <c r="X7" s="106">
        <f>E7</f>
        <v>43</v>
      </c>
      <c r="Y7" s="32">
        <f>H7</f>
        <v>149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동양휴먼빌</v>
      </c>
      <c r="AI7" s="106">
        <f>IF(E7="","",E7)</f>
        <v>43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동양동 한진해모로('06.06.,478^)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1410</v>
      </c>
      <c r="B9" s="16" t="s">
        <v>1411</v>
      </c>
      <c r="C9" s="28">
        <v>478</v>
      </c>
      <c r="D9" s="25">
        <v>79</v>
      </c>
      <c r="E9" s="106">
        <v>24</v>
      </c>
      <c r="F9" s="25">
        <v>59.6</v>
      </c>
      <c r="G9" s="27">
        <v>18</v>
      </c>
      <c r="H9" s="28">
        <v>478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64</v>
      </c>
      <c r="T9" s="8">
        <v>79</v>
      </c>
      <c r="U9" s="13"/>
      <c r="W9" s="25">
        <f>D9</f>
        <v>79</v>
      </c>
      <c r="X9" s="106">
        <f>E9</f>
        <v>24</v>
      </c>
      <c r="Y9" s="32">
        <f>H9</f>
        <v>478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한진해모로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5297" priority="63">
      <formula>AV4="X"</formula>
    </cfRule>
    <cfRule type="expression" dxfId="5296" priority="64">
      <formula>AV4="후보"</formula>
    </cfRule>
  </conditionalFormatting>
  <conditionalFormatting sqref="Z2:Z6">
    <cfRule type="colorScale" priority="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295" priority="60" operator="greaterThan">
      <formula>0.9</formula>
    </cfRule>
    <cfRule type="cellIs" dxfId="5294" priority="61" operator="greaterThan">
      <formula>0.85</formula>
    </cfRule>
  </conditionalFormatting>
  <conditionalFormatting sqref="N1:N2">
    <cfRule type="cellIs" dxfId="5293" priority="58" operator="greaterThan">
      <formula>0.9</formula>
    </cfRule>
    <cfRule type="cellIs" dxfId="5292" priority="59" operator="greaterThan">
      <formula>0.85</formula>
    </cfRule>
  </conditionalFormatting>
  <conditionalFormatting sqref="N6">
    <cfRule type="cellIs" dxfId="5291" priority="56" operator="greaterThan">
      <formula>0.9</formula>
    </cfRule>
    <cfRule type="cellIs" dxfId="5290" priority="57" operator="greaterThan">
      <formula>0.85</formula>
    </cfRule>
  </conditionalFormatting>
  <conditionalFormatting sqref="E6">
    <cfRule type="expression" dxfId="5289" priority="52">
      <formula>AND(IF(OR($Q6=1,$Q6=2),1,0),IF($X6&lt;=20,1,0))</formula>
    </cfRule>
    <cfRule type="expression" dxfId="5288" priority="53">
      <formula>AND(IF($Q6=2,1,0),IF($X6&lt;30,1,0))</formula>
    </cfRule>
    <cfRule type="expression" dxfId="5287" priority="54">
      <formula>AND(IF($Q6=3,1,0),IF($X6&lt;30,1,0))</formula>
    </cfRule>
    <cfRule type="expression" dxfId="5286" priority="55">
      <formula>AND(IF($Q6=3,1,IF($Q6=4,1,0)),IF($F6&lt;=85,1,0))</formula>
    </cfRule>
  </conditionalFormatting>
  <conditionalFormatting sqref="X6">
    <cfRule type="expression" dxfId="5285" priority="48">
      <formula>AND(IF(OR($Q6=1,$Q6=2),1,0),IF($X6&lt;=20,1,0))</formula>
    </cfRule>
    <cfRule type="expression" dxfId="5284" priority="49">
      <formula>AND(IF($Q6=2,1,0),IF($X6&lt;30,1,0))</formula>
    </cfRule>
    <cfRule type="expression" dxfId="5283" priority="50">
      <formula>AND(IF($Q6=3,1,0),IF($X6&lt;30,1,0))</formula>
    </cfRule>
    <cfRule type="expression" dxfId="5282" priority="51">
      <formula>AND(IF($Q6=3,1,IF($Q6=4,1,0)),IF($F6&lt;=85,1,0))</formula>
    </cfRule>
  </conditionalFormatting>
  <conditionalFormatting sqref="AI6">
    <cfRule type="expression" dxfId="5281" priority="44">
      <formula>AND(IF(OR($Q6=1,$Q6=2),1,0),IF($X6&lt;=20,1,0))</formula>
    </cfRule>
    <cfRule type="expression" dxfId="5280" priority="45">
      <formula>AND(IF($Q6=2,1,0),IF($X6&lt;30,1,0))</formula>
    </cfRule>
    <cfRule type="expression" dxfId="5279" priority="46">
      <formula>AND(IF($Q6=3,1,0),IF($X6&lt;30,1,0))</formula>
    </cfRule>
    <cfRule type="expression" dxfId="5278" priority="47">
      <formula>AND(IF($Q6=3,1,IF($Q6=4,1,0)),IF($F6&lt;=85,1,0))</formula>
    </cfRule>
  </conditionalFormatting>
  <conditionalFormatting sqref="AV7">
    <cfRule type="expression" dxfId="5277" priority="42">
      <formula>AV7="X"</formula>
    </cfRule>
    <cfRule type="expression" dxfId="5276" priority="43">
      <formula>AV7="후보"</formula>
    </cfRule>
  </conditionalFormatting>
  <conditionalFormatting sqref="Z7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275" priority="39" operator="greaterThan">
      <formula>0.9</formula>
    </cfRule>
    <cfRule type="cellIs" dxfId="5274" priority="40" operator="greaterThan">
      <formula>0.85</formula>
    </cfRule>
  </conditionalFormatting>
  <conditionalFormatting sqref="N7">
    <cfRule type="cellIs" dxfId="5273" priority="37" operator="greaterThan">
      <formula>0.9</formula>
    </cfRule>
    <cfRule type="cellIs" dxfId="5272" priority="38" operator="greaterThan">
      <formula>0.85</formula>
    </cfRule>
  </conditionalFormatting>
  <conditionalFormatting sqref="E7">
    <cfRule type="expression" dxfId="5271" priority="33">
      <formula>AND(IF(OR($Q7=1,$Q7=2),1,0),IF($X7&lt;=20,1,0))</formula>
    </cfRule>
    <cfRule type="expression" dxfId="5270" priority="34">
      <formula>AND(IF($Q7=2,1,0),IF($X7&lt;30,1,0))</formula>
    </cfRule>
    <cfRule type="expression" dxfId="5269" priority="35">
      <formula>AND(IF($Q7=3,1,0),IF($X7&lt;30,1,0))</formula>
    </cfRule>
    <cfRule type="expression" dxfId="5268" priority="36">
      <formula>AND(IF($Q7=3,1,IF($Q7=4,1,0)),IF($F7&lt;=85,1,0))</formula>
    </cfRule>
  </conditionalFormatting>
  <conditionalFormatting sqref="X7">
    <cfRule type="expression" dxfId="5267" priority="29">
      <formula>AND(IF(OR($Q7=1,$Q7=2),1,0),IF($X7&lt;=20,1,0))</formula>
    </cfRule>
    <cfRule type="expression" dxfId="5266" priority="30">
      <formula>AND(IF($Q7=2,1,0),IF($X7&lt;30,1,0))</formula>
    </cfRule>
    <cfRule type="expression" dxfId="5265" priority="31">
      <formula>AND(IF($Q7=3,1,0),IF($X7&lt;30,1,0))</formula>
    </cfRule>
    <cfRule type="expression" dxfId="5264" priority="32">
      <formula>AND(IF($Q7=3,1,IF($Q7=4,1,0)),IF($F7&lt;=85,1,0))</formula>
    </cfRule>
  </conditionalFormatting>
  <conditionalFormatting sqref="AI7">
    <cfRule type="expression" dxfId="5263" priority="25">
      <formula>AND(IF(OR($Q7=1,$Q7=2),1,0),IF($X7&lt;=20,1,0))</formula>
    </cfRule>
    <cfRule type="expression" dxfId="5262" priority="26">
      <formula>AND(IF($Q7=2,1,0),IF($X7&lt;30,1,0))</formula>
    </cfRule>
    <cfRule type="expression" dxfId="5261" priority="27">
      <formula>AND(IF($Q7=3,1,0),IF($X7&lt;30,1,0))</formula>
    </cfRule>
    <cfRule type="expression" dxfId="5260" priority="28">
      <formula>AND(IF($Q7=3,1,IF($Q7=4,1,0)),IF($F7&lt;=85,1,0))</formula>
    </cfRule>
  </conditionalFormatting>
  <conditionalFormatting sqref="AV8">
    <cfRule type="expression" dxfId="5259" priority="23">
      <formula>AV8="X"</formula>
    </cfRule>
    <cfRule type="expression" dxfId="5258" priority="24">
      <formula>AV8="후보"</formula>
    </cfRule>
  </conditionalFormatting>
  <conditionalFormatting sqref="Z8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5257" priority="20" operator="greaterThan">
      <formula>0.9</formula>
    </cfRule>
    <cfRule type="cellIs" dxfId="5256" priority="21" operator="greaterThan">
      <formula>0.85</formula>
    </cfRule>
  </conditionalFormatting>
  <conditionalFormatting sqref="AV9">
    <cfRule type="expression" dxfId="5255" priority="18">
      <formula>AV9="X"</formula>
    </cfRule>
    <cfRule type="expression" dxfId="5254" priority="19">
      <formula>AV9="후보"</formula>
    </cfRule>
  </conditionalFormatting>
  <conditionalFormatting sqref="Z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253" priority="15" operator="greaterThan">
      <formula>0.9</formula>
    </cfRule>
    <cfRule type="cellIs" dxfId="5252" priority="16" operator="greaterThan">
      <formula>0.85</formula>
    </cfRule>
  </conditionalFormatting>
  <conditionalFormatting sqref="N9">
    <cfRule type="cellIs" dxfId="5251" priority="13" operator="greaterThan">
      <formula>0.9</formula>
    </cfRule>
    <cfRule type="cellIs" dxfId="5250" priority="14" operator="greaterThan">
      <formula>0.85</formula>
    </cfRule>
  </conditionalFormatting>
  <conditionalFormatting sqref="E9">
    <cfRule type="expression" dxfId="5249" priority="9">
      <formula>AND(IF(OR($Q9=1,$Q9=2),1,0),IF($X9&lt;=20,1,0))</formula>
    </cfRule>
    <cfRule type="expression" dxfId="5248" priority="10">
      <formula>AND(IF($Q9=2,1,0),IF($X9&lt;30,1,0))</formula>
    </cfRule>
    <cfRule type="expression" dxfId="5247" priority="11">
      <formula>AND(IF($Q9=3,1,0),IF($X9&lt;30,1,0))</formula>
    </cfRule>
    <cfRule type="expression" dxfId="5246" priority="12">
      <formula>AND(IF($Q9=3,1,IF($Q9=4,1,0)),IF($F9&lt;=85,1,0))</formula>
    </cfRule>
  </conditionalFormatting>
  <conditionalFormatting sqref="X9">
    <cfRule type="expression" dxfId="5245" priority="5">
      <formula>AND(IF(OR($Q9=1,$Q9=2),1,0),IF($X9&lt;=20,1,0))</formula>
    </cfRule>
    <cfRule type="expression" dxfId="5244" priority="6">
      <formula>AND(IF($Q9=2,1,0),IF($X9&lt;30,1,0))</formula>
    </cfRule>
    <cfRule type="expression" dxfId="5243" priority="7">
      <formula>AND(IF($Q9=3,1,0),IF($X9&lt;30,1,0))</formula>
    </cfRule>
    <cfRule type="expression" dxfId="5242" priority="8">
      <formula>AND(IF($Q9=3,1,IF($Q9=4,1,0)),IF($F9&lt;=85,1,0))</formula>
    </cfRule>
  </conditionalFormatting>
  <conditionalFormatting sqref="AI9">
    <cfRule type="expression" dxfId="5241" priority="1">
      <formula>AND(IF(OR($Q9=1,$Q9=2),1,0),IF($X9&lt;=20,1,0))</formula>
    </cfRule>
    <cfRule type="expression" dxfId="5240" priority="2">
      <formula>AND(IF($Q9=2,1,0),IF($X9&lt;30,1,0))</formula>
    </cfRule>
    <cfRule type="expression" dxfId="5239" priority="3">
      <formula>AND(IF($Q9=3,1,0),IF($X9&lt;30,1,0))</formula>
    </cfRule>
    <cfRule type="expression" dxfId="5238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박촌동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1412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박촌동 계양하우스토리1차('09.11.,257^)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1413</v>
      </c>
      <c r="B6" s="16" t="s">
        <v>1414</v>
      </c>
      <c r="C6" s="28">
        <v>257</v>
      </c>
      <c r="D6" s="25">
        <v>109.6</v>
      </c>
      <c r="E6" s="106">
        <v>33</v>
      </c>
      <c r="F6" s="25">
        <v>85</v>
      </c>
      <c r="G6" s="27">
        <v>26</v>
      </c>
      <c r="H6" s="28">
        <v>86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486</v>
      </c>
      <c r="U6" s="13"/>
      <c r="W6" s="25">
        <f>D6</f>
        <v>109.6</v>
      </c>
      <c r="X6" s="106">
        <f>E6</f>
        <v>33</v>
      </c>
      <c r="Y6" s="32">
        <f>H6</f>
        <v>86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계양하우스토리1차</v>
      </c>
      <c r="AI6" s="106">
        <f>IF(E6="","",E6)</f>
        <v>33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1413</v>
      </c>
      <c r="B7" s="16" t="s">
        <v>1414</v>
      </c>
      <c r="C7" s="28">
        <v>257</v>
      </c>
      <c r="D7" s="25">
        <v>109.9</v>
      </c>
      <c r="E7" s="106">
        <v>33</v>
      </c>
      <c r="F7" s="25">
        <v>85</v>
      </c>
      <c r="G7" s="27">
        <v>26</v>
      </c>
      <c r="H7" s="28">
        <v>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1415</v>
      </c>
      <c r="U7" s="13"/>
      <c r="W7" s="25">
        <f>D7</f>
        <v>109.9</v>
      </c>
      <c r="X7" s="106">
        <f>E7</f>
        <v>33</v>
      </c>
      <c r="Y7" s="32">
        <f>H7</f>
        <v>60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계양하우스토리1차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1413</v>
      </c>
      <c r="B8" s="16" t="s">
        <v>1414</v>
      </c>
      <c r="C8" s="28">
        <v>257</v>
      </c>
      <c r="D8" s="25">
        <v>109.8</v>
      </c>
      <c r="E8" s="106">
        <v>33</v>
      </c>
      <c r="F8" s="25">
        <v>85</v>
      </c>
      <c r="G8" s="27">
        <v>26</v>
      </c>
      <c r="H8" s="28">
        <v>15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64</v>
      </c>
      <c r="T8" s="8" t="s">
        <v>1416</v>
      </c>
      <c r="U8" s="13"/>
      <c r="W8" s="25">
        <f>D8</f>
        <v>109.8</v>
      </c>
      <c r="X8" s="106">
        <f>E8</f>
        <v>33</v>
      </c>
      <c r="Y8" s="32">
        <f>H8</f>
        <v>15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계양하우스토리1차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1413</v>
      </c>
      <c r="B9" s="16" t="s">
        <v>1414</v>
      </c>
      <c r="C9" s="28">
        <v>257</v>
      </c>
      <c r="D9" s="25">
        <v>128.19999999999999</v>
      </c>
      <c r="E9" s="106">
        <v>39</v>
      </c>
      <c r="F9" s="25">
        <v>101.4</v>
      </c>
      <c r="G9" s="27">
        <v>31</v>
      </c>
      <c r="H9" s="28">
        <v>70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64</v>
      </c>
      <c r="T9" s="8">
        <v>128</v>
      </c>
      <c r="U9" s="13"/>
      <c r="W9" s="25">
        <f>D9</f>
        <v>128.19999999999999</v>
      </c>
      <c r="X9" s="106">
        <f>E9</f>
        <v>39</v>
      </c>
      <c r="Y9" s="32">
        <f>H9</f>
        <v>70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계양하우스토리1차</v>
      </c>
      <c r="AI9" s="106">
        <f>IF(E9="","",E9)</f>
        <v>39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1413</v>
      </c>
      <c r="B10" s="16" t="s">
        <v>1414</v>
      </c>
      <c r="C10" s="28">
        <v>257</v>
      </c>
      <c r="D10" s="25">
        <v>160.69999999999999</v>
      </c>
      <c r="E10" s="106">
        <v>49</v>
      </c>
      <c r="F10" s="25">
        <v>138.19999999999999</v>
      </c>
      <c r="G10" s="27">
        <v>42</v>
      </c>
      <c r="H10" s="28">
        <v>13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64</v>
      </c>
      <c r="T10" s="8" t="s">
        <v>1417</v>
      </c>
      <c r="U10" s="13"/>
      <c r="W10" s="25">
        <f>D10</f>
        <v>160.69999999999999</v>
      </c>
      <c r="X10" s="106">
        <f>E10</f>
        <v>49</v>
      </c>
      <c r="Y10" s="32">
        <f>H10</f>
        <v>13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계양하우스토리1차</v>
      </c>
      <c r="AI10" s="106">
        <f>IF(E10="","",E10)</f>
        <v>49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1413</v>
      </c>
      <c r="B11" s="16" t="s">
        <v>1414</v>
      </c>
      <c r="C11" s="28">
        <v>257</v>
      </c>
      <c r="D11" s="25">
        <v>161.9</v>
      </c>
      <c r="E11" s="106">
        <v>49</v>
      </c>
      <c r="F11" s="25">
        <v>138.6</v>
      </c>
      <c r="G11" s="27">
        <v>42</v>
      </c>
      <c r="H11" s="28">
        <v>13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64</v>
      </c>
      <c r="T11" s="8" t="s">
        <v>1418</v>
      </c>
      <c r="U11" s="13"/>
      <c r="W11" s="25">
        <f>D11</f>
        <v>161.9</v>
      </c>
      <c r="X11" s="106">
        <f>E11</f>
        <v>49</v>
      </c>
      <c r="Y11" s="32">
        <f>H11</f>
        <v>13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계양하우스토리1차</v>
      </c>
      <c r="AI11" s="106">
        <f>IF(E11="","",E11)</f>
        <v>49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박촌동 박촌풍림아이원('05.11.,207^)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1419</v>
      </c>
      <c r="B13" s="16" t="s">
        <v>1420</v>
      </c>
      <c r="C13" s="28">
        <v>207</v>
      </c>
      <c r="D13" s="25">
        <v>82.3</v>
      </c>
      <c r="E13" s="106">
        <v>25</v>
      </c>
      <c r="F13" s="25">
        <v>59.9</v>
      </c>
      <c r="G13" s="27">
        <v>18</v>
      </c>
      <c r="H13" s="28">
        <v>16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64</v>
      </c>
      <c r="T13" s="8">
        <v>82</v>
      </c>
      <c r="U13" s="13"/>
      <c r="W13" s="25">
        <f>D13</f>
        <v>82.3</v>
      </c>
      <c r="X13" s="106">
        <f>E13</f>
        <v>25</v>
      </c>
      <c r="Y13" s="32">
        <f>H13</f>
        <v>16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박촌풍림아이원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1419</v>
      </c>
      <c r="B14" s="16" t="s">
        <v>1420</v>
      </c>
      <c r="C14" s="28">
        <v>207</v>
      </c>
      <c r="D14" s="25">
        <v>106.4</v>
      </c>
      <c r="E14" s="106">
        <v>32</v>
      </c>
      <c r="F14" s="25">
        <v>85</v>
      </c>
      <c r="G14" s="27">
        <v>26</v>
      </c>
      <c r="H14" s="28">
        <v>191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64</v>
      </c>
      <c r="T14" s="8">
        <v>106</v>
      </c>
      <c r="U14" s="13"/>
      <c r="W14" s="25">
        <f>D14</f>
        <v>106.4</v>
      </c>
      <c r="X14" s="106">
        <f>E14</f>
        <v>32</v>
      </c>
      <c r="Y14" s="32">
        <f>H14</f>
        <v>191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박촌풍림아이원</v>
      </c>
      <c r="AI14" s="106">
        <f>IF(E14="","",E14)</f>
        <v>32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박촌동 한화꿈에그린('05.11.,670^)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1421</v>
      </c>
      <c r="B16" s="16" t="s">
        <v>1420</v>
      </c>
      <c r="C16" s="28">
        <v>670</v>
      </c>
      <c r="D16" s="25">
        <v>81.900000000000006</v>
      </c>
      <c r="E16" s="106">
        <v>25</v>
      </c>
      <c r="F16" s="25">
        <v>60</v>
      </c>
      <c r="G16" s="27">
        <v>18</v>
      </c>
      <c r="H16" s="28">
        <v>140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64</v>
      </c>
      <c r="T16" s="8">
        <v>81</v>
      </c>
      <c r="U16" s="13"/>
      <c r="W16" s="25">
        <f>D16</f>
        <v>81.900000000000006</v>
      </c>
      <c r="X16" s="106">
        <f>E16</f>
        <v>25</v>
      </c>
      <c r="Y16" s="32">
        <f>H16</f>
        <v>140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한화꿈에그린</v>
      </c>
      <c r="AI16" s="106">
        <f>IF(E16="","",E16)</f>
        <v>25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1421</v>
      </c>
      <c r="B17" s="16" t="s">
        <v>1420</v>
      </c>
      <c r="C17" s="28">
        <v>670</v>
      </c>
      <c r="D17" s="25">
        <v>106.1</v>
      </c>
      <c r="E17" s="106">
        <v>32</v>
      </c>
      <c r="F17" s="25">
        <v>85</v>
      </c>
      <c r="G17" s="27">
        <v>26</v>
      </c>
      <c r="H17" s="28">
        <v>530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64</v>
      </c>
      <c r="T17" s="8">
        <v>106</v>
      </c>
      <c r="U17" s="13"/>
      <c r="W17" s="25">
        <f>D17</f>
        <v>106.1</v>
      </c>
      <c r="X17" s="106">
        <f>E17</f>
        <v>32</v>
      </c>
      <c r="Y17" s="32">
        <f>H17</f>
        <v>530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한화꿈에그린</v>
      </c>
      <c r="AI17" s="106">
        <f>IF(E17="","",E17)</f>
        <v>32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박촌동 계양한양수자인('11.12.,376^)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1422</v>
      </c>
      <c r="B19" s="16" t="s">
        <v>1423</v>
      </c>
      <c r="C19" s="28">
        <v>376</v>
      </c>
      <c r="D19" s="25">
        <v>80.099999999999994</v>
      </c>
      <c r="E19" s="106">
        <v>24</v>
      </c>
      <c r="F19" s="25">
        <v>60</v>
      </c>
      <c r="G19" s="27">
        <v>18</v>
      </c>
      <c r="H19" s="28">
        <v>85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64</v>
      </c>
      <c r="T19" s="8">
        <v>80</v>
      </c>
      <c r="U19" s="13"/>
      <c r="W19" s="25">
        <f>D19</f>
        <v>80.099999999999994</v>
      </c>
      <c r="X19" s="106">
        <f>E19</f>
        <v>24</v>
      </c>
      <c r="Y19" s="32">
        <f>H19</f>
        <v>85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계양한양수자인</v>
      </c>
      <c r="AI19" s="106">
        <f>IF(E19="","",E19)</f>
        <v>24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1422</v>
      </c>
      <c r="B20" s="16" t="s">
        <v>1423</v>
      </c>
      <c r="C20" s="28">
        <v>376</v>
      </c>
      <c r="D20" s="25">
        <v>113.7</v>
      </c>
      <c r="E20" s="106">
        <v>34</v>
      </c>
      <c r="F20" s="25">
        <v>85</v>
      </c>
      <c r="G20" s="27">
        <v>26</v>
      </c>
      <c r="H20" s="28">
        <v>133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64</v>
      </c>
      <c r="T20" s="8" t="s">
        <v>1424</v>
      </c>
      <c r="U20" s="13"/>
      <c r="W20" s="25">
        <f>D20</f>
        <v>113.7</v>
      </c>
      <c r="X20" s="106">
        <f>E20</f>
        <v>34</v>
      </c>
      <c r="Y20" s="32">
        <f>H20</f>
        <v>133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계양한양수자인</v>
      </c>
      <c r="AI20" s="106">
        <f>IF(E20="","",E20)</f>
        <v>34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1422</v>
      </c>
      <c r="B21" s="16" t="s">
        <v>1423</v>
      </c>
      <c r="C21" s="28">
        <v>376</v>
      </c>
      <c r="D21" s="25">
        <v>114</v>
      </c>
      <c r="E21" s="106">
        <v>34</v>
      </c>
      <c r="F21" s="25">
        <v>85</v>
      </c>
      <c r="G21" s="27">
        <v>26</v>
      </c>
      <c r="H21" s="28">
        <v>103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64</v>
      </c>
      <c r="T21" s="8" t="s">
        <v>1425</v>
      </c>
      <c r="U21" s="13"/>
      <c r="W21" s="25">
        <f>D21</f>
        <v>114</v>
      </c>
      <c r="X21" s="106">
        <f>E21</f>
        <v>34</v>
      </c>
      <c r="Y21" s="32">
        <f>H21</f>
        <v>103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계양한양수자인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1422</v>
      </c>
      <c r="B22" s="16" t="s">
        <v>1423</v>
      </c>
      <c r="C22" s="28">
        <v>376</v>
      </c>
      <c r="D22" s="25">
        <v>160</v>
      </c>
      <c r="E22" s="106">
        <v>48</v>
      </c>
      <c r="F22" s="25">
        <v>120.9</v>
      </c>
      <c r="G22" s="27">
        <v>37</v>
      </c>
      <c r="H22" s="28">
        <v>55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64</v>
      </c>
      <c r="T22" s="8">
        <v>159</v>
      </c>
      <c r="U22" s="13"/>
      <c r="W22" s="25">
        <f>D22</f>
        <v>160</v>
      </c>
      <c r="X22" s="106">
        <f>E22</f>
        <v>48</v>
      </c>
      <c r="Y22" s="32">
        <f>H22</f>
        <v>55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계양한양수자인</v>
      </c>
      <c r="AI22" s="106">
        <f>IF(E22="","",E22)</f>
        <v>48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5237" priority="282">
      <formula>AV4="X"</formula>
    </cfRule>
    <cfRule type="expression" dxfId="5236" priority="283">
      <formula>AV4="후보"</formula>
    </cfRule>
  </conditionalFormatting>
  <conditionalFormatting sqref="Z2:Z6">
    <cfRule type="colorScale" priority="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235" priority="279" operator="greaterThan">
      <formula>0.9</formula>
    </cfRule>
    <cfRule type="cellIs" dxfId="5234" priority="280" operator="greaterThan">
      <formula>0.85</formula>
    </cfRule>
  </conditionalFormatting>
  <conditionalFormatting sqref="N1:N2">
    <cfRule type="cellIs" dxfId="5233" priority="277" operator="greaterThan">
      <formula>0.9</formula>
    </cfRule>
    <cfRule type="cellIs" dxfId="5232" priority="278" operator="greaterThan">
      <formula>0.85</formula>
    </cfRule>
  </conditionalFormatting>
  <conditionalFormatting sqref="N6">
    <cfRule type="cellIs" dxfId="5231" priority="275" operator="greaterThan">
      <formula>0.9</formula>
    </cfRule>
    <cfRule type="cellIs" dxfId="5230" priority="276" operator="greaterThan">
      <formula>0.85</formula>
    </cfRule>
  </conditionalFormatting>
  <conditionalFormatting sqref="E6">
    <cfRule type="expression" dxfId="5229" priority="271">
      <formula>AND(IF(OR($Q6=1,$Q6=2),1,0),IF($X6&lt;=20,1,0))</formula>
    </cfRule>
    <cfRule type="expression" dxfId="5228" priority="272">
      <formula>AND(IF($Q6=2,1,0),IF($X6&lt;30,1,0))</formula>
    </cfRule>
    <cfRule type="expression" dxfId="5227" priority="273">
      <formula>AND(IF($Q6=3,1,0),IF($X6&lt;30,1,0))</formula>
    </cfRule>
    <cfRule type="expression" dxfId="5226" priority="274">
      <formula>AND(IF($Q6=3,1,IF($Q6=4,1,0)),IF($F6&lt;=85,1,0))</formula>
    </cfRule>
  </conditionalFormatting>
  <conditionalFormatting sqref="X6">
    <cfRule type="expression" dxfId="5225" priority="267">
      <formula>AND(IF(OR($Q6=1,$Q6=2),1,0),IF($X6&lt;=20,1,0))</formula>
    </cfRule>
    <cfRule type="expression" dxfId="5224" priority="268">
      <formula>AND(IF($Q6=2,1,0),IF($X6&lt;30,1,0))</formula>
    </cfRule>
    <cfRule type="expression" dxfId="5223" priority="269">
      <formula>AND(IF($Q6=3,1,0),IF($X6&lt;30,1,0))</formula>
    </cfRule>
    <cfRule type="expression" dxfId="5222" priority="270">
      <formula>AND(IF($Q6=3,1,IF($Q6=4,1,0)),IF($F6&lt;=85,1,0))</formula>
    </cfRule>
  </conditionalFormatting>
  <conditionalFormatting sqref="AI6">
    <cfRule type="expression" dxfId="5221" priority="263">
      <formula>AND(IF(OR($Q6=1,$Q6=2),1,0),IF($X6&lt;=20,1,0))</formula>
    </cfRule>
    <cfRule type="expression" dxfId="5220" priority="264">
      <formula>AND(IF($Q6=2,1,0),IF($X6&lt;30,1,0))</formula>
    </cfRule>
    <cfRule type="expression" dxfId="5219" priority="265">
      <formula>AND(IF($Q6=3,1,0),IF($X6&lt;30,1,0))</formula>
    </cfRule>
    <cfRule type="expression" dxfId="5218" priority="266">
      <formula>AND(IF($Q6=3,1,IF($Q6=4,1,0)),IF($F6&lt;=85,1,0))</formula>
    </cfRule>
  </conditionalFormatting>
  <conditionalFormatting sqref="AV7">
    <cfRule type="expression" dxfId="5217" priority="261">
      <formula>AV7="X"</formula>
    </cfRule>
    <cfRule type="expression" dxfId="5216" priority="262">
      <formula>AV7="후보"</formula>
    </cfRule>
  </conditionalFormatting>
  <conditionalFormatting sqref="Z7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215" priority="258" operator="greaterThan">
      <formula>0.9</formula>
    </cfRule>
    <cfRule type="cellIs" dxfId="5214" priority="259" operator="greaterThan">
      <formula>0.85</formula>
    </cfRule>
  </conditionalFormatting>
  <conditionalFormatting sqref="N7">
    <cfRule type="cellIs" dxfId="5213" priority="256" operator="greaterThan">
      <formula>0.9</formula>
    </cfRule>
    <cfRule type="cellIs" dxfId="5212" priority="257" operator="greaterThan">
      <formula>0.85</formula>
    </cfRule>
  </conditionalFormatting>
  <conditionalFormatting sqref="E7">
    <cfRule type="expression" dxfId="5211" priority="252">
      <formula>AND(IF(OR($Q7=1,$Q7=2),1,0),IF($X7&lt;=20,1,0))</formula>
    </cfRule>
    <cfRule type="expression" dxfId="5210" priority="253">
      <formula>AND(IF($Q7=2,1,0),IF($X7&lt;30,1,0))</formula>
    </cfRule>
    <cfRule type="expression" dxfId="5209" priority="254">
      <formula>AND(IF($Q7=3,1,0),IF($X7&lt;30,1,0))</formula>
    </cfRule>
    <cfRule type="expression" dxfId="5208" priority="255">
      <formula>AND(IF($Q7=3,1,IF($Q7=4,1,0)),IF($F7&lt;=85,1,0))</formula>
    </cfRule>
  </conditionalFormatting>
  <conditionalFormatting sqref="X7">
    <cfRule type="expression" dxfId="5207" priority="248">
      <formula>AND(IF(OR($Q7=1,$Q7=2),1,0),IF($X7&lt;=20,1,0))</formula>
    </cfRule>
    <cfRule type="expression" dxfId="5206" priority="249">
      <formula>AND(IF($Q7=2,1,0),IF($X7&lt;30,1,0))</formula>
    </cfRule>
    <cfRule type="expression" dxfId="5205" priority="250">
      <formula>AND(IF($Q7=3,1,0),IF($X7&lt;30,1,0))</formula>
    </cfRule>
    <cfRule type="expression" dxfId="5204" priority="251">
      <formula>AND(IF($Q7=3,1,IF($Q7=4,1,0)),IF($F7&lt;=85,1,0))</formula>
    </cfRule>
  </conditionalFormatting>
  <conditionalFormatting sqref="AI7">
    <cfRule type="expression" dxfId="5203" priority="244">
      <formula>AND(IF(OR($Q7=1,$Q7=2),1,0),IF($X7&lt;=20,1,0))</formula>
    </cfRule>
    <cfRule type="expression" dxfId="5202" priority="245">
      <formula>AND(IF($Q7=2,1,0),IF($X7&lt;30,1,0))</formula>
    </cfRule>
    <cfRule type="expression" dxfId="5201" priority="246">
      <formula>AND(IF($Q7=3,1,0),IF($X7&lt;30,1,0))</formula>
    </cfRule>
    <cfRule type="expression" dxfId="5200" priority="247">
      <formula>AND(IF($Q7=3,1,IF($Q7=4,1,0)),IF($F7&lt;=85,1,0))</formula>
    </cfRule>
  </conditionalFormatting>
  <conditionalFormatting sqref="AV8">
    <cfRule type="expression" dxfId="5199" priority="242">
      <formula>AV8="X"</formula>
    </cfRule>
    <cfRule type="expression" dxfId="5198" priority="243">
      <formula>AV8="후보"</formula>
    </cfRule>
  </conditionalFormatting>
  <conditionalFormatting sqref="Z8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5197" priority="239" operator="greaterThan">
      <formula>0.9</formula>
    </cfRule>
    <cfRule type="cellIs" dxfId="5196" priority="240" operator="greaterThan">
      <formula>0.85</formula>
    </cfRule>
  </conditionalFormatting>
  <conditionalFormatting sqref="N8">
    <cfRule type="cellIs" dxfId="5195" priority="237" operator="greaterThan">
      <formula>0.9</formula>
    </cfRule>
    <cfRule type="cellIs" dxfId="5194" priority="238" operator="greaterThan">
      <formula>0.85</formula>
    </cfRule>
  </conditionalFormatting>
  <conditionalFormatting sqref="E8">
    <cfRule type="expression" dxfId="5193" priority="233">
      <formula>AND(IF(OR($Q8=1,$Q8=2),1,0),IF($X8&lt;=20,1,0))</formula>
    </cfRule>
    <cfRule type="expression" dxfId="5192" priority="234">
      <formula>AND(IF($Q8=2,1,0),IF($X8&lt;30,1,0))</formula>
    </cfRule>
    <cfRule type="expression" dxfId="5191" priority="235">
      <formula>AND(IF($Q8=3,1,0),IF($X8&lt;30,1,0))</formula>
    </cfRule>
    <cfRule type="expression" dxfId="5190" priority="236">
      <formula>AND(IF($Q8=3,1,IF($Q8=4,1,0)),IF($F8&lt;=85,1,0))</formula>
    </cfRule>
  </conditionalFormatting>
  <conditionalFormatting sqref="X8">
    <cfRule type="expression" dxfId="5189" priority="229">
      <formula>AND(IF(OR($Q8=1,$Q8=2),1,0),IF($X8&lt;=20,1,0))</formula>
    </cfRule>
    <cfRule type="expression" dxfId="5188" priority="230">
      <formula>AND(IF($Q8=2,1,0),IF($X8&lt;30,1,0))</formula>
    </cfRule>
    <cfRule type="expression" dxfId="5187" priority="231">
      <formula>AND(IF($Q8=3,1,0),IF($X8&lt;30,1,0))</formula>
    </cfRule>
    <cfRule type="expression" dxfId="5186" priority="232">
      <formula>AND(IF($Q8=3,1,IF($Q8=4,1,0)),IF($F8&lt;=85,1,0))</formula>
    </cfRule>
  </conditionalFormatting>
  <conditionalFormatting sqref="AI8">
    <cfRule type="expression" dxfId="5185" priority="225">
      <formula>AND(IF(OR($Q8=1,$Q8=2),1,0),IF($X8&lt;=20,1,0))</formula>
    </cfRule>
    <cfRule type="expression" dxfId="5184" priority="226">
      <formula>AND(IF($Q8=2,1,0),IF($X8&lt;30,1,0))</formula>
    </cfRule>
    <cfRule type="expression" dxfId="5183" priority="227">
      <formula>AND(IF($Q8=3,1,0),IF($X8&lt;30,1,0))</formula>
    </cfRule>
    <cfRule type="expression" dxfId="5182" priority="228">
      <formula>AND(IF($Q8=3,1,IF($Q8=4,1,0)),IF($F8&lt;=85,1,0))</formula>
    </cfRule>
  </conditionalFormatting>
  <conditionalFormatting sqref="AV9">
    <cfRule type="expression" dxfId="5181" priority="223">
      <formula>AV9="X"</formula>
    </cfRule>
    <cfRule type="expression" dxfId="5180" priority="224">
      <formula>AV9="후보"</formula>
    </cfRule>
  </conditionalFormatting>
  <conditionalFormatting sqref="Z9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179" priority="220" operator="greaterThan">
      <formula>0.9</formula>
    </cfRule>
    <cfRule type="cellIs" dxfId="5178" priority="221" operator="greaterThan">
      <formula>0.85</formula>
    </cfRule>
  </conditionalFormatting>
  <conditionalFormatting sqref="N9">
    <cfRule type="cellIs" dxfId="5177" priority="218" operator="greaterThan">
      <formula>0.9</formula>
    </cfRule>
    <cfRule type="cellIs" dxfId="5176" priority="219" operator="greaterThan">
      <formula>0.85</formula>
    </cfRule>
  </conditionalFormatting>
  <conditionalFormatting sqref="E9">
    <cfRule type="expression" dxfId="5175" priority="214">
      <formula>AND(IF(OR($Q9=1,$Q9=2),1,0),IF($X9&lt;=20,1,0))</formula>
    </cfRule>
    <cfRule type="expression" dxfId="5174" priority="215">
      <formula>AND(IF($Q9=2,1,0),IF($X9&lt;30,1,0))</formula>
    </cfRule>
    <cfRule type="expression" dxfId="5173" priority="216">
      <formula>AND(IF($Q9=3,1,0),IF($X9&lt;30,1,0))</formula>
    </cfRule>
    <cfRule type="expression" dxfId="5172" priority="217">
      <formula>AND(IF($Q9=3,1,IF($Q9=4,1,0)),IF($F9&lt;=85,1,0))</formula>
    </cfRule>
  </conditionalFormatting>
  <conditionalFormatting sqref="X9">
    <cfRule type="expression" dxfId="5171" priority="210">
      <formula>AND(IF(OR($Q9=1,$Q9=2),1,0),IF($X9&lt;=20,1,0))</formula>
    </cfRule>
    <cfRule type="expression" dxfId="5170" priority="211">
      <formula>AND(IF($Q9=2,1,0),IF($X9&lt;30,1,0))</formula>
    </cfRule>
    <cfRule type="expression" dxfId="5169" priority="212">
      <formula>AND(IF($Q9=3,1,0),IF($X9&lt;30,1,0))</formula>
    </cfRule>
    <cfRule type="expression" dxfId="5168" priority="213">
      <formula>AND(IF($Q9=3,1,IF($Q9=4,1,0)),IF($F9&lt;=85,1,0))</formula>
    </cfRule>
  </conditionalFormatting>
  <conditionalFormatting sqref="AI9">
    <cfRule type="expression" dxfId="5167" priority="206">
      <formula>AND(IF(OR($Q9=1,$Q9=2),1,0),IF($X9&lt;=20,1,0))</formula>
    </cfRule>
    <cfRule type="expression" dxfId="5166" priority="207">
      <formula>AND(IF($Q9=2,1,0),IF($X9&lt;30,1,0))</formula>
    </cfRule>
    <cfRule type="expression" dxfId="5165" priority="208">
      <formula>AND(IF($Q9=3,1,0),IF($X9&lt;30,1,0))</formula>
    </cfRule>
    <cfRule type="expression" dxfId="5164" priority="209">
      <formula>AND(IF($Q9=3,1,IF($Q9=4,1,0)),IF($F9&lt;=85,1,0))</formula>
    </cfRule>
  </conditionalFormatting>
  <conditionalFormatting sqref="AV10">
    <cfRule type="expression" dxfId="5163" priority="204">
      <formula>AV10="X"</formula>
    </cfRule>
    <cfRule type="expression" dxfId="5162" priority="205">
      <formula>AV10="후보"</formula>
    </cfRule>
  </conditionalFormatting>
  <conditionalFormatting sqref="Z10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161" priority="201" operator="greaterThan">
      <formula>0.9</formula>
    </cfRule>
    <cfRule type="cellIs" dxfId="5160" priority="202" operator="greaterThan">
      <formula>0.85</formula>
    </cfRule>
  </conditionalFormatting>
  <conditionalFormatting sqref="N10">
    <cfRule type="cellIs" dxfId="5159" priority="199" operator="greaterThan">
      <formula>0.9</formula>
    </cfRule>
    <cfRule type="cellIs" dxfId="5158" priority="200" operator="greaterThan">
      <formula>0.85</formula>
    </cfRule>
  </conditionalFormatting>
  <conditionalFormatting sqref="E10">
    <cfRule type="expression" dxfId="5157" priority="195">
      <formula>AND(IF(OR($Q10=1,$Q10=2),1,0),IF($X10&lt;=20,1,0))</formula>
    </cfRule>
    <cfRule type="expression" dxfId="5156" priority="196">
      <formula>AND(IF($Q10=2,1,0),IF($X10&lt;30,1,0))</formula>
    </cfRule>
    <cfRule type="expression" dxfId="5155" priority="197">
      <formula>AND(IF($Q10=3,1,0),IF($X10&lt;30,1,0))</formula>
    </cfRule>
    <cfRule type="expression" dxfId="5154" priority="198">
      <formula>AND(IF($Q10=3,1,IF($Q10=4,1,0)),IF($F10&lt;=85,1,0))</formula>
    </cfRule>
  </conditionalFormatting>
  <conditionalFormatting sqref="X10">
    <cfRule type="expression" dxfId="5153" priority="191">
      <formula>AND(IF(OR($Q10=1,$Q10=2),1,0),IF($X10&lt;=20,1,0))</formula>
    </cfRule>
    <cfRule type="expression" dxfId="5152" priority="192">
      <formula>AND(IF($Q10=2,1,0),IF($X10&lt;30,1,0))</formula>
    </cfRule>
    <cfRule type="expression" dxfId="5151" priority="193">
      <formula>AND(IF($Q10=3,1,0),IF($X10&lt;30,1,0))</formula>
    </cfRule>
    <cfRule type="expression" dxfId="5150" priority="194">
      <formula>AND(IF($Q10=3,1,IF($Q10=4,1,0)),IF($F10&lt;=85,1,0))</formula>
    </cfRule>
  </conditionalFormatting>
  <conditionalFormatting sqref="AI10">
    <cfRule type="expression" dxfId="5149" priority="187">
      <formula>AND(IF(OR($Q10=1,$Q10=2),1,0),IF($X10&lt;=20,1,0))</formula>
    </cfRule>
    <cfRule type="expression" dxfId="5148" priority="188">
      <formula>AND(IF($Q10=2,1,0),IF($X10&lt;30,1,0))</formula>
    </cfRule>
    <cfRule type="expression" dxfId="5147" priority="189">
      <formula>AND(IF($Q10=3,1,0),IF($X10&lt;30,1,0))</formula>
    </cfRule>
    <cfRule type="expression" dxfId="5146" priority="190">
      <formula>AND(IF($Q10=3,1,IF($Q10=4,1,0)),IF($F10&lt;=85,1,0))</formula>
    </cfRule>
  </conditionalFormatting>
  <conditionalFormatting sqref="AV11">
    <cfRule type="expression" dxfId="5145" priority="185">
      <formula>AV11="X"</formula>
    </cfRule>
    <cfRule type="expression" dxfId="5144" priority="186">
      <formula>AV11="후보"</formula>
    </cfRule>
  </conditionalFormatting>
  <conditionalFormatting sqref="Z11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143" priority="182" operator="greaterThan">
      <formula>0.9</formula>
    </cfRule>
    <cfRule type="cellIs" dxfId="5142" priority="183" operator="greaterThan">
      <formula>0.85</formula>
    </cfRule>
  </conditionalFormatting>
  <conditionalFormatting sqref="N11">
    <cfRule type="cellIs" dxfId="5141" priority="180" operator="greaterThan">
      <formula>0.9</formula>
    </cfRule>
    <cfRule type="cellIs" dxfId="5140" priority="181" operator="greaterThan">
      <formula>0.85</formula>
    </cfRule>
  </conditionalFormatting>
  <conditionalFormatting sqref="E11">
    <cfRule type="expression" dxfId="5139" priority="176">
      <formula>AND(IF(OR($Q11=1,$Q11=2),1,0),IF($X11&lt;=20,1,0))</formula>
    </cfRule>
    <cfRule type="expression" dxfId="5138" priority="177">
      <formula>AND(IF($Q11=2,1,0),IF($X11&lt;30,1,0))</formula>
    </cfRule>
    <cfRule type="expression" dxfId="5137" priority="178">
      <formula>AND(IF($Q11=3,1,0),IF($X11&lt;30,1,0))</formula>
    </cfRule>
    <cfRule type="expression" dxfId="5136" priority="179">
      <formula>AND(IF($Q11=3,1,IF($Q11=4,1,0)),IF($F11&lt;=85,1,0))</formula>
    </cfRule>
  </conditionalFormatting>
  <conditionalFormatting sqref="X11">
    <cfRule type="expression" dxfId="5135" priority="172">
      <formula>AND(IF(OR($Q11=1,$Q11=2),1,0),IF($X11&lt;=20,1,0))</formula>
    </cfRule>
    <cfRule type="expression" dxfId="5134" priority="173">
      <formula>AND(IF($Q11=2,1,0),IF($X11&lt;30,1,0))</formula>
    </cfRule>
    <cfRule type="expression" dxfId="5133" priority="174">
      <formula>AND(IF($Q11=3,1,0),IF($X11&lt;30,1,0))</formula>
    </cfRule>
    <cfRule type="expression" dxfId="5132" priority="175">
      <formula>AND(IF($Q11=3,1,IF($Q11=4,1,0)),IF($F11&lt;=85,1,0))</formula>
    </cfRule>
  </conditionalFormatting>
  <conditionalFormatting sqref="AI11">
    <cfRule type="expression" dxfId="5131" priority="168">
      <formula>AND(IF(OR($Q11=1,$Q11=2),1,0),IF($X11&lt;=20,1,0))</formula>
    </cfRule>
    <cfRule type="expression" dxfId="5130" priority="169">
      <formula>AND(IF($Q11=2,1,0),IF($X11&lt;30,1,0))</formula>
    </cfRule>
    <cfRule type="expression" dxfId="5129" priority="170">
      <formula>AND(IF($Q11=3,1,0),IF($X11&lt;30,1,0))</formula>
    </cfRule>
    <cfRule type="expression" dxfId="5128" priority="171">
      <formula>AND(IF($Q11=3,1,IF($Q11=4,1,0)),IF($F11&lt;=85,1,0))</formula>
    </cfRule>
  </conditionalFormatting>
  <conditionalFormatting sqref="AV12">
    <cfRule type="expression" dxfId="5127" priority="166">
      <formula>AV12="X"</formula>
    </cfRule>
    <cfRule type="expression" dxfId="5126" priority="167">
      <formula>AV12="후보"</formula>
    </cfRule>
  </conditionalFormatting>
  <conditionalFormatting sqref="Z12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5125" priority="163" operator="greaterThan">
      <formula>0.9</formula>
    </cfRule>
    <cfRule type="cellIs" dxfId="5124" priority="164" operator="greaterThan">
      <formula>0.85</formula>
    </cfRule>
  </conditionalFormatting>
  <conditionalFormatting sqref="AV13">
    <cfRule type="expression" dxfId="5123" priority="161">
      <formula>AV13="X"</formula>
    </cfRule>
    <cfRule type="expression" dxfId="5122" priority="162">
      <formula>AV13="후보"</formula>
    </cfRule>
  </conditionalFormatting>
  <conditionalFormatting sqref="Z13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5121" priority="158" operator="greaterThan">
      <formula>0.9</formula>
    </cfRule>
    <cfRule type="cellIs" dxfId="5120" priority="159" operator="greaterThan">
      <formula>0.85</formula>
    </cfRule>
  </conditionalFormatting>
  <conditionalFormatting sqref="N13">
    <cfRule type="cellIs" dxfId="5119" priority="156" operator="greaterThan">
      <formula>0.9</formula>
    </cfRule>
    <cfRule type="cellIs" dxfId="5118" priority="157" operator="greaterThan">
      <formula>0.85</formula>
    </cfRule>
  </conditionalFormatting>
  <conditionalFormatting sqref="E13">
    <cfRule type="expression" dxfId="5117" priority="152">
      <formula>AND(IF(OR($Q13=1,$Q13=2),1,0),IF($X13&lt;=20,1,0))</formula>
    </cfRule>
    <cfRule type="expression" dxfId="5116" priority="153">
      <formula>AND(IF($Q13=2,1,0),IF($X13&lt;30,1,0))</formula>
    </cfRule>
    <cfRule type="expression" dxfId="5115" priority="154">
      <formula>AND(IF($Q13=3,1,0),IF($X13&lt;30,1,0))</formula>
    </cfRule>
    <cfRule type="expression" dxfId="5114" priority="155">
      <formula>AND(IF($Q13=3,1,IF($Q13=4,1,0)),IF($F13&lt;=85,1,0))</formula>
    </cfRule>
  </conditionalFormatting>
  <conditionalFormatting sqref="X13">
    <cfRule type="expression" dxfId="5113" priority="148">
      <formula>AND(IF(OR($Q13=1,$Q13=2),1,0),IF($X13&lt;=20,1,0))</formula>
    </cfRule>
    <cfRule type="expression" dxfId="5112" priority="149">
      <formula>AND(IF($Q13=2,1,0),IF($X13&lt;30,1,0))</formula>
    </cfRule>
    <cfRule type="expression" dxfId="5111" priority="150">
      <formula>AND(IF($Q13=3,1,0),IF($X13&lt;30,1,0))</formula>
    </cfRule>
    <cfRule type="expression" dxfId="5110" priority="151">
      <formula>AND(IF($Q13=3,1,IF($Q13=4,1,0)),IF($F13&lt;=85,1,0))</formula>
    </cfRule>
  </conditionalFormatting>
  <conditionalFormatting sqref="AI13">
    <cfRule type="expression" dxfId="5109" priority="144">
      <formula>AND(IF(OR($Q13=1,$Q13=2),1,0),IF($X13&lt;=20,1,0))</formula>
    </cfRule>
    <cfRule type="expression" dxfId="5108" priority="145">
      <formula>AND(IF($Q13=2,1,0),IF($X13&lt;30,1,0))</formula>
    </cfRule>
    <cfRule type="expression" dxfId="5107" priority="146">
      <formula>AND(IF($Q13=3,1,0),IF($X13&lt;30,1,0))</formula>
    </cfRule>
    <cfRule type="expression" dxfId="5106" priority="147">
      <formula>AND(IF($Q13=3,1,IF($Q13=4,1,0)),IF($F13&lt;=85,1,0))</formula>
    </cfRule>
  </conditionalFormatting>
  <conditionalFormatting sqref="AV14">
    <cfRule type="expression" dxfId="5105" priority="142">
      <formula>AV14="X"</formula>
    </cfRule>
    <cfRule type="expression" dxfId="5104" priority="143">
      <formula>AV14="후보"</formula>
    </cfRule>
  </conditionalFormatting>
  <conditionalFormatting sqref="Z14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103" priority="139" operator="greaterThan">
      <formula>0.9</formula>
    </cfRule>
    <cfRule type="cellIs" dxfId="5102" priority="140" operator="greaterThan">
      <formula>0.85</formula>
    </cfRule>
  </conditionalFormatting>
  <conditionalFormatting sqref="N14">
    <cfRule type="cellIs" dxfId="5101" priority="137" operator="greaterThan">
      <formula>0.9</formula>
    </cfRule>
    <cfRule type="cellIs" dxfId="5100" priority="138" operator="greaterThan">
      <formula>0.85</formula>
    </cfRule>
  </conditionalFormatting>
  <conditionalFormatting sqref="E14">
    <cfRule type="expression" dxfId="5099" priority="133">
      <formula>AND(IF(OR($Q14=1,$Q14=2),1,0),IF($X14&lt;=20,1,0))</formula>
    </cfRule>
    <cfRule type="expression" dxfId="5098" priority="134">
      <formula>AND(IF($Q14=2,1,0),IF($X14&lt;30,1,0))</formula>
    </cfRule>
    <cfRule type="expression" dxfId="5097" priority="135">
      <formula>AND(IF($Q14=3,1,0),IF($X14&lt;30,1,0))</formula>
    </cfRule>
    <cfRule type="expression" dxfId="5096" priority="136">
      <formula>AND(IF($Q14=3,1,IF($Q14=4,1,0)),IF($F14&lt;=85,1,0))</formula>
    </cfRule>
  </conditionalFormatting>
  <conditionalFormatting sqref="X14">
    <cfRule type="expression" dxfId="5095" priority="129">
      <formula>AND(IF(OR($Q14=1,$Q14=2),1,0),IF($X14&lt;=20,1,0))</formula>
    </cfRule>
    <cfRule type="expression" dxfId="5094" priority="130">
      <formula>AND(IF($Q14=2,1,0),IF($X14&lt;30,1,0))</formula>
    </cfRule>
    <cfRule type="expression" dxfId="5093" priority="131">
      <formula>AND(IF($Q14=3,1,0),IF($X14&lt;30,1,0))</formula>
    </cfRule>
    <cfRule type="expression" dxfId="5092" priority="132">
      <formula>AND(IF($Q14=3,1,IF($Q14=4,1,0)),IF($F14&lt;=85,1,0))</formula>
    </cfRule>
  </conditionalFormatting>
  <conditionalFormatting sqref="AI14">
    <cfRule type="expression" dxfId="5091" priority="125">
      <formula>AND(IF(OR($Q14=1,$Q14=2),1,0),IF($X14&lt;=20,1,0))</formula>
    </cfRule>
    <cfRule type="expression" dxfId="5090" priority="126">
      <formula>AND(IF($Q14=2,1,0),IF($X14&lt;30,1,0))</formula>
    </cfRule>
    <cfRule type="expression" dxfId="5089" priority="127">
      <formula>AND(IF($Q14=3,1,0),IF($X14&lt;30,1,0))</formula>
    </cfRule>
    <cfRule type="expression" dxfId="5088" priority="128">
      <formula>AND(IF($Q14=3,1,IF($Q14=4,1,0)),IF($F14&lt;=85,1,0))</formula>
    </cfRule>
  </conditionalFormatting>
  <conditionalFormatting sqref="AV15">
    <cfRule type="expression" dxfId="5087" priority="123">
      <formula>AV15="X"</formula>
    </cfRule>
    <cfRule type="expression" dxfId="5086" priority="124">
      <formula>AV15="후보"</formula>
    </cfRule>
  </conditionalFormatting>
  <conditionalFormatting sqref="Z15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5085" priority="120" operator="greaterThan">
      <formula>0.9</formula>
    </cfRule>
    <cfRule type="cellIs" dxfId="5084" priority="121" operator="greaterThan">
      <formula>0.85</formula>
    </cfRule>
  </conditionalFormatting>
  <conditionalFormatting sqref="AV16">
    <cfRule type="expression" dxfId="5083" priority="118">
      <formula>AV16="X"</formula>
    </cfRule>
    <cfRule type="expression" dxfId="5082" priority="119">
      <formula>AV16="후보"</formula>
    </cfRule>
  </conditionalFormatting>
  <conditionalFormatting sqref="Z16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5081" priority="115" operator="greaterThan">
      <formula>0.9</formula>
    </cfRule>
    <cfRule type="cellIs" dxfId="5080" priority="116" operator="greaterThan">
      <formula>0.85</formula>
    </cfRule>
  </conditionalFormatting>
  <conditionalFormatting sqref="N16">
    <cfRule type="cellIs" dxfId="5079" priority="113" operator="greaterThan">
      <formula>0.9</formula>
    </cfRule>
    <cfRule type="cellIs" dxfId="5078" priority="114" operator="greaterThan">
      <formula>0.85</formula>
    </cfRule>
  </conditionalFormatting>
  <conditionalFormatting sqref="E16">
    <cfRule type="expression" dxfId="5077" priority="109">
      <formula>AND(IF(OR($Q16=1,$Q16=2),1,0),IF($X16&lt;=20,1,0))</formula>
    </cfRule>
    <cfRule type="expression" dxfId="5076" priority="110">
      <formula>AND(IF($Q16=2,1,0),IF($X16&lt;30,1,0))</formula>
    </cfRule>
    <cfRule type="expression" dxfId="5075" priority="111">
      <formula>AND(IF($Q16=3,1,0),IF($X16&lt;30,1,0))</formula>
    </cfRule>
    <cfRule type="expression" dxfId="5074" priority="112">
      <formula>AND(IF($Q16=3,1,IF($Q16=4,1,0)),IF($F16&lt;=85,1,0))</formula>
    </cfRule>
  </conditionalFormatting>
  <conditionalFormatting sqref="X16">
    <cfRule type="expression" dxfId="5073" priority="105">
      <formula>AND(IF(OR($Q16=1,$Q16=2),1,0),IF($X16&lt;=20,1,0))</formula>
    </cfRule>
    <cfRule type="expression" dxfId="5072" priority="106">
      <formula>AND(IF($Q16=2,1,0),IF($X16&lt;30,1,0))</formula>
    </cfRule>
    <cfRule type="expression" dxfId="5071" priority="107">
      <formula>AND(IF($Q16=3,1,0),IF($X16&lt;30,1,0))</formula>
    </cfRule>
    <cfRule type="expression" dxfId="5070" priority="108">
      <formula>AND(IF($Q16=3,1,IF($Q16=4,1,0)),IF($F16&lt;=85,1,0))</formula>
    </cfRule>
  </conditionalFormatting>
  <conditionalFormatting sqref="AI16">
    <cfRule type="expression" dxfId="5069" priority="101">
      <formula>AND(IF(OR($Q16=1,$Q16=2),1,0),IF($X16&lt;=20,1,0))</formula>
    </cfRule>
    <cfRule type="expression" dxfId="5068" priority="102">
      <formula>AND(IF($Q16=2,1,0),IF($X16&lt;30,1,0))</formula>
    </cfRule>
    <cfRule type="expression" dxfId="5067" priority="103">
      <formula>AND(IF($Q16=3,1,0),IF($X16&lt;30,1,0))</formula>
    </cfRule>
    <cfRule type="expression" dxfId="5066" priority="104">
      <formula>AND(IF($Q16=3,1,IF($Q16=4,1,0)),IF($F16&lt;=85,1,0))</formula>
    </cfRule>
  </conditionalFormatting>
  <conditionalFormatting sqref="AV17">
    <cfRule type="expression" dxfId="5065" priority="99">
      <formula>AV17="X"</formula>
    </cfRule>
    <cfRule type="expression" dxfId="5064" priority="100">
      <formula>AV17="후보"</formula>
    </cfRule>
  </conditionalFormatting>
  <conditionalFormatting sqref="Z17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063" priority="96" operator="greaterThan">
      <formula>0.9</formula>
    </cfRule>
    <cfRule type="cellIs" dxfId="5062" priority="97" operator="greaterThan">
      <formula>0.85</formula>
    </cfRule>
  </conditionalFormatting>
  <conditionalFormatting sqref="N17">
    <cfRule type="cellIs" dxfId="5061" priority="94" operator="greaterThan">
      <formula>0.9</formula>
    </cfRule>
    <cfRule type="cellIs" dxfId="5060" priority="95" operator="greaterThan">
      <formula>0.85</formula>
    </cfRule>
  </conditionalFormatting>
  <conditionalFormatting sqref="E17">
    <cfRule type="expression" dxfId="5059" priority="90">
      <formula>AND(IF(OR($Q17=1,$Q17=2),1,0),IF($X17&lt;=20,1,0))</formula>
    </cfRule>
    <cfRule type="expression" dxfId="5058" priority="91">
      <formula>AND(IF($Q17=2,1,0),IF($X17&lt;30,1,0))</formula>
    </cfRule>
    <cfRule type="expression" dxfId="5057" priority="92">
      <formula>AND(IF($Q17=3,1,0),IF($X17&lt;30,1,0))</formula>
    </cfRule>
    <cfRule type="expression" dxfId="5056" priority="93">
      <formula>AND(IF($Q17=3,1,IF($Q17=4,1,0)),IF($F17&lt;=85,1,0))</formula>
    </cfRule>
  </conditionalFormatting>
  <conditionalFormatting sqref="X17">
    <cfRule type="expression" dxfId="5055" priority="86">
      <formula>AND(IF(OR($Q17=1,$Q17=2),1,0),IF($X17&lt;=20,1,0))</formula>
    </cfRule>
    <cfRule type="expression" dxfId="5054" priority="87">
      <formula>AND(IF($Q17=2,1,0),IF($X17&lt;30,1,0))</formula>
    </cfRule>
    <cfRule type="expression" dxfId="5053" priority="88">
      <formula>AND(IF($Q17=3,1,0),IF($X17&lt;30,1,0))</formula>
    </cfRule>
    <cfRule type="expression" dxfId="5052" priority="89">
      <formula>AND(IF($Q17=3,1,IF($Q17=4,1,0)),IF($F17&lt;=85,1,0))</formula>
    </cfRule>
  </conditionalFormatting>
  <conditionalFormatting sqref="AI17">
    <cfRule type="expression" dxfId="5051" priority="82">
      <formula>AND(IF(OR($Q17=1,$Q17=2),1,0),IF($X17&lt;=20,1,0))</formula>
    </cfRule>
    <cfRule type="expression" dxfId="5050" priority="83">
      <formula>AND(IF($Q17=2,1,0),IF($X17&lt;30,1,0))</formula>
    </cfRule>
    <cfRule type="expression" dxfId="5049" priority="84">
      <formula>AND(IF($Q17=3,1,0),IF($X17&lt;30,1,0))</formula>
    </cfRule>
    <cfRule type="expression" dxfId="5048" priority="85">
      <formula>AND(IF($Q17=3,1,IF($Q17=4,1,0)),IF($F17&lt;=85,1,0))</formula>
    </cfRule>
  </conditionalFormatting>
  <conditionalFormatting sqref="AV18">
    <cfRule type="expression" dxfId="5047" priority="80">
      <formula>AV18="X"</formula>
    </cfRule>
    <cfRule type="expression" dxfId="5046" priority="81">
      <formula>AV18="후보"</formula>
    </cfRule>
  </conditionalFormatting>
  <conditionalFormatting sqref="Z18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5045" priority="77" operator="greaterThan">
      <formula>0.9</formula>
    </cfRule>
    <cfRule type="cellIs" dxfId="5044" priority="78" operator="greaterThan">
      <formula>0.85</formula>
    </cfRule>
  </conditionalFormatting>
  <conditionalFormatting sqref="AV19">
    <cfRule type="expression" dxfId="5043" priority="75">
      <formula>AV19="X"</formula>
    </cfRule>
    <cfRule type="expression" dxfId="5042" priority="76">
      <formula>AV19="후보"</formula>
    </cfRule>
  </conditionalFormatting>
  <conditionalFormatting sqref="Z19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041" priority="72" operator="greaterThan">
      <formula>0.9</formula>
    </cfRule>
    <cfRule type="cellIs" dxfId="5040" priority="73" operator="greaterThan">
      <formula>0.85</formula>
    </cfRule>
  </conditionalFormatting>
  <conditionalFormatting sqref="N19">
    <cfRule type="cellIs" dxfId="5039" priority="70" operator="greaterThan">
      <formula>0.9</formula>
    </cfRule>
    <cfRule type="cellIs" dxfId="5038" priority="71" operator="greaterThan">
      <formula>0.85</formula>
    </cfRule>
  </conditionalFormatting>
  <conditionalFormatting sqref="E19">
    <cfRule type="expression" dxfId="5037" priority="66">
      <formula>AND(IF(OR($Q19=1,$Q19=2),1,0),IF($X19&lt;=20,1,0))</formula>
    </cfRule>
    <cfRule type="expression" dxfId="5036" priority="67">
      <formula>AND(IF($Q19=2,1,0),IF($X19&lt;30,1,0))</formula>
    </cfRule>
    <cfRule type="expression" dxfId="5035" priority="68">
      <formula>AND(IF($Q19=3,1,0),IF($X19&lt;30,1,0))</formula>
    </cfRule>
    <cfRule type="expression" dxfId="5034" priority="69">
      <formula>AND(IF($Q19=3,1,IF($Q19=4,1,0)),IF($F19&lt;=85,1,0))</formula>
    </cfRule>
  </conditionalFormatting>
  <conditionalFormatting sqref="X19">
    <cfRule type="expression" dxfId="5033" priority="62">
      <formula>AND(IF(OR($Q19=1,$Q19=2),1,0),IF($X19&lt;=20,1,0))</formula>
    </cfRule>
    <cfRule type="expression" dxfId="5032" priority="63">
      <formula>AND(IF($Q19=2,1,0),IF($X19&lt;30,1,0))</formula>
    </cfRule>
    <cfRule type="expression" dxfId="5031" priority="64">
      <formula>AND(IF($Q19=3,1,0),IF($X19&lt;30,1,0))</formula>
    </cfRule>
    <cfRule type="expression" dxfId="5030" priority="65">
      <formula>AND(IF($Q19=3,1,IF($Q19=4,1,0)),IF($F19&lt;=85,1,0))</formula>
    </cfRule>
  </conditionalFormatting>
  <conditionalFormatting sqref="AI19">
    <cfRule type="expression" dxfId="5029" priority="58">
      <formula>AND(IF(OR($Q19=1,$Q19=2),1,0),IF($X19&lt;=20,1,0))</formula>
    </cfRule>
    <cfRule type="expression" dxfId="5028" priority="59">
      <formula>AND(IF($Q19=2,1,0),IF($X19&lt;30,1,0))</formula>
    </cfRule>
    <cfRule type="expression" dxfId="5027" priority="60">
      <formula>AND(IF($Q19=3,1,0),IF($X19&lt;30,1,0))</formula>
    </cfRule>
    <cfRule type="expression" dxfId="5026" priority="61">
      <formula>AND(IF($Q19=3,1,IF($Q19=4,1,0)),IF($F19&lt;=85,1,0))</formula>
    </cfRule>
  </conditionalFormatting>
  <conditionalFormatting sqref="AV20">
    <cfRule type="expression" dxfId="5025" priority="56">
      <formula>AV20="X"</formula>
    </cfRule>
    <cfRule type="expression" dxfId="5024" priority="57">
      <formula>AV20="후보"</formula>
    </cfRule>
  </conditionalFormatting>
  <conditionalFormatting sqref="Z2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5023" priority="53" operator="greaterThan">
      <formula>0.9</formula>
    </cfRule>
    <cfRule type="cellIs" dxfId="5022" priority="54" operator="greaterThan">
      <formula>0.85</formula>
    </cfRule>
  </conditionalFormatting>
  <conditionalFormatting sqref="N20">
    <cfRule type="cellIs" dxfId="5021" priority="51" operator="greaterThan">
      <formula>0.9</formula>
    </cfRule>
    <cfRule type="cellIs" dxfId="5020" priority="52" operator="greaterThan">
      <formula>0.85</formula>
    </cfRule>
  </conditionalFormatting>
  <conditionalFormatting sqref="E20">
    <cfRule type="expression" dxfId="5019" priority="47">
      <formula>AND(IF(OR($Q20=1,$Q20=2),1,0),IF($X20&lt;=20,1,0))</formula>
    </cfRule>
    <cfRule type="expression" dxfId="5018" priority="48">
      <formula>AND(IF($Q20=2,1,0),IF($X20&lt;30,1,0))</formula>
    </cfRule>
    <cfRule type="expression" dxfId="5017" priority="49">
      <formula>AND(IF($Q20=3,1,0),IF($X20&lt;30,1,0))</formula>
    </cfRule>
    <cfRule type="expression" dxfId="5016" priority="50">
      <formula>AND(IF($Q20=3,1,IF($Q20=4,1,0)),IF($F20&lt;=85,1,0))</formula>
    </cfRule>
  </conditionalFormatting>
  <conditionalFormatting sqref="X20">
    <cfRule type="expression" dxfId="5015" priority="43">
      <formula>AND(IF(OR($Q20=1,$Q20=2),1,0),IF($X20&lt;=20,1,0))</formula>
    </cfRule>
    <cfRule type="expression" dxfId="5014" priority="44">
      <formula>AND(IF($Q20=2,1,0),IF($X20&lt;30,1,0))</formula>
    </cfRule>
    <cfRule type="expression" dxfId="5013" priority="45">
      <formula>AND(IF($Q20=3,1,0),IF($X20&lt;30,1,0))</formula>
    </cfRule>
    <cfRule type="expression" dxfId="5012" priority="46">
      <formula>AND(IF($Q20=3,1,IF($Q20=4,1,0)),IF($F20&lt;=85,1,0))</formula>
    </cfRule>
  </conditionalFormatting>
  <conditionalFormatting sqref="AI20">
    <cfRule type="expression" dxfId="5011" priority="39">
      <formula>AND(IF(OR($Q20=1,$Q20=2),1,0),IF($X20&lt;=20,1,0))</formula>
    </cfRule>
    <cfRule type="expression" dxfId="5010" priority="40">
      <formula>AND(IF($Q20=2,1,0),IF($X20&lt;30,1,0))</formula>
    </cfRule>
    <cfRule type="expression" dxfId="5009" priority="41">
      <formula>AND(IF($Q20=3,1,0),IF($X20&lt;30,1,0))</formula>
    </cfRule>
    <cfRule type="expression" dxfId="5008" priority="42">
      <formula>AND(IF($Q20=3,1,IF($Q20=4,1,0)),IF($F20&lt;=85,1,0))</formula>
    </cfRule>
  </conditionalFormatting>
  <conditionalFormatting sqref="AV21">
    <cfRule type="expression" dxfId="5007" priority="37">
      <formula>AV21="X"</formula>
    </cfRule>
    <cfRule type="expression" dxfId="5006" priority="38">
      <formula>AV21="후보"</formula>
    </cfRule>
  </conditionalFormatting>
  <conditionalFormatting sqref="Z2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005" priority="34" operator="greaterThan">
      <formula>0.9</formula>
    </cfRule>
    <cfRule type="cellIs" dxfId="5004" priority="35" operator="greaterThan">
      <formula>0.85</formula>
    </cfRule>
  </conditionalFormatting>
  <conditionalFormatting sqref="N21">
    <cfRule type="cellIs" dxfId="5003" priority="32" operator="greaterThan">
      <formula>0.9</formula>
    </cfRule>
    <cfRule type="cellIs" dxfId="5002" priority="33" operator="greaterThan">
      <formula>0.85</formula>
    </cfRule>
  </conditionalFormatting>
  <conditionalFormatting sqref="E21">
    <cfRule type="expression" dxfId="5001" priority="28">
      <formula>AND(IF(OR($Q21=1,$Q21=2),1,0),IF($X21&lt;=20,1,0))</formula>
    </cfRule>
    <cfRule type="expression" dxfId="5000" priority="29">
      <formula>AND(IF($Q21=2,1,0),IF($X21&lt;30,1,0))</formula>
    </cfRule>
    <cfRule type="expression" dxfId="4999" priority="30">
      <formula>AND(IF($Q21=3,1,0),IF($X21&lt;30,1,0))</formula>
    </cfRule>
    <cfRule type="expression" dxfId="4998" priority="31">
      <formula>AND(IF($Q21=3,1,IF($Q21=4,1,0)),IF($F21&lt;=85,1,0))</formula>
    </cfRule>
  </conditionalFormatting>
  <conditionalFormatting sqref="X21">
    <cfRule type="expression" dxfId="4997" priority="24">
      <formula>AND(IF(OR($Q21=1,$Q21=2),1,0),IF($X21&lt;=20,1,0))</formula>
    </cfRule>
    <cfRule type="expression" dxfId="4996" priority="25">
      <formula>AND(IF($Q21=2,1,0),IF($X21&lt;30,1,0))</formula>
    </cfRule>
    <cfRule type="expression" dxfId="4995" priority="26">
      <formula>AND(IF($Q21=3,1,0),IF($X21&lt;30,1,0))</formula>
    </cfRule>
    <cfRule type="expression" dxfId="4994" priority="27">
      <formula>AND(IF($Q21=3,1,IF($Q21=4,1,0)),IF($F21&lt;=85,1,0))</formula>
    </cfRule>
  </conditionalFormatting>
  <conditionalFormatting sqref="AI21">
    <cfRule type="expression" dxfId="4993" priority="20">
      <formula>AND(IF(OR($Q21=1,$Q21=2),1,0),IF($X21&lt;=20,1,0))</formula>
    </cfRule>
    <cfRule type="expression" dxfId="4992" priority="21">
      <formula>AND(IF($Q21=2,1,0),IF($X21&lt;30,1,0))</formula>
    </cfRule>
    <cfRule type="expression" dxfId="4991" priority="22">
      <formula>AND(IF($Q21=3,1,0),IF($X21&lt;30,1,0))</formula>
    </cfRule>
    <cfRule type="expression" dxfId="4990" priority="23">
      <formula>AND(IF($Q21=3,1,IF($Q21=4,1,0)),IF($F21&lt;=85,1,0))</formula>
    </cfRule>
  </conditionalFormatting>
  <conditionalFormatting sqref="AV22">
    <cfRule type="expression" dxfId="4989" priority="18">
      <formula>AV22="X"</formula>
    </cfRule>
    <cfRule type="expression" dxfId="4988" priority="19">
      <formula>AV22="후보"</formula>
    </cfRule>
  </conditionalFormatting>
  <conditionalFormatting sqref="Z2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4987" priority="15" operator="greaterThan">
      <formula>0.9</formula>
    </cfRule>
    <cfRule type="cellIs" dxfId="4986" priority="16" operator="greaterThan">
      <formula>0.85</formula>
    </cfRule>
  </conditionalFormatting>
  <conditionalFormatting sqref="N22">
    <cfRule type="cellIs" dxfId="4985" priority="13" operator="greaterThan">
      <formula>0.9</formula>
    </cfRule>
    <cfRule type="cellIs" dxfId="4984" priority="14" operator="greaterThan">
      <formula>0.85</formula>
    </cfRule>
  </conditionalFormatting>
  <conditionalFormatting sqref="E22">
    <cfRule type="expression" dxfId="4983" priority="9">
      <formula>AND(IF(OR($Q22=1,$Q22=2),1,0),IF($X22&lt;=20,1,0))</formula>
    </cfRule>
    <cfRule type="expression" dxfId="4982" priority="10">
      <formula>AND(IF($Q22=2,1,0),IF($X22&lt;30,1,0))</formula>
    </cfRule>
    <cfRule type="expression" dxfId="4981" priority="11">
      <formula>AND(IF($Q22=3,1,0),IF($X22&lt;30,1,0))</formula>
    </cfRule>
    <cfRule type="expression" dxfId="4980" priority="12">
      <formula>AND(IF($Q22=3,1,IF($Q22=4,1,0)),IF($F22&lt;=85,1,0))</formula>
    </cfRule>
  </conditionalFormatting>
  <conditionalFormatting sqref="X22">
    <cfRule type="expression" dxfId="4979" priority="5">
      <formula>AND(IF(OR($Q22=1,$Q22=2),1,0),IF($X22&lt;=20,1,0))</formula>
    </cfRule>
    <cfRule type="expression" dxfId="4978" priority="6">
      <formula>AND(IF($Q22=2,1,0),IF($X22&lt;30,1,0))</formula>
    </cfRule>
    <cfRule type="expression" dxfId="4977" priority="7">
      <formula>AND(IF($Q22=3,1,0),IF($X22&lt;30,1,0))</formula>
    </cfRule>
    <cfRule type="expression" dxfId="4976" priority="8">
      <formula>AND(IF($Q22=3,1,IF($Q22=4,1,0)),IF($F22&lt;=85,1,0))</formula>
    </cfRule>
  </conditionalFormatting>
  <conditionalFormatting sqref="AI22">
    <cfRule type="expression" dxfId="4975" priority="1">
      <formula>AND(IF(OR($Q22=1,$Q22=2),1,0),IF($X22&lt;=20,1,0))</formula>
    </cfRule>
    <cfRule type="expression" dxfId="4974" priority="2">
      <formula>AND(IF($Q22=2,1,0),IF($X22&lt;30,1,0))</formula>
    </cfRule>
    <cfRule type="expression" dxfId="4973" priority="3">
      <formula>AND(IF($Q22=3,1,0),IF($X22&lt;30,1,0))</formula>
    </cfRule>
    <cfRule type="expression" dxfId="497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방축동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1426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방축동 계양하늘채파크포레('23.04.,546^)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1427</v>
      </c>
      <c r="B6" s="16" t="s">
        <v>1428</v>
      </c>
      <c r="C6" s="28">
        <v>546</v>
      </c>
      <c r="D6" s="25">
        <v>80.8</v>
      </c>
      <c r="E6" s="106">
        <v>24</v>
      </c>
      <c r="F6" s="25">
        <v>59.9</v>
      </c>
      <c r="G6" s="27">
        <v>18</v>
      </c>
      <c r="H6" s="28">
        <v>211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511</v>
      </c>
      <c r="U6" s="13"/>
      <c r="W6" s="25">
        <f>D6</f>
        <v>80.8</v>
      </c>
      <c r="X6" s="106">
        <f>E6</f>
        <v>24</v>
      </c>
      <c r="Y6" s="32">
        <f>H6</f>
        <v>211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계양하늘채파크포레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1427</v>
      </c>
      <c r="B7" s="16" t="s">
        <v>1428</v>
      </c>
      <c r="C7" s="28">
        <v>546</v>
      </c>
      <c r="D7" s="25">
        <v>80.3</v>
      </c>
      <c r="E7" s="106">
        <v>24</v>
      </c>
      <c r="F7" s="25">
        <v>60</v>
      </c>
      <c r="G7" s="27">
        <v>18</v>
      </c>
      <c r="H7" s="28">
        <v>74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1429</v>
      </c>
      <c r="U7" s="13"/>
      <c r="W7" s="25">
        <f>D7</f>
        <v>80.3</v>
      </c>
      <c r="X7" s="106">
        <f>E7</f>
        <v>24</v>
      </c>
      <c r="Y7" s="32">
        <f>H7</f>
        <v>74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계양하늘채파크포레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1427</v>
      </c>
      <c r="B8" s="16" t="s">
        <v>1428</v>
      </c>
      <c r="C8" s="28">
        <v>546</v>
      </c>
      <c r="D8" s="25">
        <v>81.400000000000006</v>
      </c>
      <c r="E8" s="106">
        <v>25</v>
      </c>
      <c r="F8" s="25">
        <v>59.9</v>
      </c>
      <c r="G8" s="27">
        <v>18</v>
      </c>
      <c r="H8" s="28">
        <v>76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64</v>
      </c>
      <c r="T8" s="8" t="s">
        <v>1430</v>
      </c>
      <c r="U8" s="13"/>
      <c r="W8" s="25">
        <f>D8</f>
        <v>81.400000000000006</v>
      </c>
      <c r="X8" s="106">
        <f>E8</f>
        <v>25</v>
      </c>
      <c r="Y8" s="32">
        <f>H8</f>
        <v>76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계양하늘채파크포레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1427</v>
      </c>
      <c r="B9" s="16" t="s">
        <v>1428</v>
      </c>
      <c r="C9" s="28">
        <v>546</v>
      </c>
      <c r="D9" s="25">
        <v>106.6</v>
      </c>
      <c r="E9" s="106">
        <v>32</v>
      </c>
      <c r="F9" s="25">
        <v>84.9</v>
      </c>
      <c r="G9" s="27">
        <v>26</v>
      </c>
      <c r="H9" s="28">
        <v>28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64</v>
      </c>
      <c r="T9" s="8" t="s">
        <v>1431</v>
      </c>
      <c r="U9" s="13"/>
      <c r="W9" s="25">
        <f>D9</f>
        <v>106.6</v>
      </c>
      <c r="X9" s="106">
        <f>E9</f>
        <v>32</v>
      </c>
      <c r="Y9" s="32">
        <f>H9</f>
        <v>28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계양하늘채파크포레</v>
      </c>
      <c r="AI9" s="106">
        <f>IF(E9="","",E9)</f>
        <v>32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1427</v>
      </c>
      <c r="B10" s="16" t="s">
        <v>1428</v>
      </c>
      <c r="C10" s="28">
        <v>546</v>
      </c>
      <c r="D10" s="25">
        <v>107.4</v>
      </c>
      <c r="E10" s="106">
        <v>32</v>
      </c>
      <c r="F10" s="25">
        <v>85</v>
      </c>
      <c r="G10" s="27">
        <v>26</v>
      </c>
      <c r="H10" s="28">
        <v>116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64</v>
      </c>
      <c r="T10" s="8" t="s">
        <v>1432</v>
      </c>
      <c r="U10" s="13"/>
      <c r="W10" s="25">
        <f>D10</f>
        <v>107.4</v>
      </c>
      <c r="X10" s="106">
        <f>E10</f>
        <v>32</v>
      </c>
      <c r="Y10" s="32">
        <f>H10</f>
        <v>116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계양하늘채파크포레</v>
      </c>
      <c r="AI10" s="106">
        <f>IF(E10="","",E10)</f>
        <v>32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1427</v>
      </c>
      <c r="B11" s="16" t="s">
        <v>1428</v>
      </c>
      <c r="C11" s="28">
        <v>546</v>
      </c>
      <c r="D11" s="25">
        <v>107.8</v>
      </c>
      <c r="E11" s="106">
        <v>33</v>
      </c>
      <c r="F11" s="25">
        <v>84.9</v>
      </c>
      <c r="G11" s="27">
        <v>26</v>
      </c>
      <c r="H11" s="28">
        <v>41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64</v>
      </c>
      <c r="T11" s="8" t="s">
        <v>1433</v>
      </c>
      <c r="U11" s="13"/>
      <c r="W11" s="25">
        <f>D11</f>
        <v>107.8</v>
      </c>
      <c r="X11" s="106">
        <f>E11</f>
        <v>33</v>
      </c>
      <c r="Y11" s="32">
        <f>H11</f>
        <v>41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계양하늘채파크포레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방축동 한성('90.07.,200^)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1434</v>
      </c>
      <c r="B13" s="16" t="s">
        <v>1335</v>
      </c>
      <c r="C13" s="28">
        <v>200</v>
      </c>
      <c r="D13" s="25">
        <v>62.9</v>
      </c>
      <c r="E13" s="106">
        <v>19</v>
      </c>
      <c r="F13" s="25">
        <v>48</v>
      </c>
      <c r="G13" s="27">
        <v>15</v>
      </c>
      <c r="H13" s="28">
        <v>120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64</v>
      </c>
      <c r="T13" s="8" t="s">
        <v>1435</v>
      </c>
      <c r="U13" s="13"/>
      <c r="W13" s="25">
        <f>D13</f>
        <v>62.9</v>
      </c>
      <c r="X13" s="106">
        <f>E13</f>
        <v>19</v>
      </c>
      <c r="Y13" s="32">
        <f>H13</f>
        <v>120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한성</v>
      </c>
      <c r="AI13" s="106">
        <f>IF(E13="","",E13)</f>
        <v>19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1434</v>
      </c>
      <c r="B14" s="16" t="s">
        <v>1335</v>
      </c>
      <c r="C14" s="28">
        <v>200</v>
      </c>
      <c r="D14" s="25">
        <v>62.4</v>
      </c>
      <c r="E14" s="106">
        <v>19</v>
      </c>
      <c r="F14" s="25">
        <v>47.7</v>
      </c>
      <c r="G14" s="27">
        <v>14</v>
      </c>
      <c r="H14" s="28">
        <v>80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64</v>
      </c>
      <c r="T14" s="8" t="s">
        <v>1436</v>
      </c>
      <c r="U14" s="13"/>
      <c r="W14" s="25">
        <f>D14</f>
        <v>62.4</v>
      </c>
      <c r="X14" s="106">
        <f>E14</f>
        <v>19</v>
      </c>
      <c r="Y14" s="32">
        <f>H14</f>
        <v>80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3/1</v>
      </c>
      <c r="AH14" s="36" t="str">
        <f>IF(A14="","",A14)</f>
        <v>한성</v>
      </c>
      <c r="AI14" s="106">
        <f>IF(E14="","",E14)</f>
        <v>19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방축동 아주('91.04.,480^)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1437</v>
      </c>
      <c r="B16" s="16" t="s">
        <v>1438</v>
      </c>
      <c r="C16" s="28">
        <v>480</v>
      </c>
      <c r="D16" s="25">
        <v>75.900000000000006</v>
      </c>
      <c r="E16" s="106">
        <v>23</v>
      </c>
      <c r="F16" s="25">
        <v>60</v>
      </c>
      <c r="G16" s="27">
        <v>18</v>
      </c>
      <c r="H16" s="28">
        <v>204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64</v>
      </c>
      <c r="T16" s="8">
        <v>75</v>
      </c>
      <c r="U16" s="13"/>
      <c r="W16" s="25">
        <f>D16</f>
        <v>75.900000000000006</v>
      </c>
      <c r="X16" s="106">
        <f>E16</f>
        <v>23</v>
      </c>
      <c r="Y16" s="32">
        <f>H16</f>
        <v>204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아주</v>
      </c>
      <c r="AI16" s="106">
        <f>IF(E16="","",E16)</f>
        <v>23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1437</v>
      </c>
      <c r="B17" s="16" t="s">
        <v>1438</v>
      </c>
      <c r="C17" s="28">
        <v>480</v>
      </c>
      <c r="D17" s="25">
        <v>79.900000000000006</v>
      </c>
      <c r="E17" s="106">
        <v>24</v>
      </c>
      <c r="F17" s="25">
        <v>63.4</v>
      </c>
      <c r="G17" s="27">
        <v>19</v>
      </c>
      <c r="H17" s="28">
        <v>240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64</v>
      </c>
      <c r="T17" s="8">
        <v>79</v>
      </c>
      <c r="U17" s="13"/>
      <c r="W17" s="25">
        <f>D17</f>
        <v>79.900000000000006</v>
      </c>
      <c r="X17" s="106">
        <f>E17</f>
        <v>24</v>
      </c>
      <c r="Y17" s="32">
        <f>H17</f>
        <v>240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아주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1437</v>
      </c>
      <c r="B18" s="16" t="s">
        <v>1438</v>
      </c>
      <c r="C18" s="28">
        <v>480</v>
      </c>
      <c r="D18" s="25">
        <v>83.8</v>
      </c>
      <c r="E18" s="106">
        <v>25</v>
      </c>
      <c r="F18" s="25">
        <v>66.8</v>
      </c>
      <c r="G18" s="27">
        <v>20</v>
      </c>
      <c r="H18" s="28">
        <v>36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64</v>
      </c>
      <c r="T18" s="8">
        <v>83</v>
      </c>
      <c r="U18" s="13"/>
      <c r="W18" s="25">
        <f>D18</f>
        <v>83.8</v>
      </c>
      <c r="X18" s="106">
        <f>E18</f>
        <v>25</v>
      </c>
      <c r="Y18" s="32">
        <f>H18</f>
        <v>36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아주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4971" priority="220">
      <formula>AV4="X"</formula>
    </cfRule>
    <cfRule type="expression" dxfId="4970" priority="221">
      <formula>AV4="후보"</formula>
    </cfRule>
  </conditionalFormatting>
  <conditionalFormatting sqref="Z2:Z6">
    <cfRule type="colorScale" priority="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969" priority="217" operator="greaterThan">
      <formula>0.9</formula>
    </cfRule>
    <cfRule type="cellIs" dxfId="4968" priority="218" operator="greaterThan">
      <formula>0.85</formula>
    </cfRule>
  </conditionalFormatting>
  <conditionalFormatting sqref="N1:N2">
    <cfRule type="cellIs" dxfId="4967" priority="215" operator="greaterThan">
      <formula>0.9</formula>
    </cfRule>
    <cfRule type="cellIs" dxfId="4966" priority="216" operator="greaterThan">
      <formula>0.85</formula>
    </cfRule>
  </conditionalFormatting>
  <conditionalFormatting sqref="N6">
    <cfRule type="cellIs" dxfId="4965" priority="213" operator="greaterThan">
      <formula>0.9</formula>
    </cfRule>
    <cfRule type="cellIs" dxfId="4964" priority="214" operator="greaterThan">
      <formula>0.85</formula>
    </cfRule>
  </conditionalFormatting>
  <conditionalFormatting sqref="E6">
    <cfRule type="expression" dxfId="4963" priority="209">
      <formula>AND(IF(OR($Q6=1,$Q6=2),1,0),IF($X6&lt;=20,1,0))</formula>
    </cfRule>
    <cfRule type="expression" dxfId="4962" priority="210">
      <formula>AND(IF($Q6=2,1,0),IF($X6&lt;30,1,0))</formula>
    </cfRule>
    <cfRule type="expression" dxfId="4961" priority="211">
      <formula>AND(IF($Q6=3,1,0),IF($X6&lt;30,1,0))</formula>
    </cfRule>
    <cfRule type="expression" dxfId="4960" priority="212">
      <formula>AND(IF($Q6=3,1,IF($Q6=4,1,0)),IF($F6&lt;=85,1,0))</formula>
    </cfRule>
  </conditionalFormatting>
  <conditionalFormatting sqref="X6">
    <cfRule type="expression" dxfId="4959" priority="205">
      <formula>AND(IF(OR($Q6=1,$Q6=2),1,0),IF($X6&lt;=20,1,0))</formula>
    </cfRule>
    <cfRule type="expression" dxfId="4958" priority="206">
      <formula>AND(IF($Q6=2,1,0),IF($X6&lt;30,1,0))</formula>
    </cfRule>
    <cfRule type="expression" dxfId="4957" priority="207">
      <formula>AND(IF($Q6=3,1,0),IF($X6&lt;30,1,0))</formula>
    </cfRule>
    <cfRule type="expression" dxfId="4956" priority="208">
      <formula>AND(IF($Q6=3,1,IF($Q6=4,1,0)),IF($F6&lt;=85,1,0))</formula>
    </cfRule>
  </conditionalFormatting>
  <conditionalFormatting sqref="AI6">
    <cfRule type="expression" dxfId="4955" priority="201">
      <formula>AND(IF(OR($Q6=1,$Q6=2),1,0),IF($X6&lt;=20,1,0))</formula>
    </cfRule>
    <cfRule type="expression" dxfId="4954" priority="202">
      <formula>AND(IF($Q6=2,1,0),IF($X6&lt;30,1,0))</formula>
    </cfRule>
    <cfRule type="expression" dxfId="4953" priority="203">
      <formula>AND(IF($Q6=3,1,0),IF($X6&lt;30,1,0))</formula>
    </cfRule>
    <cfRule type="expression" dxfId="4952" priority="204">
      <formula>AND(IF($Q6=3,1,IF($Q6=4,1,0)),IF($F6&lt;=85,1,0))</formula>
    </cfRule>
  </conditionalFormatting>
  <conditionalFormatting sqref="AV7">
    <cfRule type="expression" dxfId="4951" priority="199">
      <formula>AV7="X"</formula>
    </cfRule>
    <cfRule type="expression" dxfId="4950" priority="200">
      <formula>AV7="후보"</formula>
    </cfRule>
  </conditionalFormatting>
  <conditionalFormatting sqref="Z7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949" priority="196" operator="greaterThan">
      <formula>0.9</formula>
    </cfRule>
    <cfRule type="cellIs" dxfId="4948" priority="197" operator="greaterThan">
      <formula>0.85</formula>
    </cfRule>
  </conditionalFormatting>
  <conditionalFormatting sqref="N7">
    <cfRule type="cellIs" dxfId="4947" priority="194" operator="greaterThan">
      <formula>0.9</formula>
    </cfRule>
    <cfRule type="cellIs" dxfId="4946" priority="195" operator="greaterThan">
      <formula>0.85</formula>
    </cfRule>
  </conditionalFormatting>
  <conditionalFormatting sqref="E7">
    <cfRule type="expression" dxfId="4945" priority="190">
      <formula>AND(IF(OR($Q7=1,$Q7=2),1,0),IF($X7&lt;=20,1,0))</formula>
    </cfRule>
    <cfRule type="expression" dxfId="4944" priority="191">
      <formula>AND(IF($Q7=2,1,0),IF($X7&lt;30,1,0))</formula>
    </cfRule>
    <cfRule type="expression" dxfId="4943" priority="192">
      <formula>AND(IF($Q7=3,1,0),IF($X7&lt;30,1,0))</formula>
    </cfRule>
    <cfRule type="expression" dxfId="4942" priority="193">
      <formula>AND(IF($Q7=3,1,IF($Q7=4,1,0)),IF($F7&lt;=85,1,0))</formula>
    </cfRule>
  </conditionalFormatting>
  <conditionalFormatting sqref="X7">
    <cfRule type="expression" dxfId="4941" priority="186">
      <formula>AND(IF(OR($Q7=1,$Q7=2),1,0),IF($X7&lt;=20,1,0))</formula>
    </cfRule>
    <cfRule type="expression" dxfId="4940" priority="187">
      <formula>AND(IF($Q7=2,1,0),IF($X7&lt;30,1,0))</formula>
    </cfRule>
    <cfRule type="expression" dxfId="4939" priority="188">
      <formula>AND(IF($Q7=3,1,0),IF($X7&lt;30,1,0))</formula>
    </cfRule>
    <cfRule type="expression" dxfId="4938" priority="189">
      <formula>AND(IF($Q7=3,1,IF($Q7=4,1,0)),IF($F7&lt;=85,1,0))</formula>
    </cfRule>
  </conditionalFormatting>
  <conditionalFormatting sqref="AI7">
    <cfRule type="expression" dxfId="4937" priority="182">
      <formula>AND(IF(OR($Q7=1,$Q7=2),1,0),IF($X7&lt;=20,1,0))</formula>
    </cfRule>
    <cfRule type="expression" dxfId="4936" priority="183">
      <formula>AND(IF($Q7=2,1,0),IF($X7&lt;30,1,0))</formula>
    </cfRule>
    <cfRule type="expression" dxfId="4935" priority="184">
      <formula>AND(IF($Q7=3,1,0),IF($X7&lt;30,1,0))</formula>
    </cfRule>
    <cfRule type="expression" dxfId="4934" priority="185">
      <formula>AND(IF($Q7=3,1,IF($Q7=4,1,0)),IF($F7&lt;=85,1,0))</formula>
    </cfRule>
  </conditionalFormatting>
  <conditionalFormatting sqref="AV8">
    <cfRule type="expression" dxfId="4933" priority="180">
      <formula>AV8="X"</formula>
    </cfRule>
    <cfRule type="expression" dxfId="4932" priority="181">
      <formula>AV8="후보"</formula>
    </cfRule>
  </conditionalFormatting>
  <conditionalFormatting sqref="Z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931" priority="177" operator="greaterThan">
      <formula>0.9</formula>
    </cfRule>
    <cfRule type="cellIs" dxfId="4930" priority="178" operator="greaterThan">
      <formula>0.85</formula>
    </cfRule>
  </conditionalFormatting>
  <conditionalFormatting sqref="N8">
    <cfRule type="cellIs" dxfId="4929" priority="175" operator="greaterThan">
      <formula>0.9</formula>
    </cfRule>
    <cfRule type="cellIs" dxfId="4928" priority="176" operator="greaterThan">
      <formula>0.85</formula>
    </cfRule>
  </conditionalFormatting>
  <conditionalFormatting sqref="E8">
    <cfRule type="expression" dxfId="4927" priority="171">
      <formula>AND(IF(OR($Q8=1,$Q8=2),1,0),IF($X8&lt;=20,1,0))</formula>
    </cfRule>
    <cfRule type="expression" dxfId="4926" priority="172">
      <formula>AND(IF($Q8=2,1,0),IF($X8&lt;30,1,0))</formula>
    </cfRule>
    <cfRule type="expression" dxfId="4925" priority="173">
      <formula>AND(IF($Q8=3,1,0),IF($X8&lt;30,1,0))</formula>
    </cfRule>
    <cfRule type="expression" dxfId="4924" priority="174">
      <formula>AND(IF($Q8=3,1,IF($Q8=4,1,0)),IF($F8&lt;=85,1,0))</formula>
    </cfRule>
  </conditionalFormatting>
  <conditionalFormatting sqref="X8">
    <cfRule type="expression" dxfId="4923" priority="167">
      <formula>AND(IF(OR($Q8=1,$Q8=2),1,0),IF($X8&lt;=20,1,0))</formula>
    </cfRule>
    <cfRule type="expression" dxfId="4922" priority="168">
      <formula>AND(IF($Q8=2,1,0),IF($X8&lt;30,1,0))</formula>
    </cfRule>
    <cfRule type="expression" dxfId="4921" priority="169">
      <formula>AND(IF($Q8=3,1,0),IF($X8&lt;30,1,0))</formula>
    </cfRule>
    <cfRule type="expression" dxfId="4920" priority="170">
      <formula>AND(IF($Q8=3,1,IF($Q8=4,1,0)),IF($F8&lt;=85,1,0))</formula>
    </cfRule>
  </conditionalFormatting>
  <conditionalFormatting sqref="AI8">
    <cfRule type="expression" dxfId="4919" priority="163">
      <formula>AND(IF(OR($Q8=1,$Q8=2),1,0),IF($X8&lt;=20,1,0))</formula>
    </cfRule>
    <cfRule type="expression" dxfId="4918" priority="164">
      <formula>AND(IF($Q8=2,1,0),IF($X8&lt;30,1,0))</formula>
    </cfRule>
    <cfRule type="expression" dxfId="4917" priority="165">
      <formula>AND(IF($Q8=3,1,0),IF($X8&lt;30,1,0))</formula>
    </cfRule>
    <cfRule type="expression" dxfId="4916" priority="166">
      <formula>AND(IF($Q8=3,1,IF($Q8=4,1,0)),IF($F8&lt;=85,1,0))</formula>
    </cfRule>
  </conditionalFormatting>
  <conditionalFormatting sqref="AV9">
    <cfRule type="expression" dxfId="4915" priority="161">
      <formula>AV9="X"</formula>
    </cfRule>
    <cfRule type="expression" dxfId="4914" priority="162">
      <formula>AV9="후보"</formula>
    </cfRule>
  </conditionalFormatting>
  <conditionalFormatting sqref="Z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913" priority="158" operator="greaterThan">
      <formula>0.9</formula>
    </cfRule>
    <cfRule type="cellIs" dxfId="4912" priority="159" operator="greaterThan">
      <formula>0.85</formula>
    </cfRule>
  </conditionalFormatting>
  <conditionalFormatting sqref="N9">
    <cfRule type="cellIs" dxfId="4911" priority="156" operator="greaterThan">
      <formula>0.9</formula>
    </cfRule>
    <cfRule type="cellIs" dxfId="4910" priority="157" operator="greaterThan">
      <formula>0.85</formula>
    </cfRule>
  </conditionalFormatting>
  <conditionalFormatting sqref="E9">
    <cfRule type="expression" dxfId="4909" priority="152">
      <formula>AND(IF(OR($Q9=1,$Q9=2),1,0),IF($X9&lt;=20,1,0))</formula>
    </cfRule>
    <cfRule type="expression" dxfId="4908" priority="153">
      <formula>AND(IF($Q9=2,1,0),IF($X9&lt;30,1,0))</formula>
    </cfRule>
    <cfRule type="expression" dxfId="4907" priority="154">
      <formula>AND(IF($Q9=3,1,0),IF($X9&lt;30,1,0))</formula>
    </cfRule>
    <cfRule type="expression" dxfId="4906" priority="155">
      <formula>AND(IF($Q9=3,1,IF($Q9=4,1,0)),IF($F9&lt;=85,1,0))</formula>
    </cfRule>
  </conditionalFormatting>
  <conditionalFormatting sqref="X9">
    <cfRule type="expression" dxfId="4905" priority="148">
      <formula>AND(IF(OR($Q9=1,$Q9=2),1,0),IF($X9&lt;=20,1,0))</formula>
    </cfRule>
    <cfRule type="expression" dxfId="4904" priority="149">
      <formula>AND(IF($Q9=2,1,0),IF($X9&lt;30,1,0))</formula>
    </cfRule>
    <cfRule type="expression" dxfId="4903" priority="150">
      <formula>AND(IF($Q9=3,1,0),IF($X9&lt;30,1,0))</formula>
    </cfRule>
    <cfRule type="expression" dxfId="4902" priority="151">
      <formula>AND(IF($Q9=3,1,IF($Q9=4,1,0)),IF($F9&lt;=85,1,0))</formula>
    </cfRule>
  </conditionalFormatting>
  <conditionalFormatting sqref="AI9">
    <cfRule type="expression" dxfId="4901" priority="144">
      <formula>AND(IF(OR($Q9=1,$Q9=2),1,0),IF($X9&lt;=20,1,0))</formula>
    </cfRule>
    <cfRule type="expression" dxfId="4900" priority="145">
      <formula>AND(IF($Q9=2,1,0),IF($X9&lt;30,1,0))</formula>
    </cfRule>
    <cfRule type="expression" dxfId="4899" priority="146">
      <formula>AND(IF($Q9=3,1,0),IF($X9&lt;30,1,0))</formula>
    </cfRule>
    <cfRule type="expression" dxfId="4898" priority="147">
      <formula>AND(IF($Q9=3,1,IF($Q9=4,1,0)),IF($F9&lt;=85,1,0))</formula>
    </cfRule>
  </conditionalFormatting>
  <conditionalFormatting sqref="AV10">
    <cfRule type="expression" dxfId="4897" priority="142">
      <formula>AV10="X"</formula>
    </cfRule>
    <cfRule type="expression" dxfId="4896" priority="143">
      <formula>AV10="후보"</formula>
    </cfRule>
  </conditionalFormatting>
  <conditionalFormatting sqref="Z1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895" priority="139" operator="greaterThan">
      <formula>0.9</formula>
    </cfRule>
    <cfRule type="cellIs" dxfId="4894" priority="140" operator="greaterThan">
      <formula>0.85</formula>
    </cfRule>
  </conditionalFormatting>
  <conditionalFormatting sqref="N10">
    <cfRule type="cellIs" dxfId="4893" priority="137" operator="greaterThan">
      <formula>0.9</formula>
    </cfRule>
    <cfRule type="cellIs" dxfId="4892" priority="138" operator="greaterThan">
      <formula>0.85</formula>
    </cfRule>
  </conditionalFormatting>
  <conditionalFormatting sqref="E10">
    <cfRule type="expression" dxfId="4891" priority="133">
      <formula>AND(IF(OR($Q10=1,$Q10=2),1,0),IF($X10&lt;=20,1,0))</formula>
    </cfRule>
    <cfRule type="expression" dxfId="4890" priority="134">
      <formula>AND(IF($Q10=2,1,0),IF($X10&lt;30,1,0))</formula>
    </cfRule>
    <cfRule type="expression" dxfId="4889" priority="135">
      <formula>AND(IF($Q10=3,1,0),IF($X10&lt;30,1,0))</formula>
    </cfRule>
    <cfRule type="expression" dxfId="4888" priority="136">
      <formula>AND(IF($Q10=3,1,IF($Q10=4,1,0)),IF($F10&lt;=85,1,0))</formula>
    </cfRule>
  </conditionalFormatting>
  <conditionalFormatting sqref="X10">
    <cfRule type="expression" dxfId="4887" priority="129">
      <formula>AND(IF(OR($Q10=1,$Q10=2),1,0),IF($X10&lt;=20,1,0))</formula>
    </cfRule>
    <cfRule type="expression" dxfId="4886" priority="130">
      <formula>AND(IF($Q10=2,1,0),IF($X10&lt;30,1,0))</formula>
    </cfRule>
    <cfRule type="expression" dxfId="4885" priority="131">
      <formula>AND(IF($Q10=3,1,0),IF($X10&lt;30,1,0))</formula>
    </cfRule>
    <cfRule type="expression" dxfId="4884" priority="132">
      <formula>AND(IF($Q10=3,1,IF($Q10=4,1,0)),IF($F10&lt;=85,1,0))</formula>
    </cfRule>
  </conditionalFormatting>
  <conditionalFormatting sqref="AI10">
    <cfRule type="expression" dxfId="4883" priority="125">
      <formula>AND(IF(OR($Q10=1,$Q10=2),1,0),IF($X10&lt;=20,1,0))</formula>
    </cfRule>
    <cfRule type="expression" dxfId="4882" priority="126">
      <formula>AND(IF($Q10=2,1,0),IF($X10&lt;30,1,0))</formula>
    </cfRule>
    <cfRule type="expression" dxfId="4881" priority="127">
      <formula>AND(IF($Q10=3,1,0),IF($X10&lt;30,1,0))</formula>
    </cfRule>
    <cfRule type="expression" dxfId="4880" priority="128">
      <formula>AND(IF($Q10=3,1,IF($Q10=4,1,0)),IF($F10&lt;=85,1,0))</formula>
    </cfRule>
  </conditionalFormatting>
  <conditionalFormatting sqref="AV11">
    <cfRule type="expression" dxfId="4879" priority="123">
      <formula>AV11="X"</formula>
    </cfRule>
    <cfRule type="expression" dxfId="4878" priority="124">
      <formula>AV11="후보"</formula>
    </cfRule>
  </conditionalFormatting>
  <conditionalFormatting sqref="Z11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877" priority="120" operator="greaterThan">
      <formula>0.9</formula>
    </cfRule>
    <cfRule type="cellIs" dxfId="4876" priority="121" operator="greaterThan">
      <formula>0.85</formula>
    </cfRule>
  </conditionalFormatting>
  <conditionalFormatting sqref="N11">
    <cfRule type="cellIs" dxfId="4875" priority="118" operator="greaterThan">
      <formula>0.9</formula>
    </cfRule>
    <cfRule type="cellIs" dxfId="4874" priority="119" operator="greaterThan">
      <formula>0.85</formula>
    </cfRule>
  </conditionalFormatting>
  <conditionalFormatting sqref="E11">
    <cfRule type="expression" dxfId="4873" priority="114">
      <formula>AND(IF(OR($Q11=1,$Q11=2),1,0),IF($X11&lt;=20,1,0))</formula>
    </cfRule>
    <cfRule type="expression" dxfId="4872" priority="115">
      <formula>AND(IF($Q11=2,1,0),IF($X11&lt;30,1,0))</formula>
    </cfRule>
    <cfRule type="expression" dxfId="4871" priority="116">
      <formula>AND(IF($Q11=3,1,0),IF($X11&lt;30,1,0))</formula>
    </cfRule>
    <cfRule type="expression" dxfId="4870" priority="117">
      <formula>AND(IF($Q11=3,1,IF($Q11=4,1,0)),IF($F11&lt;=85,1,0))</formula>
    </cfRule>
  </conditionalFormatting>
  <conditionalFormatting sqref="X11">
    <cfRule type="expression" dxfId="4869" priority="110">
      <formula>AND(IF(OR($Q11=1,$Q11=2),1,0),IF($X11&lt;=20,1,0))</formula>
    </cfRule>
    <cfRule type="expression" dxfId="4868" priority="111">
      <formula>AND(IF($Q11=2,1,0),IF($X11&lt;30,1,0))</formula>
    </cfRule>
    <cfRule type="expression" dxfId="4867" priority="112">
      <formula>AND(IF($Q11=3,1,0),IF($X11&lt;30,1,0))</formula>
    </cfRule>
    <cfRule type="expression" dxfId="4866" priority="113">
      <formula>AND(IF($Q11=3,1,IF($Q11=4,1,0)),IF($F11&lt;=85,1,0))</formula>
    </cfRule>
  </conditionalFormatting>
  <conditionalFormatting sqref="AI11">
    <cfRule type="expression" dxfId="4865" priority="106">
      <formula>AND(IF(OR($Q11=1,$Q11=2),1,0),IF($X11&lt;=20,1,0))</formula>
    </cfRule>
    <cfRule type="expression" dxfId="4864" priority="107">
      <formula>AND(IF($Q11=2,1,0),IF($X11&lt;30,1,0))</formula>
    </cfRule>
    <cfRule type="expression" dxfId="4863" priority="108">
      <formula>AND(IF($Q11=3,1,0),IF($X11&lt;30,1,0))</formula>
    </cfRule>
    <cfRule type="expression" dxfId="4862" priority="109">
      <formula>AND(IF($Q11=3,1,IF($Q11=4,1,0)),IF($F11&lt;=85,1,0))</formula>
    </cfRule>
  </conditionalFormatting>
  <conditionalFormatting sqref="AV12">
    <cfRule type="expression" dxfId="4861" priority="104">
      <formula>AV12="X"</formula>
    </cfRule>
    <cfRule type="expression" dxfId="4860" priority="105">
      <formula>AV12="후보"</formula>
    </cfRule>
  </conditionalFormatting>
  <conditionalFormatting sqref="Z12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4859" priority="101" operator="greaterThan">
      <formula>0.9</formula>
    </cfRule>
    <cfRule type="cellIs" dxfId="4858" priority="102" operator="greaterThan">
      <formula>0.85</formula>
    </cfRule>
  </conditionalFormatting>
  <conditionalFormatting sqref="AV13">
    <cfRule type="expression" dxfId="4857" priority="99">
      <formula>AV13="X"</formula>
    </cfRule>
    <cfRule type="expression" dxfId="4856" priority="100">
      <formula>AV13="후보"</formula>
    </cfRule>
  </conditionalFormatting>
  <conditionalFormatting sqref="Z1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855" priority="96" operator="greaterThan">
      <formula>0.9</formula>
    </cfRule>
    <cfRule type="cellIs" dxfId="4854" priority="97" operator="greaterThan">
      <formula>0.85</formula>
    </cfRule>
  </conditionalFormatting>
  <conditionalFormatting sqref="N13">
    <cfRule type="cellIs" dxfId="4853" priority="94" operator="greaterThan">
      <formula>0.9</formula>
    </cfRule>
    <cfRule type="cellIs" dxfId="4852" priority="95" operator="greaterThan">
      <formula>0.85</formula>
    </cfRule>
  </conditionalFormatting>
  <conditionalFormatting sqref="E13">
    <cfRule type="expression" dxfId="4851" priority="90">
      <formula>AND(IF(OR($Q13=1,$Q13=2),1,0),IF($X13&lt;=20,1,0))</formula>
    </cfRule>
    <cfRule type="expression" dxfId="4850" priority="91">
      <formula>AND(IF($Q13=2,1,0),IF($X13&lt;30,1,0))</formula>
    </cfRule>
    <cfRule type="expression" dxfId="4849" priority="92">
      <formula>AND(IF($Q13=3,1,0),IF($X13&lt;30,1,0))</formula>
    </cfRule>
    <cfRule type="expression" dxfId="4848" priority="93">
      <formula>AND(IF($Q13=3,1,IF($Q13=4,1,0)),IF($F13&lt;=85,1,0))</formula>
    </cfRule>
  </conditionalFormatting>
  <conditionalFormatting sqref="X13">
    <cfRule type="expression" dxfId="4847" priority="86">
      <formula>AND(IF(OR($Q13=1,$Q13=2),1,0),IF($X13&lt;=20,1,0))</formula>
    </cfRule>
    <cfRule type="expression" dxfId="4846" priority="87">
      <formula>AND(IF($Q13=2,1,0),IF($X13&lt;30,1,0))</formula>
    </cfRule>
    <cfRule type="expression" dxfId="4845" priority="88">
      <formula>AND(IF($Q13=3,1,0),IF($X13&lt;30,1,0))</formula>
    </cfRule>
    <cfRule type="expression" dxfId="4844" priority="89">
      <formula>AND(IF($Q13=3,1,IF($Q13=4,1,0)),IF($F13&lt;=85,1,0))</formula>
    </cfRule>
  </conditionalFormatting>
  <conditionalFormatting sqref="AI13">
    <cfRule type="expression" dxfId="4843" priority="82">
      <formula>AND(IF(OR($Q13=1,$Q13=2),1,0),IF($X13&lt;=20,1,0))</formula>
    </cfRule>
    <cfRule type="expression" dxfId="4842" priority="83">
      <formula>AND(IF($Q13=2,1,0),IF($X13&lt;30,1,0))</formula>
    </cfRule>
    <cfRule type="expression" dxfId="4841" priority="84">
      <formula>AND(IF($Q13=3,1,0),IF($X13&lt;30,1,0))</formula>
    </cfRule>
    <cfRule type="expression" dxfId="4840" priority="85">
      <formula>AND(IF($Q13=3,1,IF($Q13=4,1,0)),IF($F13&lt;=85,1,0))</formula>
    </cfRule>
  </conditionalFormatting>
  <conditionalFormatting sqref="AV14">
    <cfRule type="expression" dxfId="4839" priority="80">
      <formula>AV14="X"</formula>
    </cfRule>
    <cfRule type="expression" dxfId="4838" priority="81">
      <formula>AV14="후보"</formula>
    </cfRule>
  </conditionalFormatting>
  <conditionalFormatting sqref="Z1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837" priority="77" operator="greaterThan">
      <formula>0.9</formula>
    </cfRule>
    <cfRule type="cellIs" dxfId="4836" priority="78" operator="greaterThan">
      <formula>0.85</formula>
    </cfRule>
  </conditionalFormatting>
  <conditionalFormatting sqref="N14">
    <cfRule type="cellIs" dxfId="4835" priority="75" operator="greaterThan">
      <formula>0.9</formula>
    </cfRule>
    <cfRule type="cellIs" dxfId="4834" priority="76" operator="greaterThan">
      <formula>0.85</formula>
    </cfRule>
  </conditionalFormatting>
  <conditionalFormatting sqref="E14">
    <cfRule type="expression" dxfId="4833" priority="71">
      <formula>AND(IF(OR($Q14=1,$Q14=2),1,0),IF($X14&lt;=20,1,0))</formula>
    </cfRule>
    <cfRule type="expression" dxfId="4832" priority="72">
      <formula>AND(IF($Q14=2,1,0),IF($X14&lt;30,1,0))</formula>
    </cfRule>
    <cfRule type="expression" dxfId="4831" priority="73">
      <formula>AND(IF($Q14=3,1,0),IF($X14&lt;30,1,0))</formula>
    </cfRule>
    <cfRule type="expression" dxfId="4830" priority="74">
      <formula>AND(IF($Q14=3,1,IF($Q14=4,1,0)),IF($F14&lt;=85,1,0))</formula>
    </cfRule>
  </conditionalFormatting>
  <conditionalFormatting sqref="X14">
    <cfRule type="expression" dxfId="4829" priority="67">
      <formula>AND(IF(OR($Q14=1,$Q14=2),1,0),IF($X14&lt;=20,1,0))</formula>
    </cfRule>
    <cfRule type="expression" dxfId="4828" priority="68">
      <formula>AND(IF($Q14=2,1,0),IF($X14&lt;30,1,0))</formula>
    </cfRule>
    <cfRule type="expression" dxfId="4827" priority="69">
      <formula>AND(IF($Q14=3,1,0),IF($X14&lt;30,1,0))</formula>
    </cfRule>
    <cfRule type="expression" dxfId="4826" priority="70">
      <formula>AND(IF($Q14=3,1,IF($Q14=4,1,0)),IF($F14&lt;=85,1,0))</formula>
    </cfRule>
  </conditionalFormatting>
  <conditionalFormatting sqref="AI14">
    <cfRule type="expression" dxfId="4825" priority="63">
      <formula>AND(IF(OR($Q14=1,$Q14=2),1,0),IF($X14&lt;=20,1,0))</formula>
    </cfRule>
    <cfRule type="expression" dxfId="4824" priority="64">
      <formula>AND(IF($Q14=2,1,0),IF($X14&lt;30,1,0))</formula>
    </cfRule>
    <cfRule type="expression" dxfId="4823" priority="65">
      <formula>AND(IF($Q14=3,1,0),IF($X14&lt;30,1,0))</formula>
    </cfRule>
    <cfRule type="expression" dxfId="4822" priority="66">
      <formula>AND(IF($Q14=3,1,IF($Q14=4,1,0)),IF($F14&lt;=85,1,0))</formula>
    </cfRule>
  </conditionalFormatting>
  <conditionalFormatting sqref="AV15">
    <cfRule type="expression" dxfId="4821" priority="61">
      <formula>AV15="X"</formula>
    </cfRule>
    <cfRule type="expression" dxfId="4820" priority="62">
      <formula>AV15="후보"</formula>
    </cfRule>
  </conditionalFormatting>
  <conditionalFormatting sqref="Z15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4819" priority="58" operator="greaterThan">
      <formula>0.9</formula>
    </cfRule>
    <cfRule type="cellIs" dxfId="4818" priority="59" operator="greaterThan">
      <formula>0.85</formula>
    </cfRule>
  </conditionalFormatting>
  <conditionalFormatting sqref="AV16">
    <cfRule type="expression" dxfId="4817" priority="56">
      <formula>AV16="X"</formula>
    </cfRule>
    <cfRule type="expression" dxfId="4816" priority="57">
      <formula>AV16="후보"</formula>
    </cfRule>
  </conditionalFormatting>
  <conditionalFormatting sqref="Z1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815" priority="53" operator="greaterThan">
      <formula>0.9</formula>
    </cfRule>
    <cfRule type="cellIs" dxfId="4814" priority="54" operator="greaterThan">
      <formula>0.85</formula>
    </cfRule>
  </conditionalFormatting>
  <conditionalFormatting sqref="N16">
    <cfRule type="cellIs" dxfId="4813" priority="51" operator="greaterThan">
      <formula>0.9</formula>
    </cfRule>
    <cfRule type="cellIs" dxfId="4812" priority="52" operator="greaterThan">
      <formula>0.85</formula>
    </cfRule>
  </conditionalFormatting>
  <conditionalFormatting sqref="E16">
    <cfRule type="expression" dxfId="4811" priority="47">
      <formula>AND(IF(OR($Q16=1,$Q16=2),1,0),IF($X16&lt;=20,1,0))</formula>
    </cfRule>
    <cfRule type="expression" dxfId="4810" priority="48">
      <formula>AND(IF($Q16=2,1,0),IF($X16&lt;30,1,0))</formula>
    </cfRule>
    <cfRule type="expression" dxfId="4809" priority="49">
      <formula>AND(IF($Q16=3,1,0),IF($X16&lt;30,1,0))</formula>
    </cfRule>
    <cfRule type="expression" dxfId="4808" priority="50">
      <formula>AND(IF($Q16=3,1,IF($Q16=4,1,0)),IF($F16&lt;=85,1,0))</formula>
    </cfRule>
  </conditionalFormatting>
  <conditionalFormatting sqref="X16">
    <cfRule type="expression" dxfId="4807" priority="43">
      <formula>AND(IF(OR($Q16=1,$Q16=2),1,0),IF($X16&lt;=20,1,0))</formula>
    </cfRule>
    <cfRule type="expression" dxfId="4806" priority="44">
      <formula>AND(IF($Q16=2,1,0),IF($X16&lt;30,1,0))</formula>
    </cfRule>
    <cfRule type="expression" dxfId="4805" priority="45">
      <formula>AND(IF($Q16=3,1,0),IF($X16&lt;30,1,0))</formula>
    </cfRule>
    <cfRule type="expression" dxfId="4804" priority="46">
      <formula>AND(IF($Q16=3,1,IF($Q16=4,1,0)),IF($F16&lt;=85,1,0))</formula>
    </cfRule>
  </conditionalFormatting>
  <conditionalFormatting sqref="AI16">
    <cfRule type="expression" dxfId="4803" priority="39">
      <formula>AND(IF(OR($Q16=1,$Q16=2),1,0),IF($X16&lt;=20,1,0))</formula>
    </cfRule>
    <cfRule type="expression" dxfId="4802" priority="40">
      <formula>AND(IF($Q16=2,1,0),IF($X16&lt;30,1,0))</formula>
    </cfRule>
    <cfRule type="expression" dxfId="4801" priority="41">
      <formula>AND(IF($Q16=3,1,0),IF($X16&lt;30,1,0))</formula>
    </cfRule>
    <cfRule type="expression" dxfId="4800" priority="42">
      <formula>AND(IF($Q16=3,1,IF($Q16=4,1,0)),IF($F16&lt;=85,1,0))</formula>
    </cfRule>
  </conditionalFormatting>
  <conditionalFormatting sqref="AV17">
    <cfRule type="expression" dxfId="4799" priority="37">
      <formula>AV17="X"</formula>
    </cfRule>
    <cfRule type="expression" dxfId="4798" priority="38">
      <formula>AV17="후보"</formula>
    </cfRule>
  </conditionalFormatting>
  <conditionalFormatting sqref="Z1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797" priority="34" operator="greaterThan">
      <formula>0.9</formula>
    </cfRule>
    <cfRule type="cellIs" dxfId="4796" priority="35" operator="greaterThan">
      <formula>0.85</formula>
    </cfRule>
  </conditionalFormatting>
  <conditionalFormatting sqref="N17">
    <cfRule type="cellIs" dxfId="4795" priority="32" operator="greaterThan">
      <formula>0.9</formula>
    </cfRule>
    <cfRule type="cellIs" dxfId="4794" priority="33" operator="greaterThan">
      <formula>0.85</formula>
    </cfRule>
  </conditionalFormatting>
  <conditionalFormatting sqref="E17">
    <cfRule type="expression" dxfId="4793" priority="28">
      <formula>AND(IF(OR($Q17=1,$Q17=2),1,0),IF($X17&lt;=20,1,0))</formula>
    </cfRule>
    <cfRule type="expression" dxfId="4792" priority="29">
      <formula>AND(IF($Q17=2,1,0),IF($X17&lt;30,1,0))</formula>
    </cfRule>
    <cfRule type="expression" dxfId="4791" priority="30">
      <formula>AND(IF($Q17=3,1,0),IF($X17&lt;30,1,0))</formula>
    </cfRule>
    <cfRule type="expression" dxfId="4790" priority="31">
      <formula>AND(IF($Q17=3,1,IF($Q17=4,1,0)),IF($F17&lt;=85,1,0))</formula>
    </cfRule>
  </conditionalFormatting>
  <conditionalFormatting sqref="X17">
    <cfRule type="expression" dxfId="4789" priority="24">
      <formula>AND(IF(OR($Q17=1,$Q17=2),1,0),IF($X17&lt;=20,1,0))</formula>
    </cfRule>
    <cfRule type="expression" dxfId="4788" priority="25">
      <formula>AND(IF($Q17=2,1,0),IF($X17&lt;30,1,0))</formula>
    </cfRule>
    <cfRule type="expression" dxfId="4787" priority="26">
      <formula>AND(IF($Q17=3,1,0),IF($X17&lt;30,1,0))</formula>
    </cfRule>
    <cfRule type="expression" dxfId="4786" priority="27">
      <formula>AND(IF($Q17=3,1,IF($Q17=4,1,0)),IF($F17&lt;=85,1,0))</formula>
    </cfRule>
  </conditionalFormatting>
  <conditionalFormatting sqref="AI17">
    <cfRule type="expression" dxfId="4785" priority="20">
      <formula>AND(IF(OR($Q17=1,$Q17=2),1,0),IF($X17&lt;=20,1,0))</formula>
    </cfRule>
    <cfRule type="expression" dxfId="4784" priority="21">
      <formula>AND(IF($Q17=2,1,0),IF($X17&lt;30,1,0))</formula>
    </cfRule>
    <cfRule type="expression" dxfId="4783" priority="22">
      <formula>AND(IF($Q17=3,1,0),IF($X17&lt;30,1,0))</formula>
    </cfRule>
    <cfRule type="expression" dxfId="4782" priority="23">
      <formula>AND(IF($Q17=3,1,IF($Q17=4,1,0)),IF($F17&lt;=85,1,0))</formula>
    </cfRule>
  </conditionalFormatting>
  <conditionalFormatting sqref="AV18">
    <cfRule type="expression" dxfId="4781" priority="18">
      <formula>AV18="X"</formula>
    </cfRule>
    <cfRule type="expression" dxfId="4780" priority="19">
      <formula>AV18="후보"</formula>
    </cfRule>
  </conditionalFormatting>
  <conditionalFormatting sqref="Z1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4779" priority="15" operator="greaterThan">
      <formula>0.9</formula>
    </cfRule>
    <cfRule type="cellIs" dxfId="4778" priority="16" operator="greaterThan">
      <formula>0.85</formula>
    </cfRule>
  </conditionalFormatting>
  <conditionalFormatting sqref="N18">
    <cfRule type="cellIs" dxfId="4777" priority="13" operator="greaterThan">
      <formula>0.9</formula>
    </cfRule>
    <cfRule type="cellIs" dxfId="4776" priority="14" operator="greaterThan">
      <formula>0.85</formula>
    </cfRule>
  </conditionalFormatting>
  <conditionalFormatting sqref="E18">
    <cfRule type="expression" dxfId="4775" priority="9">
      <formula>AND(IF(OR($Q18=1,$Q18=2),1,0),IF($X18&lt;=20,1,0))</formula>
    </cfRule>
    <cfRule type="expression" dxfId="4774" priority="10">
      <formula>AND(IF($Q18=2,1,0),IF($X18&lt;30,1,0))</formula>
    </cfRule>
    <cfRule type="expression" dxfId="4773" priority="11">
      <formula>AND(IF($Q18=3,1,0),IF($X18&lt;30,1,0))</formula>
    </cfRule>
    <cfRule type="expression" dxfId="4772" priority="12">
      <formula>AND(IF($Q18=3,1,IF($Q18=4,1,0)),IF($F18&lt;=85,1,0))</formula>
    </cfRule>
  </conditionalFormatting>
  <conditionalFormatting sqref="X18">
    <cfRule type="expression" dxfId="4771" priority="5">
      <formula>AND(IF(OR($Q18=1,$Q18=2),1,0),IF($X18&lt;=20,1,0))</formula>
    </cfRule>
    <cfRule type="expression" dxfId="4770" priority="6">
      <formula>AND(IF($Q18=2,1,0),IF($X18&lt;30,1,0))</formula>
    </cfRule>
    <cfRule type="expression" dxfId="4769" priority="7">
      <formula>AND(IF($Q18=3,1,0),IF($X18&lt;30,1,0))</formula>
    </cfRule>
    <cfRule type="expression" dxfId="4768" priority="8">
      <formula>AND(IF($Q18=3,1,IF($Q18=4,1,0)),IF($F18&lt;=85,1,0))</formula>
    </cfRule>
  </conditionalFormatting>
  <conditionalFormatting sqref="AI18">
    <cfRule type="expression" dxfId="4767" priority="1">
      <formula>AND(IF(OR($Q18=1,$Q18=2),1,0),IF($X18&lt;=20,1,0))</formula>
    </cfRule>
    <cfRule type="expression" dxfId="4766" priority="2">
      <formula>AND(IF($Q18=2,1,0),IF($X18&lt;30,1,0))</formula>
    </cfRule>
    <cfRule type="expression" dxfId="4765" priority="3">
      <formula>AND(IF($Q18=3,1,0),IF($X18&lt;30,1,0))</formula>
    </cfRule>
    <cfRule type="expression" dxfId="476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병방동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1439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병방동 학마을서해('97.10.,1261^)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1440</v>
      </c>
      <c r="B6" s="16" t="s">
        <v>1441</v>
      </c>
      <c r="C6" s="28">
        <v>1261</v>
      </c>
      <c r="D6" s="25">
        <v>39.799999999999997</v>
      </c>
      <c r="E6" s="106">
        <v>12</v>
      </c>
      <c r="F6" s="25">
        <v>26</v>
      </c>
      <c r="G6" s="27">
        <v>8</v>
      </c>
      <c r="H6" s="28">
        <v>519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64</v>
      </c>
      <c r="T6" s="8">
        <v>39</v>
      </c>
      <c r="U6" s="13"/>
      <c r="W6" s="25">
        <f>D6</f>
        <v>39.799999999999997</v>
      </c>
      <c r="X6" s="106">
        <f>E6</f>
        <v>12</v>
      </c>
      <c r="Y6" s="32">
        <f>H6</f>
        <v>519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1/1</v>
      </c>
      <c r="AH6" s="36" t="str">
        <f>IF(A6="","",A6)</f>
        <v>학마을서해</v>
      </c>
      <c r="AI6" s="106">
        <f>IF(E6="","",E6)</f>
        <v>12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1440</v>
      </c>
      <c r="B7" s="16" t="s">
        <v>1441</v>
      </c>
      <c r="C7" s="28">
        <v>1261</v>
      </c>
      <c r="D7" s="25">
        <v>81.2</v>
      </c>
      <c r="E7" s="106">
        <v>25</v>
      </c>
      <c r="F7" s="25">
        <v>59.8</v>
      </c>
      <c r="G7" s="27">
        <v>18</v>
      </c>
      <c r="H7" s="28">
        <v>742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2</v>
      </c>
      <c r="S7" s="113" t="s">
        <v>64</v>
      </c>
      <c r="T7" s="8">
        <v>81</v>
      </c>
      <c r="U7" s="13"/>
      <c r="W7" s="25">
        <f>D7</f>
        <v>81.2</v>
      </c>
      <c r="X7" s="106">
        <f>E7</f>
        <v>25</v>
      </c>
      <c r="Y7" s="32">
        <f>H7</f>
        <v>742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2/2</v>
      </c>
      <c r="AH7" s="36" t="str">
        <f>IF(A7="","",A7)</f>
        <v>학마을서해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병방동 진달래2차('89.08.,204^)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1442</v>
      </c>
      <c r="B9" s="16" t="s">
        <v>1443</v>
      </c>
      <c r="C9" s="28">
        <v>204</v>
      </c>
      <c r="D9" s="25">
        <v>52.6</v>
      </c>
      <c r="E9" s="106">
        <v>16</v>
      </c>
      <c r="F9" s="25">
        <v>39.9</v>
      </c>
      <c r="G9" s="27">
        <v>12</v>
      </c>
      <c r="H9" s="28">
        <v>132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64</v>
      </c>
      <c r="T9" s="8">
        <v>52</v>
      </c>
      <c r="U9" s="13"/>
      <c r="W9" s="25">
        <f>D9</f>
        <v>52.6</v>
      </c>
      <c r="X9" s="106">
        <f>E9</f>
        <v>16</v>
      </c>
      <c r="Y9" s="32">
        <f>H9</f>
        <v>132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2/1</v>
      </c>
      <c r="AH9" s="36" t="str">
        <f>IF(A9="","",A9)</f>
        <v>진달래2차</v>
      </c>
      <c r="AI9" s="106">
        <f>IF(E9="","",E9)</f>
        <v>16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1442</v>
      </c>
      <c r="B10" s="16" t="s">
        <v>1443</v>
      </c>
      <c r="C10" s="28">
        <v>204</v>
      </c>
      <c r="D10" s="25">
        <v>62</v>
      </c>
      <c r="E10" s="106">
        <v>19</v>
      </c>
      <c r="F10" s="25">
        <v>47.8</v>
      </c>
      <c r="G10" s="27">
        <v>14</v>
      </c>
      <c r="H10" s="28">
        <v>72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64</v>
      </c>
      <c r="T10" s="8">
        <v>61</v>
      </c>
      <c r="U10" s="13"/>
      <c r="W10" s="25">
        <f>D10</f>
        <v>62</v>
      </c>
      <c r="X10" s="106">
        <f>E10</f>
        <v>19</v>
      </c>
      <c r="Y10" s="32">
        <f>H10</f>
        <v>72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진달래2차</v>
      </c>
      <c r="AI10" s="106">
        <f>IF(E10="","",E10)</f>
        <v>19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병방동 학마을영남('97.10.,1047^)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1444</v>
      </c>
      <c r="B12" s="16" t="s">
        <v>1441</v>
      </c>
      <c r="C12" s="28">
        <v>1047</v>
      </c>
      <c r="D12" s="25">
        <v>39.799999999999997</v>
      </c>
      <c r="E12" s="106">
        <v>12</v>
      </c>
      <c r="F12" s="25">
        <v>26</v>
      </c>
      <c r="G12" s="27">
        <v>8</v>
      </c>
      <c r="H12" s="28">
        <v>347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1</v>
      </c>
      <c r="R12" s="15">
        <v>1</v>
      </c>
      <c r="S12" s="113" t="s">
        <v>1384</v>
      </c>
      <c r="T12" s="8">
        <v>39</v>
      </c>
      <c r="U12" s="13"/>
      <c r="W12" s="25">
        <f>D12</f>
        <v>39.799999999999997</v>
      </c>
      <c r="X12" s="106">
        <f>E12</f>
        <v>12</v>
      </c>
      <c r="Y12" s="32">
        <f>H12</f>
        <v>347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복</v>
      </c>
      <c r="AF12" s="15" t="str">
        <f>Q12&amp;"/"&amp;R12</f>
        <v>1/1</v>
      </c>
      <c r="AH12" s="36" t="str">
        <f>IF(A12="","",A12)</f>
        <v>학마을영남</v>
      </c>
      <c r="AI12" s="106">
        <f>IF(E12="","",E12)</f>
        <v>12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1444</v>
      </c>
      <c r="B13" s="16" t="s">
        <v>1441</v>
      </c>
      <c r="C13" s="28">
        <v>1047</v>
      </c>
      <c r="D13" s="25">
        <v>81.400000000000006</v>
      </c>
      <c r="E13" s="106">
        <v>25</v>
      </c>
      <c r="F13" s="25">
        <v>59.9</v>
      </c>
      <c r="G13" s="27">
        <v>18</v>
      </c>
      <c r="H13" s="28">
        <v>700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64</v>
      </c>
      <c r="T13" s="8">
        <v>81</v>
      </c>
      <c r="U13" s="13"/>
      <c r="W13" s="25">
        <f>D13</f>
        <v>81.400000000000006</v>
      </c>
      <c r="X13" s="106">
        <f>E13</f>
        <v>25</v>
      </c>
      <c r="Y13" s="32">
        <f>H13</f>
        <v>700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학마을영남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병방동 학마을서원('97.05.,688^)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1445</v>
      </c>
      <c r="B15" s="16" t="s">
        <v>1446</v>
      </c>
      <c r="C15" s="28">
        <v>688</v>
      </c>
      <c r="D15" s="25">
        <v>49.3</v>
      </c>
      <c r="E15" s="106">
        <v>15</v>
      </c>
      <c r="F15" s="25">
        <v>34.4</v>
      </c>
      <c r="G15" s="27">
        <v>10</v>
      </c>
      <c r="H15" s="28">
        <v>176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1384</v>
      </c>
      <c r="T15" s="8" t="s">
        <v>552</v>
      </c>
      <c r="U15" s="13"/>
      <c r="W15" s="25">
        <f>D15</f>
        <v>49.3</v>
      </c>
      <c r="X15" s="106">
        <f>E15</f>
        <v>15</v>
      </c>
      <c r="Y15" s="32">
        <f>H15</f>
        <v>176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복</v>
      </c>
      <c r="AF15" s="15" t="str">
        <f>Q15&amp;"/"&amp;R15</f>
        <v>2/1</v>
      </c>
      <c r="AH15" s="36" t="str">
        <f>IF(A15="","",A15)</f>
        <v>학마을서원</v>
      </c>
      <c r="AI15" s="106">
        <f>IF(E15="","",E15)</f>
        <v>15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1445</v>
      </c>
      <c r="B16" s="16" t="s">
        <v>1446</v>
      </c>
      <c r="C16" s="28">
        <v>688</v>
      </c>
      <c r="D16" s="25">
        <v>49.3</v>
      </c>
      <c r="E16" s="106">
        <v>15</v>
      </c>
      <c r="F16" s="25">
        <v>34.4</v>
      </c>
      <c r="G16" s="27">
        <v>10</v>
      </c>
      <c r="H16" s="28">
        <v>64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1384</v>
      </c>
      <c r="T16" s="8" t="s">
        <v>556</v>
      </c>
      <c r="U16" s="13"/>
      <c r="W16" s="25">
        <f>D16</f>
        <v>49.3</v>
      </c>
      <c r="X16" s="106">
        <f>E16</f>
        <v>15</v>
      </c>
      <c r="Y16" s="32">
        <f>H16</f>
        <v>64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2/1</v>
      </c>
      <c r="AH16" s="36" t="str">
        <f>IF(A16="","",A16)</f>
        <v>학마을서원</v>
      </c>
      <c r="AI16" s="106">
        <f>IF(E16="","",E16)</f>
        <v>15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1445</v>
      </c>
      <c r="B17" s="16" t="s">
        <v>1446</v>
      </c>
      <c r="C17" s="28">
        <v>688</v>
      </c>
      <c r="D17" s="25">
        <v>81.099999999999994</v>
      </c>
      <c r="E17" s="106">
        <v>25</v>
      </c>
      <c r="F17" s="25">
        <v>59.9</v>
      </c>
      <c r="G17" s="27">
        <v>18</v>
      </c>
      <c r="H17" s="28">
        <v>448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64</v>
      </c>
      <c r="T17" s="8">
        <v>81</v>
      </c>
      <c r="U17" s="13"/>
      <c r="W17" s="25">
        <f>D17</f>
        <v>81.099999999999994</v>
      </c>
      <c r="X17" s="106">
        <f>E17</f>
        <v>25</v>
      </c>
      <c r="Y17" s="32">
        <f>H17</f>
        <v>448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학마을서원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병방동 신명진달래1차('88.12.,258^)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1447</v>
      </c>
      <c r="B19" s="16" t="s">
        <v>1448</v>
      </c>
      <c r="C19" s="28">
        <v>258</v>
      </c>
      <c r="D19" s="25">
        <v>49.8</v>
      </c>
      <c r="E19" s="106">
        <v>15</v>
      </c>
      <c r="F19" s="25">
        <v>41.6</v>
      </c>
      <c r="G19" s="27">
        <v>13</v>
      </c>
      <c r="H19" s="28">
        <v>96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64</v>
      </c>
      <c r="T19" s="8">
        <v>49</v>
      </c>
      <c r="U19" s="13"/>
      <c r="W19" s="25">
        <f>D19</f>
        <v>49.8</v>
      </c>
      <c r="X19" s="106">
        <f>E19</f>
        <v>15</v>
      </c>
      <c r="Y19" s="32">
        <f>H19</f>
        <v>96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2/1</v>
      </c>
      <c r="AH19" s="36" t="str">
        <f>IF(A19="","",A19)</f>
        <v>신명진달래1차</v>
      </c>
      <c r="AI19" s="106">
        <f>IF(E19="","",E19)</f>
        <v>15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5" t="s">
        <v>1447</v>
      </c>
      <c r="B20" s="16" t="s">
        <v>1448</v>
      </c>
      <c r="C20" s="28">
        <v>258</v>
      </c>
      <c r="D20" s="25">
        <v>62</v>
      </c>
      <c r="E20" s="106">
        <v>19</v>
      </c>
      <c r="F20" s="25">
        <v>48.2</v>
      </c>
      <c r="G20" s="27">
        <v>15</v>
      </c>
      <c r="H20" s="28">
        <v>156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64</v>
      </c>
      <c r="T20" s="8">
        <v>61</v>
      </c>
      <c r="U20" s="13"/>
      <c r="W20" s="25">
        <f>D20</f>
        <v>62</v>
      </c>
      <c r="X20" s="106">
        <f>E20</f>
        <v>19</v>
      </c>
      <c r="Y20" s="32">
        <f>H20</f>
        <v>156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신명진달래1차</v>
      </c>
      <c r="AI20" s="106">
        <f>IF(E20="","",E20)</f>
        <v>19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X</v>
      </c>
      <c r="AV20" s="113" t="str">
        <f>IF(AO20="","",IF(AND(AO20="O",AP20="O",AR20="O",AT20="O",AU20="O"),"후보","X"))</f>
        <v/>
      </c>
    </row>
    <row r="21" spans="1:48" x14ac:dyDescent="0.3">
      <c r="A21" s="5" t="s">
        <v>1447</v>
      </c>
      <c r="B21" s="16" t="s">
        <v>1448</v>
      </c>
      <c r="C21" s="28">
        <v>258</v>
      </c>
      <c r="D21" s="25">
        <v>85</v>
      </c>
      <c r="E21" s="106">
        <v>26</v>
      </c>
      <c r="F21" s="25">
        <v>63.2</v>
      </c>
      <c r="G21" s="27">
        <v>19</v>
      </c>
      <c r="H21" s="28">
        <v>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64</v>
      </c>
      <c r="T21" s="8">
        <v>85</v>
      </c>
      <c r="U21" s="13"/>
      <c r="W21" s="25">
        <f>D21</f>
        <v>85</v>
      </c>
      <c r="X21" s="106">
        <f>E21</f>
        <v>26</v>
      </c>
      <c r="Y21" s="32">
        <f>H21</f>
        <v>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신명진달래1차</v>
      </c>
      <c r="AI21" s="106">
        <f>IF(E21="","",E21)</f>
        <v>26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병방동 아주('89.09.,468^)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1437</v>
      </c>
      <c r="B23" s="16" t="s">
        <v>1364</v>
      </c>
      <c r="C23" s="28">
        <v>468</v>
      </c>
      <c r="D23" s="25">
        <v>52.3</v>
      </c>
      <c r="E23" s="106">
        <v>16</v>
      </c>
      <c r="F23" s="25">
        <v>41.6</v>
      </c>
      <c r="G23" s="27">
        <v>13</v>
      </c>
      <c r="H23" s="28">
        <v>204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2</v>
      </c>
      <c r="R23" s="15">
        <v>1</v>
      </c>
      <c r="S23" s="113" t="s">
        <v>64</v>
      </c>
      <c r="T23" s="8">
        <v>52</v>
      </c>
      <c r="U23" s="13"/>
      <c r="W23" s="25">
        <f>D23</f>
        <v>52.3</v>
      </c>
      <c r="X23" s="106">
        <f>E23</f>
        <v>16</v>
      </c>
      <c r="Y23" s="32">
        <f>H23</f>
        <v>204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2/1</v>
      </c>
      <c r="AH23" s="36" t="str">
        <f>IF(A23="","",A23)</f>
        <v>아주</v>
      </c>
      <c r="AI23" s="106">
        <f>IF(E23="","",E23)</f>
        <v>16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1437</v>
      </c>
      <c r="B24" s="16" t="s">
        <v>1364</v>
      </c>
      <c r="C24" s="28">
        <v>468</v>
      </c>
      <c r="D24" s="25">
        <v>59.8</v>
      </c>
      <c r="E24" s="106">
        <v>18</v>
      </c>
      <c r="F24" s="25">
        <v>48.2</v>
      </c>
      <c r="G24" s="27">
        <v>15</v>
      </c>
      <c r="H24" s="28">
        <v>144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64</v>
      </c>
      <c r="T24" s="8">
        <v>59</v>
      </c>
      <c r="U24" s="13"/>
      <c r="W24" s="25">
        <f>D24</f>
        <v>59.8</v>
      </c>
      <c r="X24" s="106">
        <f>E24</f>
        <v>18</v>
      </c>
      <c r="Y24" s="32">
        <f>H24</f>
        <v>144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아주</v>
      </c>
      <c r="AI24" s="106">
        <f>IF(E24="","",E24)</f>
        <v>18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1437</v>
      </c>
      <c r="B25" s="16" t="s">
        <v>1364</v>
      </c>
      <c r="C25" s="28">
        <v>468</v>
      </c>
      <c r="D25" s="25">
        <v>63.6</v>
      </c>
      <c r="E25" s="106">
        <v>19</v>
      </c>
      <c r="F25" s="25">
        <v>51.6</v>
      </c>
      <c r="G25" s="27">
        <v>16</v>
      </c>
      <c r="H25" s="28">
        <v>36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64</v>
      </c>
      <c r="T25" s="8">
        <v>63</v>
      </c>
      <c r="U25" s="13"/>
      <c r="W25" s="25">
        <f>D25</f>
        <v>63.6</v>
      </c>
      <c r="X25" s="106">
        <f>E25</f>
        <v>19</v>
      </c>
      <c r="Y25" s="32">
        <f>H25</f>
        <v>36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3/1</v>
      </c>
      <c r="AH25" s="36" t="str">
        <f>IF(A25="","",A25)</f>
        <v>아주</v>
      </c>
      <c r="AI25" s="106">
        <f>IF(E25="","",E25)</f>
        <v>19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1437</v>
      </c>
      <c r="B26" s="16" t="s">
        <v>1364</v>
      </c>
      <c r="C26" s="28">
        <v>468</v>
      </c>
      <c r="D26" s="25">
        <v>67.5</v>
      </c>
      <c r="E26" s="106">
        <v>20</v>
      </c>
      <c r="F26" s="25">
        <v>55</v>
      </c>
      <c r="G26" s="27">
        <v>17</v>
      </c>
      <c r="H26" s="28">
        <v>84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64</v>
      </c>
      <c r="T26" s="8">
        <v>67</v>
      </c>
      <c r="U26" s="13"/>
      <c r="W26" s="25">
        <f>D26</f>
        <v>67.5</v>
      </c>
      <c r="X26" s="106">
        <f>E26</f>
        <v>20</v>
      </c>
      <c r="Y26" s="32">
        <f>H26</f>
        <v>84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아주</v>
      </c>
      <c r="AI26" s="106">
        <f>IF(E26="","",E26)</f>
        <v>20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병방동 학마을한진('98.11.,1500^)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1449</v>
      </c>
      <c r="B28" s="16" t="s">
        <v>1450</v>
      </c>
      <c r="C28" s="28">
        <v>1500</v>
      </c>
      <c r="D28" s="25">
        <v>54.5</v>
      </c>
      <c r="E28" s="106">
        <v>16</v>
      </c>
      <c r="F28" s="25">
        <v>39.799999999999997</v>
      </c>
      <c r="G28" s="27">
        <v>12</v>
      </c>
      <c r="H28" s="28">
        <v>200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1384</v>
      </c>
      <c r="T28" s="8">
        <v>54</v>
      </c>
      <c r="U28" s="13"/>
      <c r="W28" s="25">
        <f>D28</f>
        <v>54.5</v>
      </c>
      <c r="X28" s="106">
        <f>E28</f>
        <v>16</v>
      </c>
      <c r="Y28" s="32">
        <f>H28</f>
        <v>200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복</v>
      </c>
      <c r="AF28" s="15" t="str">
        <f>Q28&amp;"/"&amp;R28</f>
        <v>2/1</v>
      </c>
      <c r="AH28" s="36" t="str">
        <f>IF(A28="","",A28)</f>
        <v>학마을한진</v>
      </c>
      <c r="AI28" s="106">
        <f>IF(E28="","",E28)</f>
        <v>16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1449</v>
      </c>
      <c r="B29" s="16" t="s">
        <v>1450</v>
      </c>
      <c r="C29" s="28">
        <v>1500</v>
      </c>
      <c r="D29" s="25">
        <v>68.5</v>
      </c>
      <c r="E29" s="106">
        <v>21</v>
      </c>
      <c r="F29" s="25">
        <v>49.8</v>
      </c>
      <c r="G29" s="27">
        <v>15</v>
      </c>
      <c r="H29" s="28">
        <v>900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1</v>
      </c>
      <c r="S29" s="113" t="s">
        <v>1384</v>
      </c>
      <c r="T29" s="8">
        <v>68</v>
      </c>
      <c r="U29" s="13"/>
      <c r="W29" s="25">
        <f>D29</f>
        <v>68.5</v>
      </c>
      <c r="X29" s="106">
        <f>E29</f>
        <v>21</v>
      </c>
      <c r="Y29" s="32">
        <f>H29</f>
        <v>900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3/1</v>
      </c>
      <c r="AH29" s="36" t="str">
        <f>IF(A29="","",A29)</f>
        <v>학마을한진</v>
      </c>
      <c r="AI29" s="106">
        <f>IF(E29="","",E29)</f>
        <v>21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1449</v>
      </c>
      <c r="B30" s="16" t="s">
        <v>1450</v>
      </c>
      <c r="C30" s="28">
        <v>1500</v>
      </c>
      <c r="D30" s="25">
        <v>79.5</v>
      </c>
      <c r="E30" s="106">
        <v>24</v>
      </c>
      <c r="F30" s="25">
        <v>59.7</v>
      </c>
      <c r="G30" s="27">
        <v>18</v>
      </c>
      <c r="H30" s="28">
        <v>400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1384</v>
      </c>
      <c r="T30" s="8">
        <v>79</v>
      </c>
      <c r="U30" s="13"/>
      <c r="W30" s="25">
        <f>D30</f>
        <v>79.5</v>
      </c>
      <c r="X30" s="106">
        <f>E30</f>
        <v>24</v>
      </c>
      <c r="Y30" s="32">
        <f>H30</f>
        <v>400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3/1</v>
      </c>
      <c r="AH30" s="36" t="str">
        <f>IF(A30="","",A30)</f>
        <v>학마을한진</v>
      </c>
      <c r="AI30" s="106">
        <f>IF(E30="","",E30)</f>
        <v>24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</sheetData>
  <mergeCells count="1">
    <mergeCell ref="AJ1:AN1"/>
  </mergeCells>
  <phoneticPr fontId="2" type="noConversion"/>
  <conditionalFormatting sqref="AV4:AV6">
    <cfRule type="expression" dxfId="4763" priority="392">
      <formula>AV4="X"</formula>
    </cfRule>
    <cfRule type="expression" dxfId="4762" priority="393">
      <formula>AV4="후보"</formula>
    </cfRule>
  </conditionalFormatting>
  <conditionalFormatting sqref="Z2:Z6">
    <cfRule type="colorScale" priority="3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761" priority="389" operator="greaterThan">
      <formula>0.9</formula>
    </cfRule>
    <cfRule type="cellIs" dxfId="4760" priority="390" operator="greaterThan">
      <formula>0.85</formula>
    </cfRule>
  </conditionalFormatting>
  <conditionalFormatting sqref="N1:N2">
    <cfRule type="cellIs" dxfId="4759" priority="387" operator="greaterThan">
      <formula>0.9</formula>
    </cfRule>
    <cfRule type="cellIs" dxfId="4758" priority="388" operator="greaterThan">
      <formula>0.85</formula>
    </cfRule>
  </conditionalFormatting>
  <conditionalFormatting sqref="N6">
    <cfRule type="cellIs" dxfId="4757" priority="385" operator="greaterThan">
      <formula>0.9</formula>
    </cfRule>
    <cfRule type="cellIs" dxfId="4756" priority="386" operator="greaterThan">
      <formula>0.85</formula>
    </cfRule>
  </conditionalFormatting>
  <conditionalFormatting sqref="E6">
    <cfRule type="expression" dxfId="4755" priority="381">
      <formula>AND(IF(OR($Q6=1,$Q6=2),1,0),IF($X6&lt;=20,1,0))</formula>
    </cfRule>
    <cfRule type="expression" dxfId="4754" priority="382">
      <formula>AND(IF($Q6=2,1,0),IF($X6&lt;30,1,0))</formula>
    </cfRule>
    <cfRule type="expression" dxfId="4753" priority="383">
      <formula>AND(IF($Q6=3,1,0),IF($X6&lt;30,1,0))</formula>
    </cfRule>
    <cfRule type="expression" dxfId="4752" priority="384">
      <formula>AND(IF($Q6=3,1,IF($Q6=4,1,0)),IF($F6&lt;=85,1,0))</formula>
    </cfRule>
  </conditionalFormatting>
  <conditionalFormatting sqref="X6">
    <cfRule type="expression" dxfId="4751" priority="377">
      <formula>AND(IF(OR($Q6=1,$Q6=2),1,0),IF($X6&lt;=20,1,0))</formula>
    </cfRule>
    <cfRule type="expression" dxfId="4750" priority="378">
      <formula>AND(IF($Q6=2,1,0),IF($X6&lt;30,1,0))</formula>
    </cfRule>
    <cfRule type="expression" dxfId="4749" priority="379">
      <formula>AND(IF($Q6=3,1,0),IF($X6&lt;30,1,0))</formula>
    </cfRule>
    <cfRule type="expression" dxfId="4748" priority="380">
      <formula>AND(IF($Q6=3,1,IF($Q6=4,1,0)),IF($F6&lt;=85,1,0))</formula>
    </cfRule>
  </conditionalFormatting>
  <conditionalFormatting sqref="AI6">
    <cfRule type="expression" dxfId="4747" priority="373">
      <formula>AND(IF(OR($Q6=1,$Q6=2),1,0),IF($X6&lt;=20,1,0))</formula>
    </cfRule>
    <cfRule type="expression" dxfId="4746" priority="374">
      <formula>AND(IF($Q6=2,1,0),IF($X6&lt;30,1,0))</formula>
    </cfRule>
    <cfRule type="expression" dxfId="4745" priority="375">
      <formula>AND(IF($Q6=3,1,0),IF($X6&lt;30,1,0))</formula>
    </cfRule>
    <cfRule type="expression" dxfId="4744" priority="376">
      <formula>AND(IF($Q6=3,1,IF($Q6=4,1,0)),IF($F6&lt;=85,1,0))</formula>
    </cfRule>
  </conditionalFormatting>
  <conditionalFormatting sqref="AV7">
    <cfRule type="expression" dxfId="4743" priority="371">
      <formula>AV7="X"</formula>
    </cfRule>
    <cfRule type="expression" dxfId="4742" priority="372">
      <formula>AV7="후보"</formula>
    </cfRule>
  </conditionalFormatting>
  <conditionalFormatting sqref="Z7">
    <cfRule type="colorScale" priority="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741" priority="368" operator="greaterThan">
      <formula>0.9</formula>
    </cfRule>
    <cfRule type="cellIs" dxfId="4740" priority="369" operator="greaterThan">
      <formula>0.85</formula>
    </cfRule>
  </conditionalFormatting>
  <conditionalFormatting sqref="N7">
    <cfRule type="cellIs" dxfId="4739" priority="366" operator="greaterThan">
      <formula>0.9</formula>
    </cfRule>
    <cfRule type="cellIs" dxfId="4738" priority="367" operator="greaterThan">
      <formula>0.85</formula>
    </cfRule>
  </conditionalFormatting>
  <conditionalFormatting sqref="E7">
    <cfRule type="expression" dxfId="4737" priority="362">
      <formula>AND(IF(OR($Q7=1,$Q7=2),1,0),IF($X7&lt;=20,1,0))</formula>
    </cfRule>
    <cfRule type="expression" dxfId="4736" priority="363">
      <formula>AND(IF($Q7=2,1,0),IF($X7&lt;30,1,0))</formula>
    </cfRule>
    <cfRule type="expression" dxfId="4735" priority="364">
      <formula>AND(IF($Q7=3,1,0),IF($X7&lt;30,1,0))</formula>
    </cfRule>
    <cfRule type="expression" dxfId="4734" priority="365">
      <formula>AND(IF($Q7=3,1,IF($Q7=4,1,0)),IF($F7&lt;=85,1,0))</formula>
    </cfRule>
  </conditionalFormatting>
  <conditionalFormatting sqref="X7">
    <cfRule type="expression" dxfId="4733" priority="358">
      <formula>AND(IF(OR($Q7=1,$Q7=2),1,0),IF($X7&lt;=20,1,0))</formula>
    </cfRule>
    <cfRule type="expression" dxfId="4732" priority="359">
      <formula>AND(IF($Q7=2,1,0),IF($X7&lt;30,1,0))</formula>
    </cfRule>
    <cfRule type="expression" dxfId="4731" priority="360">
      <formula>AND(IF($Q7=3,1,0),IF($X7&lt;30,1,0))</formula>
    </cfRule>
    <cfRule type="expression" dxfId="4730" priority="361">
      <formula>AND(IF($Q7=3,1,IF($Q7=4,1,0)),IF($F7&lt;=85,1,0))</formula>
    </cfRule>
  </conditionalFormatting>
  <conditionalFormatting sqref="AI7">
    <cfRule type="expression" dxfId="4729" priority="354">
      <formula>AND(IF(OR($Q7=1,$Q7=2),1,0),IF($X7&lt;=20,1,0))</formula>
    </cfRule>
    <cfRule type="expression" dxfId="4728" priority="355">
      <formula>AND(IF($Q7=2,1,0),IF($X7&lt;30,1,0))</formula>
    </cfRule>
    <cfRule type="expression" dxfId="4727" priority="356">
      <formula>AND(IF($Q7=3,1,0),IF($X7&lt;30,1,0))</formula>
    </cfRule>
    <cfRule type="expression" dxfId="4726" priority="357">
      <formula>AND(IF($Q7=3,1,IF($Q7=4,1,0)),IF($F7&lt;=85,1,0))</formula>
    </cfRule>
  </conditionalFormatting>
  <conditionalFormatting sqref="AV8">
    <cfRule type="expression" dxfId="4725" priority="352">
      <formula>AV8="X"</formula>
    </cfRule>
    <cfRule type="expression" dxfId="4724" priority="353">
      <formula>AV8="후보"</formula>
    </cfRule>
  </conditionalFormatting>
  <conditionalFormatting sqref="Z8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4723" priority="349" operator="greaterThan">
      <formula>0.9</formula>
    </cfRule>
    <cfRule type="cellIs" dxfId="4722" priority="350" operator="greaterThan">
      <formula>0.85</formula>
    </cfRule>
  </conditionalFormatting>
  <conditionalFormatting sqref="AV9">
    <cfRule type="expression" dxfId="4721" priority="347">
      <formula>AV9="X"</formula>
    </cfRule>
    <cfRule type="expression" dxfId="4720" priority="348">
      <formula>AV9="후보"</formula>
    </cfRule>
  </conditionalFormatting>
  <conditionalFormatting sqref="Z9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719" priority="344" operator="greaterThan">
      <formula>0.9</formula>
    </cfRule>
    <cfRule type="cellIs" dxfId="4718" priority="345" operator="greaterThan">
      <formula>0.85</formula>
    </cfRule>
  </conditionalFormatting>
  <conditionalFormatting sqref="N9">
    <cfRule type="cellIs" dxfId="4717" priority="342" operator="greaterThan">
      <formula>0.9</formula>
    </cfRule>
    <cfRule type="cellIs" dxfId="4716" priority="343" operator="greaterThan">
      <formula>0.85</formula>
    </cfRule>
  </conditionalFormatting>
  <conditionalFormatting sqref="E9">
    <cfRule type="expression" dxfId="4715" priority="338">
      <formula>AND(IF(OR($Q9=1,$Q9=2),1,0),IF($X9&lt;=20,1,0))</formula>
    </cfRule>
    <cfRule type="expression" dxfId="4714" priority="339">
      <formula>AND(IF($Q9=2,1,0),IF($X9&lt;30,1,0))</formula>
    </cfRule>
    <cfRule type="expression" dxfId="4713" priority="340">
      <formula>AND(IF($Q9=3,1,0),IF($X9&lt;30,1,0))</formula>
    </cfRule>
    <cfRule type="expression" dxfId="4712" priority="341">
      <formula>AND(IF($Q9=3,1,IF($Q9=4,1,0)),IF($F9&lt;=85,1,0))</formula>
    </cfRule>
  </conditionalFormatting>
  <conditionalFormatting sqref="X9">
    <cfRule type="expression" dxfId="4711" priority="334">
      <formula>AND(IF(OR($Q9=1,$Q9=2),1,0),IF($X9&lt;=20,1,0))</formula>
    </cfRule>
    <cfRule type="expression" dxfId="4710" priority="335">
      <formula>AND(IF($Q9=2,1,0),IF($X9&lt;30,1,0))</formula>
    </cfRule>
    <cfRule type="expression" dxfId="4709" priority="336">
      <formula>AND(IF($Q9=3,1,0),IF($X9&lt;30,1,0))</formula>
    </cfRule>
    <cfRule type="expression" dxfId="4708" priority="337">
      <formula>AND(IF($Q9=3,1,IF($Q9=4,1,0)),IF($F9&lt;=85,1,0))</formula>
    </cfRule>
  </conditionalFormatting>
  <conditionalFormatting sqref="AI9">
    <cfRule type="expression" dxfId="4707" priority="330">
      <formula>AND(IF(OR($Q9=1,$Q9=2),1,0),IF($X9&lt;=20,1,0))</formula>
    </cfRule>
    <cfRule type="expression" dxfId="4706" priority="331">
      <formula>AND(IF($Q9=2,1,0),IF($X9&lt;30,1,0))</formula>
    </cfRule>
    <cfRule type="expression" dxfId="4705" priority="332">
      <formula>AND(IF($Q9=3,1,0),IF($X9&lt;30,1,0))</formula>
    </cfRule>
    <cfRule type="expression" dxfId="4704" priority="333">
      <formula>AND(IF($Q9=3,1,IF($Q9=4,1,0)),IF($F9&lt;=85,1,0))</formula>
    </cfRule>
  </conditionalFormatting>
  <conditionalFormatting sqref="AV10">
    <cfRule type="expression" dxfId="4703" priority="328">
      <formula>AV10="X"</formula>
    </cfRule>
    <cfRule type="expression" dxfId="4702" priority="329">
      <formula>AV10="후보"</formula>
    </cfRule>
  </conditionalFormatting>
  <conditionalFormatting sqref="Z10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701" priority="325" operator="greaterThan">
      <formula>0.9</formula>
    </cfRule>
    <cfRule type="cellIs" dxfId="4700" priority="326" operator="greaterThan">
      <formula>0.85</formula>
    </cfRule>
  </conditionalFormatting>
  <conditionalFormatting sqref="N10">
    <cfRule type="cellIs" dxfId="4699" priority="323" operator="greaterThan">
      <formula>0.9</formula>
    </cfRule>
    <cfRule type="cellIs" dxfId="4698" priority="324" operator="greaterThan">
      <formula>0.85</formula>
    </cfRule>
  </conditionalFormatting>
  <conditionalFormatting sqref="E10">
    <cfRule type="expression" dxfId="4697" priority="319">
      <formula>AND(IF(OR($Q10=1,$Q10=2),1,0),IF($X10&lt;=20,1,0))</formula>
    </cfRule>
    <cfRule type="expression" dxfId="4696" priority="320">
      <formula>AND(IF($Q10=2,1,0),IF($X10&lt;30,1,0))</formula>
    </cfRule>
    <cfRule type="expression" dxfId="4695" priority="321">
      <formula>AND(IF($Q10=3,1,0),IF($X10&lt;30,1,0))</formula>
    </cfRule>
    <cfRule type="expression" dxfId="4694" priority="322">
      <formula>AND(IF($Q10=3,1,IF($Q10=4,1,0)),IF($F10&lt;=85,1,0))</formula>
    </cfRule>
  </conditionalFormatting>
  <conditionalFormatting sqref="X10">
    <cfRule type="expression" dxfId="4693" priority="315">
      <formula>AND(IF(OR($Q10=1,$Q10=2),1,0),IF($X10&lt;=20,1,0))</formula>
    </cfRule>
    <cfRule type="expression" dxfId="4692" priority="316">
      <formula>AND(IF($Q10=2,1,0),IF($X10&lt;30,1,0))</formula>
    </cfRule>
    <cfRule type="expression" dxfId="4691" priority="317">
      <formula>AND(IF($Q10=3,1,0),IF($X10&lt;30,1,0))</formula>
    </cfRule>
    <cfRule type="expression" dxfId="4690" priority="318">
      <formula>AND(IF($Q10=3,1,IF($Q10=4,1,0)),IF($F10&lt;=85,1,0))</formula>
    </cfRule>
  </conditionalFormatting>
  <conditionalFormatting sqref="AI10">
    <cfRule type="expression" dxfId="4689" priority="311">
      <formula>AND(IF(OR($Q10=1,$Q10=2),1,0),IF($X10&lt;=20,1,0))</formula>
    </cfRule>
    <cfRule type="expression" dxfId="4688" priority="312">
      <formula>AND(IF($Q10=2,1,0),IF($X10&lt;30,1,0))</formula>
    </cfRule>
    <cfRule type="expression" dxfId="4687" priority="313">
      <formula>AND(IF($Q10=3,1,0),IF($X10&lt;30,1,0))</formula>
    </cfRule>
    <cfRule type="expression" dxfId="4686" priority="314">
      <formula>AND(IF($Q10=3,1,IF($Q10=4,1,0)),IF($F10&lt;=85,1,0))</formula>
    </cfRule>
  </conditionalFormatting>
  <conditionalFormatting sqref="AV11">
    <cfRule type="expression" dxfId="4685" priority="309">
      <formula>AV11="X"</formula>
    </cfRule>
    <cfRule type="expression" dxfId="4684" priority="310">
      <formula>AV11="후보"</formula>
    </cfRule>
  </conditionalFormatting>
  <conditionalFormatting sqref="Z11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4683" priority="306" operator="greaterThan">
      <formula>0.9</formula>
    </cfRule>
    <cfRule type="cellIs" dxfId="4682" priority="307" operator="greaterThan">
      <formula>0.85</formula>
    </cfRule>
  </conditionalFormatting>
  <conditionalFormatting sqref="AV12">
    <cfRule type="expression" dxfId="4681" priority="304">
      <formula>AV12="X"</formula>
    </cfRule>
    <cfRule type="expression" dxfId="4680" priority="305">
      <formula>AV12="후보"</formula>
    </cfRule>
  </conditionalFormatting>
  <conditionalFormatting sqref="Z12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4679" priority="301" operator="greaterThan">
      <formula>0.9</formula>
    </cfRule>
    <cfRule type="cellIs" dxfId="4678" priority="302" operator="greaterThan">
      <formula>0.85</formula>
    </cfRule>
  </conditionalFormatting>
  <conditionalFormatting sqref="N12">
    <cfRule type="cellIs" dxfId="4677" priority="299" operator="greaterThan">
      <formula>0.9</formula>
    </cfRule>
    <cfRule type="cellIs" dxfId="4676" priority="300" operator="greaterThan">
      <formula>0.85</formula>
    </cfRule>
  </conditionalFormatting>
  <conditionalFormatting sqref="E12">
    <cfRule type="expression" dxfId="4675" priority="295">
      <formula>AND(IF(OR($Q12=1,$Q12=2),1,0),IF($X12&lt;=20,1,0))</formula>
    </cfRule>
    <cfRule type="expression" dxfId="4674" priority="296">
      <formula>AND(IF($Q12=2,1,0),IF($X12&lt;30,1,0))</formula>
    </cfRule>
    <cfRule type="expression" dxfId="4673" priority="297">
      <formula>AND(IF($Q12=3,1,0),IF($X12&lt;30,1,0))</formula>
    </cfRule>
    <cfRule type="expression" dxfId="4672" priority="298">
      <formula>AND(IF($Q12=3,1,IF($Q12=4,1,0)),IF($F12&lt;=85,1,0))</formula>
    </cfRule>
  </conditionalFormatting>
  <conditionalFormatting sqref="X12">
    <cfRule type="expression" dxfId="4671" priority="291">
      <formula>AND(IF(OR($Q12=1,$Q12=2),1,0),IF($X12&lt;=20,1,0))</formula>
    </cfRule>
    <cfRule type="expression" dxfId="4670" priority="292">
      <formula>AND(IF($Q12=2,1,0),IF($X12&lt;30,1,0))</formula>
    </cfRule>
    <cfRule type="expression" dxfId="4669" priority="293">
      <formula>AND(IF($Q12=3,1,0),IF($X12&lt;30,1,0))</formula>
    </cfRule>
    <cfRule type="expression" dxfId="4668" priority="294">
      <formula>AND(IF($Q12=3,1,IF($Q12=4,1,0)),IF($F12&lt;=85,1,0))</formula>
    </cfRule>
  </conditionalFormatting>
  <conditionalFormatting sqref="AI12">
    <cfRule type="expression" dxfId="4667" priority="287">
      <formula>AND(IF(OR($Q12=1,$Q12=2),1,0),IF($X12&lt;=20,1,0))</formula>
    </cfRule>
    <cfRule type="expression" dxfId="4666" priority="288">
      <formula>AND(IF($Q12=2,1,0),IF($X12&lt;30,1,0))</formula>
    </cfRule>
    <cfRule type="expression" dxfId="4665" priority="289">
      <formula>AND(IF($Q12=3,1,0),IF($X12&lt;30,1,0))</formula>
    </cfRule>
    <cfRule type="expression" dxfId="4664" priority="290">
      <formula>AND(IF($Q12=3,1,IF($Q12=4,1,0)),IF($F12&lt;=85,1,0))</formula>
    </cfRule>
  </conditionalFormatting>
  <conditionalFormatting sqref="AV13">
    <cfRule type="expression" dxfId="4663" priority="285">
      <formula>AV13="X"</formula>
    </cfRule>
    <cfRule type="expression" dxfId="4662" priority="286">
      <formula>AV13="후보"</formula>
    </cfRule>
  </conditionalFormatting>
  <conditionalFormatting sqref="Z13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661" priority="282" operator="greaterThan">
      <formula>0.9</formula>
    </cfRule>
    <cfRule type="cellIs" dxfId="4660" priority="283" operator="greaterThan">
      <formula>0.85</formula>
    </cfRule>
  </conditionalFormatting>
  <conditionalFormatting sqref="N13">
    <cfRule type="cellIs" dxfId="4659" priority="280" operator="greaterThan">
      <formula>0.9</formula>
    </cfRule>
    <cfRule type="cellIs" dxfId="4658" priority="281" operator="greaterThan">
      <formula>0.85</formula>
    </cfRule>
  </conditionalFormatting>
  <conditionalFormatting sqref="E13">
    <cfRule type="expression" dxfId="4657" priority="276">
      <formula>AND(IF(OR($Q13=1,$Q13=2),1,0),IF($X13&lt;=20,1,0))</formula>
    </cfRule>
    <cfRule type="expression" dxfId="4656" priority="277">
      <formula>AND(IF($Q13=2,1,0),IF($X13&lt;30,1,0))</formula>
    </cfRule>
    <cfRule type="expression" dxfId="4655" priority="278">
      <formula>AND(IF($Q13=3,1,0),IF($X13&lt;30,1,0))</formula>
    </cfRule>
    <cfRule type="expression" dxfId="4654" priority="279">
      <formula>AND(IF($Q13=3,1,IF($Q13=4,1,0)),IF($F13&lt;=85,1,0))</formula>
    </cfRule>
  </conditionalFormatting>
  <conditionalFormatting sqref="X13">
    <cfRule type="expression" dxfId="4653" priority="272">
      <formula>AND(IF(OR($Q13=1,$Q13=2),1,0),IF($X13&lt;=20,1,0))</formula>
    </cfRule>
    <cfRule type="expression" dxfId="4652" priority="273">
      <formula>AND(IF($Q13=2,1,0),IF($X13&lt;30,1,0))</formula>
    </cfRule>
    <cfRule type="expression" dxfId="4651" priority="274">
      <formula>AND(IF($Q13=3,1,0),IF($X13&lt;30,1,0))</formula>
    </cfRule>
    <cfRule type="expression" dxfId="4650" priority="275">
      <formula>AND(IF($Q13=3,1,IF($Q13=4,1,0)),IF($F13&lt;=85,1,0))</formula>
    </cfRule>
  </conditionalFormatting>
  <conditionalFormatting sqref="AI13">
    <cfRule type="expression" dxfId="4649" priority="268">
      <formula>AND(IF(OR($Q13=1,$Q13=2),1,0),IF($X13&lt;=20,1,0))</formula>
    </cfRule>
    <cfRule type="expression" dxfId="4648" priority="269">
      <formula>AND(IF($Q13=2,1,0),IF($X13&lt;30,1,0))</formula>
    </cfRule>
    <cfRule type="expression" dxfId="4647" priority="270">
      <formula>AND(IF($Q13=3,1,0),IF($X13&lt;30,1,0))</formula>
    </cfRule>
    <cfRule type="expression" dxfId="4646" priority="271">
      <formula>AND(IF($Q13=3,1,IF($Q13=4,1,0)),IF($F13&lt;=85,1,0))</formula>
    </cfRule>
  </conditionalFormatting>
  <conditionalFormatting sqref="AV14">
    <cfRule type="expression" dxfId="4645" priority="266">
      <formula>AV14="X"</formula>
    </cfRule>
    <cfRule type="expression" dxfId="4644" priority="267">
      <formula>AV14="후보"</formula>
    </cfRule>
  </conditionalFormatting>
  <conditionalFormatting sqref="Z14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4643" priority="263" operator="greaterThan">
      <formula>0.9</formula>
    </cfRule>
    <cfRule type="cellIs" dxfId="4642" priority="264" operator="greaterThan">
      <formula>0.85</formula>
    </cfRule>
  </conditionalFormatting>
  <conditionalFormatting sqref="AV15">
    <cfRule type="expression" dxfId="4641" priority="261">
      <formula>AV15="X"</formula>
    </cfRule>
    <cfRule type="expression" dxfId="4640" priority="262">
      <formula>AV15="후보"</formula>
    </cfRule>
  </conditionalFormatting>
  <conditionalFormatting sqref="Z1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4639" priority="258" operator="greaterThan">
      <formula>0.9</formula>
    </cfRule>
    <cfRule type="cellIs" dxfId="4638" priority="259" operator="greaterThan">
      <formula>0.85</formula>
    </cfRule>
  </conditionalFormatting>
  <conditionalFormatting sqref="N15">
    <cfRule type="cellIs" dxfId="4637" priority="256" operator="greaterThan">
      <formula>0.9</formula>
    </cfRule>
    <cfRule type="cellIs" dxfId="4636" priority="257" operator="greaterThan">
      <formula>0.85</formula>
    </cfRule>
  </conditionalFormatting>
  <conditionalFormatting sqref="E15">
    <cfRule type="expression" dxfId="4635" priority="252">
      <formula>AND(IF(OR($Q15=1,$Q15=2),1,0),IF($X15&lt;=20,1,0))</formula>
    </cfRule>
    <cfRule type="expression" dxfId="4634" priority="253">
      <formula>AND(IF($Q15=2,1,0),IF($X15&lt;30,1,0))</formula>
    </cfRule>
    <cfRule type="expression" dxfId="4633" priority="254">
      <formula>AND(IF($Q15=3,1,0),IF($X15&lt;30,1,0))</formula>
    </cfRule>
    <cfRule type="expression" dxfId="4632" priority="255">
      <formula>AND(IF($Q15=3,1,IF($Q15=4,1,0)),IF($F15&lt;=85,1,0))</formula>
    </cfRule>
  </conditionalFormatting>
  <conditionalFormatting sqref="X15">
    <cfRule type="expression" dxfId="4631" priority="248">
      <formula>AND(IF(OR($Q15=1,$Q15=2),1,0),IF($X15&lt;=20,1,0))</formula>
    </cfRule>
    <cfRule type="expression" dxfId="4630" priority="249">
      <formula>AND(IF($Q15=2,1,0),IF($X15&lt;30,1,0))</formula>
    </cfRule>
    <cfRule type="expression" dxfId="4629" priority="250">
      <formula>AND(IF($Q15=3,1,0),IF($X15&lt;30,1,0))</formula>
    </cfRule>
    <cfRule type="expression" dxfId="4628" priority="251">
      <formula>AND(IF($Q15=3,1,IF($Q15=4,1,0)),IF($F15&lt;=85,1,0))</formula>
    </cfRule>
  </conditionalFormatting>
  <conditionalFormatting sqref="AI15">
    <cfRule type="expression" dxfId="4627" priority="244">
      <formula>AND(IF(OR($Q15=1,$Q15=2),1,0),IF($X15&lt;=20,1,0))</formula>
    </cfRule>
    <cfRule type="expression" dxfId="4626" priority="245">
      <formula>AND(IF($Q15=2,1,0),IF($X15&lt;30,1,0))</formula>
    </cfRule>
    <cfRule type="expression" dxfId="4625" priority="246">
      <formula>AND(IF($Q15=3,1,0),IF($X15&lt;30,1,0))</formula>
    </cfRule>
    <cfRule type="expression" dxfId="4624" priority="247">
      <formula>AND(IF($Q15=3,1,IF($Q15=4,1,0)),IF($F15&lt;=85,1,0))</formula>
    </cfRule>
  </conditionalFormatting>
  <conditionalFormatting sqref="AV16">
    <cfRule type="expression" dxfId="4623" priority="242">
      <formula>AV16="X"</formula>
    </cfRule>
    <cfRule type="expression" dxfId="4622" priority="243">
      <formula>AV16="후보"</formula>
    </cfRule>
  </conditionalFormatting>
  <conditionalFormatting sqref="Z1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621" priority="239" operator="greaterThan">
      <formula>0.9</formula>
    </cfRule>
    <cfRule type="cellIs" dxfId="4620" priority="240" operator="greaterThan">
      <formula>0.85</formula>
    </cfRule>
  </conditionalFormatting>
  <conditionalFormatting sqref="N16">
    <cfRule type="cellIs" dxfId="4619" priority="237" operator="greaterThan">
      <formula>0.9</formula>
    </cfRule>
    <cfRule type="cellIs" dxfId="4618" priority="238" operator="greaterThan">
      <formula>0.85</formula>
    </cfRule>
  </conditionalFormatting>
  <conditionalFormatting sqref="E16">
    <cfRule type="expression" dxfId="4617" priority="233">
      <formula>AND(IF(OR($Q16=1,$Q16=2),1,0),IF($X16&lt;=20,1,0))</formula>
    </cfRule>
    <cfRule type="expression" dxfId="4616" priority="234">
      <formula>AND(IF($Q16=2,1,0),IF($X16&lt;30,1,0))</formula>
    </cfRule>
    <cfRule type="expression" dxfId="4615" priority="235">
      <formula>AND(IF($Q16=3,1,0),IF($X16&lt;30,1,0))</formula>
    </cfRule>
    <cfRule type="expression" dxfId="4614" priority="236">
      <formula>AND(IF($Q16=3,1,IF($Q16=4,1,0)),IF($F16&lt;=85,1,0))</formula>
    </cfRule>
  </conditionalFormatting>
  <conditionalFormatting sqref="X16">
    <cfRule type="expression" dxfId="4613" priority="229">
      <formula>AND(IF(OR($Q16=1,$Q16=2),1,0),IF($X16&lt;=20,1,0))</formula>
    </cfRule>
    <cfRule type="expression" dxfId="4612" priority="230">
      <formula>AND(IF($Q16=2,1,0),IF($X16&lt;30,1,0))</formula>
    </cfRule>
    <cfRule type="expression" dxfId="4611" priority="231">
      <formula>AND(IF($Q16=3,1,0),IF($X16&lt;30,1,0))</formula>
    </cfRule>
    <cfRule type="expression" dxfId="4610" priority="232">
      <formula>AND(IF($Q16=3,1,IF($Q16=4,1,0)),IF($F16&lt;=85,1,0))</formula>
    </cfRule>
  </conditionalFormatting>
  <conditionalFormatting sqref="AI16">
    <cfRule type="expression" dxfId="4609" priority="225">
      <formula>AND(IF(OR($Q16=1,$Q16=2),1,0),IF($X16&lt;=20,1,0))</formula>
    </cfRule>
    <cfRule type="expression" dxfId="4608" priority="226">
      <formula>AND(IF($Q16=2,1,0),IF($X16&lt;30,1,0))</formula>
    </cfRule>
    <cfRule type="expression" dxfId="4607" priority="227">
      <formula>AND(IF($Q16=3,1,0),IF($X16&lt;30,1,0))</formula>
    </cfRule>
    <cfRule type="expression" dxfId="4606" priority="228">
      <formula>AND(IF($Q16=3,1,IF($Q16=4,1,0)),IF($F16&lt;=85,1,0))</formula>
    </cfRule>
  </conditionalFormatting>
  <conditionalFormatting sqref="AV17">
    <cfRule type="expression" dxfId="4605" priority="223">
      <formula>AV17="X"</formula>
    </cfRule>
    <cfRule type="expression" dxfId="4604" priority="224">
      <formula>AV17="후보"</formula>
    </cfRule>
  </conditionalFormatting>
  <conditionalFormatting sqref="Z17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603" priority="220" operator="greaterThan">
      <formula>0.9</formula>
    </cfRule>
    <cfRule type="cellIs" dxfId="4602" priority="221" operator="greaterThan">
      <formula>0.85</formula>
    </cfRule>
  </conditionalFormatting>
  <conditionalFormatting sqref="N17">
    <cfRule type="cellIs" dxfId="4601" priority="218" operator="greaterThan">
      <formula>0.9</formula>
    </cfRule>
    <cfRule type="cellIs" dxfId="4600" priority="219" operator="greaterThan">
      <formula>0.85</formula>
    </cfRule>
  </conditionalFormatting>
  <conditionalFormatting sqref="E17">
    <cfRule type="expression" dxfId="4599" priority="214">
      <formula>AND(IF(OR($Q17=1,$Q17=2),1,0),IF($X17&lt;=20,1,0))</formula>
    </cfRule>
    <cfRule type="expression" dxfId="4598" priority="215">
      <formula>AND(IF($Q17=2,1,0),IF($X17&lt;30,1,0))</formula>
    </cfRule>
    <cfRule type="expression" dxfId="4597" priority="216">
      <formula>AND(IF($Q17=3,1,0),IF($X17&lt;30,1,0))</formula>
    </cfRule>
    <cfRule type="expression" dxfId="4596" priority="217">
      <formula>AND(IF($Q17=3,1,IF($Q17=4,1,0)),IF($F17&lt;=85,1,0))</formula>
    </cfRule>
  </conditionalFormatting>
  <conditionalFormatting sqref="X17">
    <cfRule type="expression" dxfId="4595" priority="210">
      <formula>AND(IF(OR($Q17=1,$Q17=2),1,0),IF($X17&lt;=20,1,0))</formula>
    </cfRule>
    <cfRule type="expression" dxfId="4594" priority="211">
      <formula>AND(IF($Q17=2,1,0),IF($X17&lt;30,1,0))</formula>
    </cfRule>
    <cfRule type="expression" dxfId="4593" priority="212">
      <formula>AND(IF($Q17=3,1,0),IF($X17&lt;30,1,0))</formula>
    </cfRule>
    <cfRule type="expression" dxfId="4592" priority="213">
      <formula>AND(IF($Q17=3,1,IF($Q17=4,1,0)),IF($F17&lt;=85,1,0))</formula>
    </cfRule>
  </conditionalFormatting>
  <conditionalFormatting sqref="AI17">
    <cfRule type="expression" dxfId="4591" priority="206">
      <formula>AND(IF(OR($Q17=1,$Q17=2),1,0),IF($X17&lt;=20,1,0))</formula>
    </cfRule>
    <cfRule type="expression" dxfId="4590" priority="207">
      <formula>AND(IF($Q17=2,1,0),IF($X17&lt;30,1,0))</formula>
    </cfRule>
    <cfRule type="expression" dxfId="4589" priority="208">
      <formula>AND(IF($Q17=3,1,0),IF($X17&lt;30,1,0))</formula>
    </cfRule>
    <cfRule type="expression" dxfId="4588" priority="209">
      <formula>AND(IF($Q17=3,1,IF($Q17=4,1,0)),IF($F17&lt;=85,1,0))</formula>
    </cfRule>
  </conditionalFormatting>
  <conditionalFormatting sqref="AV18">
    <cfRule type="expression" dxfId="4587" priority="204">
      <formula>AV18="X"</formula>
    </cfRule>
    <cfRule type="expression" dxfId="4586" priority="205">
      <formula>AV18="후보"</formula>
    </cfRule>
  </conditionalFormatting>
  <conditionalFormatting sqref="Z18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4585" priority="201" operator="greaterThan">
      <formula>0.9</formula>
    </cfRule>
    <cfRule type="cellIs" dxfId="4584" priority="202" operator="greaterThan">
      <formula>0.85</formula>
    </cfRule>
  </conditionalFormatting>
  <conditionalFormatting sqref="AV19">
    <cfRule type="expression" dxfId="4583" priority="199">
      <formula>AV19="X"</formula>
    </cfRule>
    <cfRule type="expression" dxfId="4582" priority="200">
      <formula>AV19="후보"</formula>
    </cfRule>
  </conditionalFormatting>
  <conditionalFormatting sqref="Z1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4581" priority="196" operator="greaterThan">
      <formula>0.9</formula>
    </cfRule>
    <cfRule type="cellIs" dxfId="4580" priority="197" operator="greaterThan">
      <formula>0.85</formula>
    </cfRule>
  </conditionalFormatting>
  <conditionalFormatting sqref="N19">
    <cfRule type="cellIs" dxfId="4579" priority="194" operator="greaterThan">
      <formula>0.9</formula>
    </cfRule>
    <cfRule type="cellIs" dxfId="4578" priority="195" operator="greaterThan">
      <formula>0.85</formula>
    </cfRule>
  </conditionalFormatting>
  <conditionalFormatting sqref="E19">
    <cfRule type="expression" dxfId="4577" priority="190">
      <formula>AND(IF(OR($Q19=1,$Q19=2),1,0),IF($X19&lt;=20,1,0))</formula>
    </cfRule>
    <cfRule type="expression" dxfId="4576" priority="191">
      <formula>AND(IF($Q19=2,1,0),IF($X19&lt;30,1,0))</formula>
    </cfRule>
    <cfRule type="expression" dxfId="4575" priority="192">
      <formula>AND(IF($Q19=3,1,0),IF($X19&lt;30,1,0))</formula>
    </cfRule>
    <cfRule type="expression" dxfId="4574" priority="193">
      <formula>AND(IF($Q19=3,1,IF($Q19=4,1,0)),IF($F19&lt;=85,1,0))</formula>
    </cfRule>
  </conditionalFormatting>
  <conditionalFormatting sqref="X19">
    <cfRule type="expression" dxfId="4573" priority="186">
      <formula>AND(IF(OR($Q19=1,$Q19=2),1,0),IF($X19&lt;=20,1,0))</formula>
    </cfRule>
    <cfRule type="expression" dxfId="4572" priority="187">
      <formula>AND(IF($Q19=2,1,0),IF($X19&lt;30,1,0))</formula>
    </cfRule>
    <cfRule type="expression" dxfId="4571" priority="188">
      <formula>AND(IF($Q19=3,1,0),IF($X19&lt;30,1,0))</formula>
    </cfRule>
    <cfRule type="expression" dxfId="4570" priority="189">
      <formula>AND(IF($Q19=3,1,IF($Q19=4,1,0)),IF($F19&lt;=85,1,0))</formula>
    </cfRule>
  </conditionalFormatting>
  <conditionalFormatting sqref="AI19">
    <cfRule type="expression" dxfId="4569" priority="182">
      <formula>AND(IF(OR($Q19=1,$Q19=2),1,0),IF($X19&lt;=20,1,0))</formula>
    </cfRule>
    <cfRule type="expression" dxfId="4568" priority="183">
      <formula>AND(IF($Q19=2,1,0),IF($X19&lt;30,1,0))</formula>
    </cfRule>
    <cfRule type="expression" dxfId="4567" priority="184">
      <formula>AND(IF($Q19=3,1,0),IF($X19&lt;30,1,0))</formula>
    </cfRule>
    <cfRule type="expression" dxfId="4566" priority="185">
      <formula>AND(IF($Q19=3,1,IF($Q19=4,1,0)),IF($F19&lt;=85,1,0))</formula>
    </cfRule>
  </conditionalFormatting>
  <conditionalFormatting sqref="AV20">
    <cfRule type="expression" dxfId="4565" priority="180">
      <formula>AV20="X"</formula>
    </cfRule>
    <cfRule type="expression" dxfId="4564" priority="181">
      <formula>AV20="후보"</formula>
    </cfRule>
  </conditionalFormatting>
  <conditionalFormatting sqref="Z2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4563" priority="177" operator="greaterThan">
      <formula>0.9</formula>
    </cfRule>
    <cfRule type="cellIs" dxfId="4562" priority="178" operator="greaterThan">
      <formula>0.85</formula>
    </cfRule>
  </conditionalFormatting>
  <conditionalFormatting sqref="N20">
    <cfRule type="cellIs" dxfId="4561" priority="175" operator="greaterThan">
      <formula>0.9</formula>
    </cfRule>
    <cfRule type="cellIs" dxfId="4560" priority="176" operator="greaterThan">
      <formula>0.85</formula>
    </cfRule>
  </conditionalFormatting>
  <conditionalFormatting sqref="E20">
    <cfRule type="expression" dxfId="4559" priority="171">
      <formula>AND(IF(OR($Q20=1,$Q20=2),1,0),IF($X20&lt;=20,1,0))</formula>
    </cfRule>
    <cfRule type="expression" dxfId="4558" priority="172">
      <formula>AND(IF($Q20=2,1,0),IF($X20&lt;30,1,0))</formula>
    </cfRule>
    <cfRule type="expression" dxfId="4557" priority="173">
      <formula>AND(IF($Q20=3,1,0),IF($X20&lt;30,1,0))</formula>
    </cfRule>
    <cfRule type="expression" dxfId="4556" priority="174">
      <formula>AND(IF($Q20=3,1,IF($Q20=4,1,0)),IF($F20&lt;=85,1,0))</formula>
    </cfRule>
  </conditionalFormatting>
  <conditionalFormatting sqref="X20">
    <cfRule type="expression" dxfId="4555" priority="167">
      <formula>AND(IF(OR($Q20=1,$Q20=2),1,0),IF($X20&lt;=20,1,0))</formula>
    </cfRule>
    <cfRule type="expression" dxfId="4554" priority="168">
      <formula>AND(IF($Q20=2,1,0),IF($X20&lt;30,1,0))</formula>
    </cfRule>
    <cfRule type="expression" dxfId="4553" priority="169">
      <formula>AND(IF($Q20=3,1,0),IF($X20&lt;30,1,0))</formula>
    </cfRule>
    <cfRule type="expression" dxfId="4552" priority="170">
      <formula>AND(IF($Q20=3,1,IF($Q20=4,1,0)),IF($F20&lt;=85,1,0))</formula>
    </cfRule>
  </conditionalFormatting>
  <conditionalFormatting sqref="AI20">
    <cfRule type="expression" dxfId="4551" priority="163">
      <formula>AND(IF(OR($Q20=1,$Q20=2),1,0),IF($X20&lt;=20,1,0))</formula>
    </cfRule>
    <cfRule type="expression" dxfId="4550" priority="164">
      <formula>AND(IF($Q20=2,1,0),IF($X20&lt;30,1,0))</formula>
    </cfRule>
    <cfRule type="expression" dxfId="4549" priority="165">
      <formula>AND(IF($Q20=3,1,0),IF($X20&lt;30,1,0))</formula>
    </cfRule>
    <cfRule type="expression" dxfId="4548" priority="166">
      <formula>AND(IF($Q20=3,1,IF($Q20=4,1,0)),IF($F20&lt;=85,1,0))</formula>
    </cfRule>
  </conditionalFormatting>
  <conditionalFormatting sqref="AV21">
    <cfRule type="expression" dxfId="4547" priority="161">
      <formula>AV21="X"</formula>
    </cfRule>
    <cfRule type="expression" dxfId="4546" priority="162">
      <formula>AV21="후보"</formula>
    </cfRule>
  </conditionalFormatting>
  <conditionalFormatting sqref="Z2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4545" priority="158" operator="greaterThan">
      <formula>0.9</formula>
    </cfRule>
    <cfRule type="cellIs" dxfId="4544" priority="159" operator="greaterThan">
      <formula>0.85</formula>
    </cfRule>
  </conditionalFormatting>
  <conditionalFormatting sqref="N21">
    <cfRule type="cellIs" dxfId="4543" priority="156" operator="greaterThan">
      <formula>0.9</formula>
    </cfRule>
    <cfRule type="cellIs" dxfId="4542" priority="157" operator="greaterThan">
      <formula>0.85</formula>
    </cfRule>
  </conditionalFormatting>
  <conditionalFormatting sqref="E21">
    <cfRule type="expression" dxfId="4541" priority="152">
      <formula>AND(IF(OR($Q21=1,$Q21=2),1,0),IF($X21&lt;=20,1,0))</formula>
    </cfRule>
    <cfRule type="expression" dxfId="4540" priority="153">
      <formula>AND(IF($Q21=2,1,0),IF($X21&lt;30,1,0))</formula>
    </cfRule>
    <cfRule type="expression" dxfId="4539" priority="154">
      <formula>AND(IF($Q21=3,1,0),IF($X21&lt;30,1,0))</formula>
    </cfRule>
    <cfRule type="expression" dxfId="4538" priority="155">
      <formula>AND(IF($Q21=3,1,IF($Q21=4,1,0)),IF($F21&lt;=85,1,0))</formula>
    </cfRule>
  </conditionalFormatting>
  <conditionalFormatting sqref="X21">
    <cfRule type="expression" dxfId="4537" priority="148">
      <formula>AND(IF(OR($Q21=1,$Q21=2),1,0),IF($X21&lt;=20,1,0))</formula>
    </cfRule>
    <cfRule type="expression" dxfId="4536" priority="149">
      <formula>AND(IF($Q21=2,1,0),IF($X21&lt;30,1,0))</formula>
    </cfRule>
    <cfRule type="expression" dxfId="4535" priority="150">
      <formula>AND(IF($Q21=3,1,0),IF($X21&lt;30,1,0))</formula>
    </cfRule>
    <cfRule type="expression" dxfId="4534" priority="151">
      <formula>AND(IF($Q21=3,1,IF($Q21=4,1,0)),IF($F21&lt;=85,1,0))</formula>
    </cfRule>
  </conditionalFormatting>
  <conditionalFormatting sqref="AI21">
    <cfRule type="expression" dxfId="4533" priority="144">
      <formula>AND(IF(OR($Q21=1,$Q21=2),1,0),IF($X21&lt;=20,1,0))</formula>
    </cfRule>
    <cfRule type="expression" dxfId="4532" priority="145">
      <formula>AND(IF($Q21=2,1,0),IF($X21&lt;30,1,0))</formula>
    </cfRule>
    <cfRule type="expression" dxfId="4531" priority="146">
      <formula>AND(IF($Q21=3,1,0),IF($X21&lt;30,1,0))</formula>
    </cfRule>
    <cfRule type="expression" dxfId="4530" priority="147">
      <formula>AND(IF($Q21=3,1,IF($Q21=4,1,0)),IF($F21&lt;=85,1,0))</formula>
    </cfRule>
  </conditionalFormatting>
  <conditionalFormatting sqref="AV22">
    <cfRule type="expression" dxfId="4529" priority="142">
      <formula>AV22="X"</formula>
    </cfRule>
    <cfRule type="expression" dxfId="4528" priority="143">
      <formula>AV22="후보"</formula>
    </cfRule>
  </conditionalFormatting>
  <conditionalFormatting sqref="Z22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4527" priority="139" operator="greaterThan">
      <formula>0.9</formula>
    </cfRule>
    <cfRule type="cellIs" dxfId="4526" priority="140" operator="greaterThan">
      <formula>0.85</formula>
    </cfRule>
  </conditionalFormatting>
  <conditionalFormatting sqref="AV23">
    <cfRule type="expression" dxfId="4525" priority="137">
      <formula>AV23="X"</formula>
    </cfRule>
    <cfRule type="expression" dxfId="4524" priority="138">
      <formula>AV23="후보"</formula>
    </cfRule>
  </conditionalFormatting>
  <conditionalFormatting sqref="Z2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4523" priority="134" operator="greaterThan">
      <formula>0.9</formula>
    </cfRule>
    <cfRule type="cellIs" dxfId="4522" priority="135" operator="greaterThan">
      <formula>0.85</formula>
    </cfRule>
  </conditionalFormatting>
  <conditionalFormatting sqref="N23">
    <cfRule type="cellIs" dxfId="4521" priority="132" operator="greaterThan">
      <formula>0.9</formula>
    </cfRule>
    <cfRule type="cellIs" dxfId="4520" priority="133" operator="greaterThan">
      <formula>0.85</formula>
    </cfRule>
  </conditionalFormatting>
  <conditionalFormatting sqref="E23">
    <cfRule type="expression" dxfId="4519" priority="128">
      <formula>AND(IF(OR($Q23=1,$Q23=2),1,0),IF($X23&lt;=20,1,0))</formula>
    </cfRule>
    <cfRule type="expression" dxfId="4518" priority="129">
      <formula>AND(IF($Q23=2,1,0),IF($X23&lt;30,1,0))</formula>
    </cfRule>
    <cfRule type="expression" dxfId="4517" priority="130">
      <formula>AND(IF($Q23=3,1,0),IF($X23&lt;30,1,0))</formula>
    </cfRule>
    <cfRule type="expression" dxfId="4516" priority="131">
      <formula>AND(IF($Q23=3,1,IF($Q23=4,1,0)),IF($F23&lt;=85,1,0))</formula>
    </cfRule>
  </conditionalFormatting>
  <conditionalFormatting sqref="X23">
    <cfRule type="expression" dxfId="4515" priority="124">
      <formula>AND(IF(OR($Q23=1,$Q23=2),1,0),IF($X23&lt;=20,1,0))</formula>
    </cfRule>
    <cfRule type="expression" dxfId="4514" priority="125">
      <formula>AND(IF($Q23=2,1,0),IF($X23&lt;30,1,0))</formula>
    </cfRule>
    <cfRule type="expression" dxfId="4513" priority="126">
      <formula>AND(IF($Q23=3,1,0),IF($X23&lt;30,1,0))</formula>
    </cfRule>
    <cfRule type="expression" dxfId="4512" priority="127">
      <formula>AND(IF($Q23=3,1,IF($Q23=4,1,0)),IF($F23&lt;=85,1,0))</formula>
    </cfRule>
  </conditionalFormatting>
  <conditionalFormatting sqref="AI23">
    <cfRule type="expression" dxfId="4511" priority="120">
      <formula>AND(IF(OR($Q23=1,$Q23=2),1,0),IF($X23&lt;=20,1,0))</formula>
    </cfRule>
    <cfRule type="expression" dxfId="4510" priority="121">
      <formula>AND(IF($Q23=2,1,0),IF($X23&lt;30,1,0))</formula>
    </cfRule>
    <cfRule type="expression" dxfId="4509" priority="122">
      <formula>AND(IF($Q23=3,1,0),IF($X23&lt;30,1,0))</formula>
    </cfRule>
    <cfRule type="expression" dxfId="4508" priority="123">
      <formula>AND(IF($Q23=3,1,IF($Q23=4,1,0)),IF($F23&lt;=85,1,0))</formula>
    </cfRule>
  </conditionalFormatting>
  <conditionalFormatting sqref="AV24">
    <cfRule type="expression" dxfId="4507" priority="118">
      <formula>AV24="X"</formula>
    </cfRule>
    <cfRule type="expression" dxfId="4506" priority="119">
      <formula>AV24="후보"</formula>
    </cfRule>
  </conditionalFormatting>
  <conditionalFormatting sqref="Z2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4505" priority="115" operator="greaterThan">
      <formula>0.9</formula>
    </cfRule>
    <cfRule type="cellIs" dxfId="4504" priority="116" operator="greaterThan">
      <formula>0.85</formula>
    </cfRule>
  </conditionalFormatting>
  <conditionalFormatting sqref="N24">
    <cfRule type="cellIs" dxfId="4503" priority="113" operator="greaterThan">
      <formula>0.9</formula>
    </cfRule>
    <cfRule type="cellIs" dxfId="4502" priority="114" operator="greaterThan">
      <formula>0.85</formula>
    </cfRule>
  </conditionalFormatting>
  <conditionalFormatting sqref="E24">
    <cfRule type="expression" dxfId="4501" priority="109">
      <formula>AND(IF(OR($Q24=1,$Q24=2),1,0),IF($X24&lt;=20,1,0))</formula>
    </cfRule>
    <cfRule type="expression" dxfId="4500" priority="110">
      <formula>AND(IF($Q24=2,1,0),IF($X24&lt;30,1,0))</formula>
    </cfRule>
    <cfRule type="expression" dxfId="4499" priority="111">
      <formula>AND(IF($Q24=3,1,0),IF($X24&lt;30,1,0))</formula>
    </cfRule>
    <cfRule type="expression" dxfId="4498" priority="112">
      <formula>AND(IF($Q24=3,1,IF($Q24=4,1,0)),IF($F24&lt;=85,1,0))</formula>
    </cfRule>
  </conditionalFormatting>
  <conditionalFormatting sqref="X24">
    <cfRule type="expression" dxfId="4497" priority="105">
      <formula>AND(IF(OR($Q24=1,$Q24=2),1,0),IF($X24&lt;=20,1,0))</formula>
    </cfRule>
    <cfRule type="expression" dxfId="4496" priority="106">
      <formula>AND(IF($Q24=2,1,0),IF($X24&lt;30,1,0))</formula>
    </cfRule>
    <cfRule type="expression" dxfId="4495" priority="107">
      <formula>AND(IF($Q24=3,1,0),IF($X24&lt;30,1,0))</formula>
    </cfRule>
    <cfRule type="expression" dxfId="4494" priority="108">
      <formula>AND(IF($Q24=3,1,IF($Q24=4,1,0)),IF($F24&lt;=85,1,0))</formula>
    </cfRule>
  </conditionalFormatting>
  <conditionalFormatting sqref="AI24">
    <cfRule type="expression" dxfId="4493" priority="101">
      <formula>AND(IF(OR($Q24=1,$Q24=2),1,0),IF($X24&lt;=20,1,0))</formula>
    </cfRule>
    <cfRule type="expression" dxfId="4492" priority="102">
      <formula>AND(IF($Q24=2,1,0),IF($X24&lt;30,1,0))</formula>
    </cfRule>
    <cfRule type="expression" dxfId="4491" priority="103">
      <formula>AND(IF($Q24=3,1,0),IF($X24&lt;30,1,0))</formula>
    </cfRule>
    <cfRule type="expression" dxfId="4490" priority="104">
      <formula>AND(IF($Q24=3,1,IF($Q24=4,1,0)),IF($F24&lt;=85,1,0))</formula>
    </cfRule>
  </conditionalFormatting>
  <conditionalFormatting sqref="AV25">
    <cfRule type="expression" dxfId="4489" priority="99">
      <formula>AV25="X"</formula>
    </cfRule>
    <cfRule type="expression" dxfId="4488" priority="100">
      <formula>AV25="후보"</formula>
    </cfRule>
  </conditionalFormatting>
  <conditionalFormatting sqref="Z2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4487" priority="96" operator="greaterThan">
      <formula>0.9</formula>
    </cfRule>
    <cfRule type="cellIs" dxfId="4486" priority="97" operator="greaterThan">
      <formula>0.85</formula>
    </cfRule>
  </conditionalFormatting>
  <conditionalFormatting sqref="N25">
    <cfRule type="cellIs" dxfId="4485" priority="94" operator="greaterThan">
      <formula>0.9</formula>
    </cfRule>
    <cfRule type="cellIs" dxfId="4484" priority="95" operator="greaterThan">
      <formula>0.85</formula>
    </cfRule>
  </conditionalFormatting>
  <conditionalFormatting sqref="E25">
    <cfRule type="expression" dxfId="4483" priority="90">
      <formula>AND(IF(OR($Q25=1,$Q25=2),1,0),IF($X25&lt;=20,1,0))</formula>
    </cfRule>
    <cfRule type="expression" dxfId="4482" priority="91">
      <formula>AND(IF($Q25=2,1,0),IF($X25&lt;30,1,0))</formula>
    </cfRule>
    <cfRule type="expression" dxfId="4481" priority="92">
      <formula>AND(IF($Q25=3,1,0),IF($X25&lt;30,1,0))</formula>
    </cfRule>
    <cfRule type="expression" dxfId="4480" priority="93">
      <formula>AND(IF($Q25=3,1,IF($Q25=4,1,0)),IF($F25&lt;=85,1,0))</formula>
    </cfRule>
  </conditionalFormatting>
  <conditionalFormatting sqref="X25">
    <cfRule type="expression" dxfId="4479" priority="86">
      <formula>AND(IF(OR($Q25=1,$Q25=2),1,0),IF($X25&lt;=20,1,0))</formula>
    </cfRule>
    <cfRule type="expression" dxfId="4478" priority="87">
      <formula>AND(IF($Q25=2,1,0),IF($X25&lt;30,1,0))</formula>
    </cfRule>
    <cfRule type="expression" dxfId="4477" priority="88">
      <formula>AND(IF($Q25=3,1,0),IF($X25&lt;30,1,0))</formula>
    </cfRule>
    <cfRule type="expression" dxfId="4476" priority="89">
      <formula>AND(IF($Q25=3,1,IF($Q25=4,1,0)),IF($F25&lt;=85,1,0))</formula>
    </cfRule>
  </conditionalFormatting>
  <conditionalFormatting sqref="AI25">
    <cfRule type="expression" dxfId="4475" priority="82">
      <formula>AND(IF(OR($Q25=1,$Q25=2),1,0),IF($X25&lt;=20,1,0))</formula>
    </cfRule>
    <cfRule type="expression" dxfId="4474" priority="83">
      <formula>AND(IF($Q25=2,1,0),IF($X25&lt;30,1,0))</formula>
    </cfRule>
    <cfRule type="expression" dxfId="4473" priority="84">
      <formula>AND(IF($Q25=3,1,0),IF($X25&lt;30,1,0))</formula>
    </cfRule>
    <cfRule type="expression" dxfId="4472" priority="85">
      <formula>AND(IF($Q25=3,1,IF($Q25=4,1,0)),IF($F25&lt;=85,1,0))</formula>
    </cfRule>
  </conditionalFormatting>
  <conditionalFormatting sqref="AV26">
    <cfRule type="expression" dxfId="4471" priority="80">
      <formula>AV26="X"</formula>
    </cfRule>
    <cfRule type="expression" dxfId="4470" priority="81">
      <formula>AV26="후보"</formula>
    </cfRule>
  </conditionalFormatting>
  <conditionalFormatting sqref="Z2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4469" priority="77" operator="greaterThan">
      <formula>0.9</formula>
    </cfRule>
    <cfRule type="cellIs" dxfId="4468" priority="78" operator="greaterThan">
      <formula>0.85</formula>
    </cfRule>
  </conditionalFormatting>
  <conditionalFormatting sqref="N26">
    <cfRule type="cellIs" dxfId="4467" priority="75" operator="greaterThan">
      <formula>0.9</formula>
    </cfRule>
    <cfRule type="cellIs" dxfId="4466" priority="76" operator="greaterThan">
      <formula>0.85</formula>
    </cfRule>
  </conditionalFormatting>
  <conditionalFormatting sqref="E26">
    <cfRule type="expression" dxfId="4465" priority="71">
      <formula>AND(IF(OR($Q26=1,$Q26=2),1,0),IF($X26&lt;=20,1,0))</formula>
    </cfRule>
    <cfRule type="expression" dxfId="4464" priority="72">
      <formula>AND(IF($Q26=2,1,0),IF($X26&lt;30,1,0))</formula>
    </cfRule>
    <cfRule type="expression" dxfId="4463" priority="73">
      <formula>AND(IF($Q26=3,1,0),IF($X26&lt;30,1,0))</formula>
    </cfRule>
    <cfRule type="expression" dxfId="4462" priority="74">
      <formula>AND(IF($Q26=3,1,IF($Q26=4,1,0)),IF($F26&lt;=85,1,0))</formula>
    </cfRule>
  </conditionalFormatting>
  <conditionalFormatting sqref="X26">
    <cfRule type="expression" dxfId="4461" priority="67">
      <formula>AND(IF(OR($Q26=1,$Q26=2),1,0),IF($X26&lt;=20,1,0))</formula>
    </cfRule>
    <cfRule type="expression" dxfId="4460" priority="68">
      <formula>AND(IF($Q26=2,1,0),IF($X26&lt;30,1,0))</formula>
    </cfRule>
    <cfRule type="expression" dxfId="4459" priority="69">
      <formula>AND(IF($Q26=3,1,0),IF($X26&lt;30,1,0))</formula>
    </cfRule>
    <cfRule type="expression" dxfId="4458" priority="70">
      <formula>AND(IF($Q26=3,1,IF($Q26=4,1,0)),IF($F26&lt;=85,1,0))</formula>
    </cfRule>
  </conditionalFormatting>
  <conditionalFormatting sqref="AI26">
    <cfRule type="expression" dxfId="4457" priority="63">
      <formula>AND(IF(OR($Q26=1,$Q26=2),1,0),IF($X26&lt;=20,1,0))</formula>
    </cfRule>
    <cfRule type="expression" dxfId="4456" priority="64">
      <formula>AND(IF($Q26=2,1,0),IF($X26&lt;30,1,0))</formula>
    </cfRule>
    <cfRule type="expression" dxfId="4455" priority="65">
      <formula>AND(IF($Q26=3,1,0),IF($X26&lt;30,1,0))</formula>
    </cfRule>
    <cfRule type="expression" dxfId="4454" priority="66">
      <formula>AND(IF($Q26=3,1,IF($Q26=4,1,0)),IF($F26&lt;=85,1,0))</formula>
    </cfRule>
  </conditionalFormatting>
  <conditionalFormatting sqref="AV27">
    <cfRule type="expression" dxfId="4453" priority="61">
      <formula>AV27="X"</formula>
    </cfRule>
    <cfRule type="expression" dxfId="4452" priority="62">
      <formula>AV27="후보"</formula>
    </cfRule>
  </conditionalFormatting>
  <conditionalFormatting sqref="Z27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4451" priority="58" operator="greaterThan">
      <formula>0.9</formula>
    </cfRule>
    <cfRule type="cellIs" dxfId="4450" priority="59" operator="greaterThan">
      <formula>0.85</formula>
    </cfRule>
  </conditionalFormatting>
  <conditionalFormatting sqref="AV28">
    <cfRule type="expression" dxfId="4449" priority="56">
      <formula>AV28="X"</formula>
    </cfRule>
    <cfRule type="expression" dxfId="4448" priority="57">
      <formula>AV28="후보"</formula>
    </cfRule>
  </conditionalFormatting>
  <conditionalFormatting sqref="Z2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4447" priority="53" operator="greaterThan">
      <formula>0.9</formula>
    </cfRule>
    <cfRule type="cellIs" dxfId="4446" priority="54" operator="greaterThan">
      <formula>0.85</formula>
    </cfRule>
  </conditionalFormatting>
  <conditionalFormatting sqref="N28">
    <cfRule type="cellIs" dxfId="4445" priority="51" operator="greaterThan">
      <formula>0.9</formula>
    </cfRule>
    <cfRule type="cellIs" dxfId="4444" priority="52" operator="greaterThan">
      <formula>0.85</formula>
    </cfRule>
  </conditionalFormatting>
  <conditionalFormatting sqref="E28">
    <cfRule type="expression" dxfId="4443" priority="47">
      <formula>AND(IF(OR($Q28=1,$Q28=2),1,0),IF($X28&lt;=20,1,0))</formula>
    </cfRule>
    <cfRule type="expression" dxfId="4442" priority="48">
      <formula>AND(IF($Q28=2,1,0),IF($X28&lt;30,1,0))</formula>
    </cfRule>
    <cfRule type="expression" dxfId="4441" priority="49">
      <formula>AND(IF($Q28=3,1,0),IF($X28&lt;30,1,0))</formula>
    </cfRule>
    <cfRule type="expression" dxfId="4440" priority="50">
      <formula>AND(IF($Q28=3,1,IF($Q28=4,1,0)),IF($F28&lt;=85,1,0))</formula>
    </cfRule>
  </conditionalFormatting>
  <conditionalFormatting sqref="X28">
    <cfRule type="expression" dxfId="4439" priority="43">
      <formula>AND(IF(OR($Q28=1,$Q28=2),1,0),IF($X28&lt;=20,1,0))</formula>
    </cfRule>
    <cfRule type="expression" dxfId="4438" priority="44">
      <formula>AND(IF($Q28=2,1,0),IF($X28&lt;30,1,0))</formula>
    </cfRule>
    <cfRule type="expression" dxfId="4437" priority="45">
      <formula>AND(IF($Q28=3,1,0),IF($X28&lt;30,1,0))</formula>
    </cfRule>
    <cfRule type="expression" dxfId="4436" priority="46">
      <formula>AND(IF($Q28=3,1,IF($Q28=4,1,0)),IF($F28&lt;=85,1,0))</formula>
    </cfRule>
  </conditionalFormatting>
  <conditionalFormatting sqref="AI28">
    <cfRule type="expression" dxfId="4435" priority="39">
      <formula>AND(IF(OR($Q28=1,$Q28=2),1,0),IF($X28&lt;=20,1,0))</formula>
    </cfRule>
    <cfRule type="expression" dxfId="4434" priority="40">
      <formula>AND(IF($Q28=2,1,0),IF($X28&lt;30,1,0))</formula>
    </cfRule>
    <cfRule type="expression" dxfId="4433" priority="41">
      <formula>AND(IF($Q28=3,1,0),IF($X28&lt;30,1,0))</formula>
    </cfRule>
    <cfRule type="expression" dxfId="4432" priority="42">
      <formula>AND(IF($Q28=3,1,IF($Q28=4,1,0)),IF($F28&lt;=85,1,0))</formula>
    </cfRule>
  </conditionalFormatting>
  <conditionalFormatting sqref="AV29">
    <cfRule type="expression" dxfId="4431" priority="37">
      <formula>AV29="X"</formula>
    </cfRule>
    <cfRule type="expression" dxfId="4430" priority="38">
      <formula>AV29="후보"</formula>
    </cfRule>
  </conditionalFormatting>
  <conditionalFormatting sqref="Z2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429" priority="34" operator="greaterThan">
      <formula>0.9</formula>
    </cfRule>
    <cfRule type="cellIs" dxfId="4428" priority="35" operator="greaterThan">
      <formula>0.85</formula>
    </cfRule>
  </conditionalFormatting>
  <conditionalFormatting sqref="N29">
    <cfRule type="cellIs" dxfId="4427" priority="32" operator="greaterThan">
      <formula>0.9</formula>
    </cfRule>
    <cfRule type="cellIs" dxfId="4426" priority="33" operator="greaterThan">
      <formula>0.85</formula>
    </cfRule>
  </conditionalFormatting>
  <conditionalFormatting sqref="E29">
    <cfRule type="expression" dxfId="4425" priority="28">
      <formula>AND(IF(OR($Q29=1,$Q29=2),1,0),IF($X29&lt;=20,1,0))</formula>
    </cfRule>
    <cfRule type="expression" dxfId="4424" priority="29">
      <formula>AND(IF($Q29=2,1,0),IF($X29&lt;30,1,0))</formula>
    </cfRule>
    <cfRule type="expression" dxfId="4423" priority="30">
      <formula>AND(IF($Q29=3,1,0),IF($X29&lt;30,1,0))</formula>
    </cfRule>
    <cfRule type="expression" dxfId="4422" priority="31">
      <formula>AND(IF($Q29=3,1,IF($Q29=4,1,0)),IF($F29&lt;=85,1,0))</formula>
    </cfRule>
  </conditionalFormatting>
  <conditionalFormatting sqref="X29">
    <cfRule type="expression" dxfId="4421" priority="24">
      <formula>AND(IF(OR($Q29=1,$Q29=2),1,0),IF($X29&lt;=20,1,0))</formula>
    </cfRule>
    <cfRule type="expression" dxfId="4420" priority="25">
      <formula>AND(IF($Q29=2,1,0),IF($X29&lt;30,1,0))</formula>
    </cfRule>
    <cfRule type="expression" dxfId="4419" priority="26">
      <formula>AND(IF($Q29=3,1,0),IF($X29&lt;30,1,0))</formula>
    </cfRule>
    <cfRule type="expression" dxfId="4418" priority="27">
      <formula>AND(IF($Q29=3,1,IF($Q29=4,1,0)),IF($F29&lt;=85,1,0))</formula>
    </cfRule>
  </conditionalFormatting>
  <conditionalFormatting sqref="AI29">
    <cfRule type="expression" dxfId="4417" priority="20">
      <formula>AND(IF(OR($Q29=1,$Q29=2),1,0),IF($X29&lt;=20,1,0))</formula>
    </cfRule>
    <cfRule type="expression" dxfId="4416" priority="21">
      <formula>AND(IF($Q29=2,1,0),IF($X29&lt;30,1,0))</formula>
    </cfRule>
    <cfRule type="expression" dxfId="4415" priority="22">
      <formula>AND(IF($Q29=3,1,0),IF($X29&lt;30,1,0))</formula>
    </cfRule>
    <cfRule type="expression" dxfId="4414" priority="23">
      <formula>AND(IF($Q29=3,1,IF($Q29=4,1,0)),IF($F29&lt;=85,1,0))</formula>
    </cfRule>
  </conditionalFormatting>
  <conditionalFormatting sqref="AV30">
    <cfRule type="expression" dxfId="4413" priority="18">
      <formula>AV30="X"</formula>
    </cfRule>
    <cfRule type="expression" dxfId="4412" priority="19">
      <formula>AV30="후보"</formula>
    </cfRule>
  </conditionalFormatting>
  <conditionalFormatting sqref="Z3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411" priority="15" operator="greaterThan">
      <formula>0.9</formula>
    </cfRule>
    <cfRule type="cellIs" dxfId="4410" priority="16" operator="greaterThan">
      <formula>0.85</formula>
    </cfRule>
  </conditionalFormatting>
  <conditionalFormatting sqref="N30">
    <cfRule type="cellIs" dxfId="4409" priority="13" operator="greaterThan">
      <formula>0.9</formula>
    </cfRule>
    <cfRule type="cellIs" dxfId="4408" priority="14" operator="greaterThan">
      <formula>0.85</formula>
    </cfRule>
  </conditionalFormatting>
  <conditionalFormatting sqref="E30">
    <cfRule type="expression" dxfId="4407" priority="9">
      <formula>AND(IF(OR($Q30=1,$Q30=2),1,0),IF($X30&lt;=20,1,0))</formula>
    </cfRule>
    <cfRule type="expression" dxfId="4406" priority="10">
      <formula>AND(IF($Q30=2,1,0),IF($X30&lt;30,1,0))</formula>
    </cfRule>
    <cfRule type="expression" dxfId="4405" priority="11">
      <formula>AND(IF($Q30=3,1,0),IF($X30&lt;30,1,0))</formula>
    </cfRule>
    <cfRule type="expression" dxfId="4404" priority="12">
      <formula>AND(IF($Q30=3,1,IF($Q30=4,1,0)),IF($F30&lt;=85,1,0))</formula>
    </cfRule>
  </conditionalFormatting>
  <conditionalFormatting sqref="X30">
    <cfRule type="expression" dxfId="4403" priority="5">
      <formula>AND(IF(OR($Q30=1,$Q30=2),1,0),IF($X30&lt;=20,1,0))</formula>
    </cfRule>
    <cfRule type="expression" dxfId="4402" priority="6">
      <formula>AND(IF($Q30=2,1,0),IF($X30&lt;30,1,0))</formula>
    </cfRule>
    <cfRule type="expression" dxfId="4401" priority="7">
      <formula>AND(IF($Q30=3,1,0),IF($X30&lt;30,1,0))</formula>
    </cfRule>
    <cfRule type="expression" dxfId="4400" priority="8">
      <formula>AND(IF($Q30=3,1,IF($Q30=4,1,0)),IF($F30&lt;=85,1,0))</formula>
    </cfRule>
  </conditionalFormatting>
  <conditionalFormatting sqref="AI30">
    <cfRule type="expression" dxfId="4399" priority="1">
      <formula>AND(IF(OR($Q30=1,$Q30=2),1,0),IF($X30&lt;=20,1,0))</formula>
    </cfRule>
    <cfRule type="expression" dxfId="4398" priority="2">
      <formula>AND(IF($Q30=2,1,0),IF($X30&lt;30,1,0))</formula>
    </cfRule>
    <cfRule type="expression" dxfId="4397" priority="3">
      <formula>AND(IF($Q30=3,1,0),IF($X30&lt;30,1,0))</formula>
    </cfRule>
    <cfRule type="expression" dxfId="4396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서운동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1451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서운동 계양임광그대가('09.10.,373^)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1452</v>
      </c>
      <c r="B6" s="16" t="s">
        <v>1453</v>
      </c>
      <c r="C6" s="28">
        <v>373</v>
      </c>
      <c r="D6" s="25">
        <v>112.6</v>
      </c>
      <c r="E6" s="106">
        <v>34</v>
      </c>
      <c r="F6" s="25">
        <v>84.9</v>
      </c>
      <c r="G6" s="27">
        <v>26</v>
      </c>
      <c r="H6" s="28">
        <v>93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414</v>
      </c>
      <c r="U6" s="13"/>
      <c r="W6" s="25">
        <f>D6</f>
        <v>112.6</v>
      </c>
      <c r="X6" s="106">
        <f>E6</f>
        <v>34</v>
      </c>
      <c r="Y6" s="32">
        <f>H6</f>
        <v>93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계양임광그대가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1452</v>
      </c>
      <c r="B7" s="16" t="s">
        <v>1453</v>
      </c>
      <c r="C7" s="28">
        <v>373</v>
      </c>
      <c r="D7" s="25">
        <v>112.8</v>
      </c>
      <c r="E7" s="106">
        <v>34</v>
      </c>
      <c r="F7" s="25">
        <v>84.9</v>
      </c>
      <c r="G7" s="27">
        <v>26</v>
      </c>
      <c r="H7" s="28">
        <v>62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1389</v>
      </c>
      <c r="U7" s="13"/>
      <c r="W7" s="25">
        <f>D7</f>
        <v>112.8</v>
      </c>
      <c r="X7" s="106">
        <f>E7</f>
        <v>34</v>
      </c>
      <c r="Y7" s="32">
        <f>H7</f>
        <v>62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계양임광그대가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1452</v>
      </c>
      <c r="B8" s="16" t="s">
        <v>1453</v>
      </c>
      <c r="C8" s="28">
        <v>373</v>
      </c>
      <c r="D8" s="25">
        <v>112.8</v>
      </c>
      <c r="E8" s="106">
        <v>34</v>
      </c>
      <c r="F8" s="25">
        <v>84.9</v>
      </c>
      <c r="G8" s="27">
        <v>26</v>
      </c>
      <c r="H8" s="28">
        <v>26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64</v>
      </c>
      <c r="T8" s="8" t="s">
        <v>1390</v>
      </c>
      <c r="U8" s="13"/>
      <c r="W8" s="25">
        <f>D8</f>
        <v>112.8</v>
      </c>
      <c r="X8" s="106">
        <f>E8</f>
        <v>34</v>
      </c>
      <c r="Y8" s="32">
        <f>H8</f>
        <v>26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계양임광그대가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1452</v>
      </c>
      <c r="B9" s="16" t="s">
        <v>1453</v>
      </c>
      <c r="C9" s="28">
        <v>373</v>
      </c>
      <c r="D9" s="25">
        <v>144.80000000000001</v>
      </c>
      <c r="E9" s="106">
        <v>44</v>
      </c>
      <c r="F9" s="25">
        <v>116.5</v>
      </c>
      <c r="G9" s="27">
        <v>35</v>
      </c>
      <c r="H9" s="28">
        <v>97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64</v>
      </c>
      <c r="T9" s="8" t="s">
        <v>1454</v>
      </c>
      <c r="U9" s="13"/>
      <c r="W9" s="25">
        <f>D9</f>
        <v>144.80000000000001</v>
      </c>
      <c r="X9" s="106">
        <f>E9</f>
        <v>44</v>
      </c>
      <c r="Y9" s="32">
        <f>H9</f>
        <v>97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계양임광그대가</v>
      </c>
      <c r="AI9" s="106">
        <f>IF(E9="","",E9)</f>
        <v>44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1452</v>
      </c>
      <c r="B10" s="16" t="s">
        <v>1453</v>
      </c>
      <c r="C10" s="28">
        <v>373</v>
      </c>
      <c r="D10" s="25">
        <v>144.9</v>
      </c>
      <c r="E10" s="106">
        <v>44</v>
      </c>
      <c r="F10" s="25">
        <v>116.5</v>
      </c>
      <c r="G10" s="27">
        <v>35</v>
      </c>
      <c r="H10" s="28">
        <v>95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64</v>
      </c>
      <c r="T10" s="8" t="s">
        <v>1455</v>
      </c>
      <c r="U10" s="13"/>
      <c r="W10" s="25">
        <f>D10</f>
        <v>144.9</v>
      </c>
      <c r="X10" s="106">
        <f>E10</f>
        <v>44</v>
      </c>
      <c r="Y10" s="32">
        <f>H10</f>
        <v>95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계양임광그대가</v>
      </c>
      <c r="AI10" s="106">
        <f>IF(E10="","",E10)</f>
        <v>44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서운동 계양효성해링턴플레이스('21.02.,1669^)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1456</v>
      </c>
      <c r="B12" s="16" t="s">
        <v>1457</v>
      </c>
      <c r="C12" s="28">
        <v>1669</v>
      </c>
      <c r="D12" s="25">
        <v>55.3</v>
      </c>
      <c r="E12" s="106">
        <v>17</v>
      </c>
      <c r="F12" s="25">
        <v>39.9</v>
      </c>
      <c r="G12" s="27">
        <v>12</v>
      </c>
      <c r="H12" s="28">
        <v>19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64</v>
      </c>
      <c r="T12" s="8">
        <v>55</v>
      </c>
      <c r="U12" s="13"/>
      <c r="W12" s="25">
        <f>D12</f>
        <v>55.3</v>
      </c>
      <c r="X12" s="106">
        <f>E12</f>
        <v>17</v>
      </c>
      <c r="Y12" s="32">
        <f>H12</f>
        <v>19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2/1</v>
      </c>
      <c r="AH12" s="36" t="str">
        <f>IF(A12="","",A12)</f>
        <v>계양효성해링턴플레이스</v>
      </c>
      <c r="AI12" s="106">
        <f>IF(E12="","",E12)</f>
        <v>17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1456</v>
      </c>
      <c r="B13" s="16" t="s">
        <v>1457</v>
      </c>
      <c r="C13" s="28">
        <v>1669</v>
      </c>
      <c r="D13" s="25">
        <v>82.3</v>
      </c>
      <c r="E13" s="106">
        <v>25</v>
      </c>
      <c r="F13" s="25">
        <v>60</v>
      </c>
      <c r="G13" s="27">
        <v>18</v>
      </c>
      <c r="H13" s="28">
        <v>405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64</v>
      </c>
      <c r="T13" s="8" t="s">
        <v>1458</v>
      </c>
      <c r="U13" s="13"/>
      <c r="W13" s="25">
        <f>D13</f>
        <v>82.3</v>
      </c>
      <c r="X13" s="106">
        <f>E13</f>
        <v>25</v>
      </c>
      <c r="Y13" s="32">
        <f>H13</f>
        <v>405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계양효성해링턴플레이스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1456</v>
      </c>
      <c r="B14" s="16" t="s">
        <v>1457</v>
      </c>
      <c r="C14" s="28">
        <v>1669</v>
      </c>
      <c r="D14" s="25">
        <v>82.8</v>
      </c>
      <c r="E14" s="106">
        <v>25</v>
      </c>
      <c r="F14" s="25">
        <v>60</v>
      </c>
      <c r="G14" s="27">
        <v>18</v>
      </c>
      <c r="H14" s="28">
        <v>96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64</v>
      </c>
      <c r="T14" s="8" t="s">
        <v>1459</v>
      </c>
      <c r="U14" s="13"/>
      <c r="W14" s="25">
        <f>D14</f>
        <v>82.8</v>
      </c>
      <c r="X14" s="106">
        <f>E14</f>
        <v>25</v>
      </c>
      <c r="Y14" s="32">
        <f>H14</f>
        <v>96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계양효성해링턴플레이스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1456</v>
      </c>
      <c r="B15" s="16" t="s">
        <v>1457</v>
      </c>
      <c r="C15" s="28">
        <v>1669</v>
      </c>
      <c r="D15" s="25">
        <v>99.9</v>
      </c>
      <c r="E15" s="106">
        <v>30</v>
      </c>
      <c r="F15" s="25">
        <v>73</v>
      </c>
      <c r="G15" s="27">
        <v>22</v>
      </c>
      <c r="H15" s="28">
        <v>230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 t="s">
        <v>1460</v>
      </c>
      <c r="U15" s="13"/>
      <c r="W15" s="25">
        <f>D15</f>
        <v>99.9</v>
      </c>
      <c r="X15" s="106">
        <f>E15</f>
        <v>30</v>
      </c>
      <c r="Y15" s="32">
        <f>H15</f>
        <v>230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계양효성해링턴플레이스</v>
      </c>
      <c r="AI15" s="106">
        <f>IF(E15="","",E15)</f>
        <v>30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1456</v>
      </c>
      <c r="B16" s="16" t="s">
        <v>1457</v>
      </c>
      <c r="C16" s="28">
        <v>1669</v>
      </c>
      <c r="D16" s="25">
        <v>99.9</v>
      </c>
      <c r="E16" s="106">
        <v>30</v>
      </c>
      <c r="F16" s="25">
        <v>73</v>
      </c>
      <c r="G16" s="27">
        <v>22</v>
      </c>
      <c r="H16" s="28">
        <v>194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64</v>
      </c>
      <c r="T16" s="8" t="s">
        <v>1461</v>
      </c>
      <c r="U16" s="13"/>
      <c r="W16" s="25">
        <f>D16</f>
        <v>99.9</v>
      </c>
      <c r="X16" s="106">
        <f>E16</f>
        <v>30</v>
      </c>
      <c r="Y16" s="32">
        <f>H16</f>
        <v>194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계양효성해링턴플레이스</v>
      </c>
      <c r="AI16" s="106">
        <f>IF(E16="","",E16)</f>
        <v>30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1456</v>
      </c>
      <c r="B17" s="16" t="s">
        <v>1457</v>
      </c>
      <c r="C17" s="28">
        <v>1669</v>
      </c>
      <c r="D17" s="25">
        <v>115.8</v>
      </c>
      <c r="E17" s="106">
        <v>35</v>
      </c>
      <c r="F17" s="25">
        <v>85</v>
      </c>
      <c r="G17" s="27">
        <v>26</v>
      </c>
      <c r="H17" s="28">
        <v>497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64</v>
      </c>
      <c r="T17" s="8" t="s">
        <v>1462</v>
      </c>
      <c r="U17" s="13"/>
      <c r="W17" s="25">
        <f>D17</f>
        <v>115.8</v>
      </c>
      <c r="X17" s="106">
        <f>E17</f>
        <v>35</v>
      </c>
      <c r="Y17" s="32">
        <f>H17</f>
        <v>497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계양효성해링턴플레이스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1456</v>
      </c>
      <c r="B18" s="16" t="s">
        <v>1457</v>
      </c>
      <c r="C18" s="28">
        <v>1669</v>
      </c>
      <c r="D18" s="25">
        <v>116.3</v>
      </c>
      <c r="E18" s="106">
        <v>35</v>
      </c>
      <c r="F18" s="25">
        <v>85</v>
      </c>
      <c r="G18" s="27">
        <v>26</v>
      </c>
      <c r="H18" s="28">
        <v>85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64</v>
      </c>
      <c r="T18" s="8" t="s">
        <v>1463</v>
      </c>
      <c r="U18" s="13"/>
      <c r="W18" s="25">
        <f>D18</f>
        <v>116.3</v>
      </c>
      <c r="X18" s="106">
        <f>E18</f>
        <v>35</v>
      </c>
      <c r="Y18" s="32">
        <f>H18</f>
        <v>85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계양효성해링턴플레이스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1456</v>
      </c>
      <c r="B19" s="16" t="s">
        <v>1457</v>
      </c>
      <c r="C19" s="28">
        <v>1669</v>
      </c>
      <c r="D19" s="25">
        <v>135.5</v>
      </c>
      <c r="E19" s="106">
        <v>41</v>
      </c>
      <c r="F19" s="25">
        <v>99.9</v>
      </c>
      <c r="G19" s="27">
        <v>30</v>
      </c>
      <c r="H19" s="28">
        <v>59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64</v>
      </c>
      <c r="T19" s="8">
        <v>135</v>
      </c>
      <c r="U19" s="13"/>
      <c r="W19" s="25">
        <f>D19</f>
        <v>135.5</v>
      </c>
      <c r="X19" s="106">
        <f>E19</f>
        <v>41</v>
      </c>
      <c r="Y19" s="32">
        <f>H19</f>
        <v>59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계양효성해링턴플레이스</v>
      </c>
      <c r="AI19" s="106">
        <f>IF(E19="","",E19)</f>
        <v>41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서운동 서운경남아너스빌('07.09.,255^)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1464</v>
      </c>
      <c r="B21" s="16" t="s">
        <v>1465</v>
      </c>
      <c r="C21" s="28">
        <v>255</v>
      </c>
      <c r="D21" s="25">
        <v>130.9</v>
      </c>
      <c r="E21" s="106">
        <v>40</v>
      </c>
      <c r="F21" s="25">
        <v>101.8</v>
      </c>
      <c r="G21" s="27">
        <v>31</v>
      </c>
      <c r="H21" s="28">
        <v>180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2</v>
      </c>
      <c r="S21" s="113" t="s">
        <v>64</v>
      </c>
      <c r="T21" s="8">
        <v>130</v>
      </c>
      <c r="U21" s="13"/>
      <c r="W21" s="25">
        <f>D21</f>
        <v>130.9</v>
      </c>
      <c r="X21" s="106">
        <f>E21</f>
        <v>40</v>
      </c>
      <c r="Y21" s="32">
        <f>H21</f>
        <v>180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4/2</v>
      </c>
      <c r="AH21" s="36" t="str">
        <f>IF(A21="","",A21)</f>
        <v>서운경남아너스빌</v>
      </c>
      <c r="AI21" s="106">
        <f>IF(E21="","",E21)</f>
        <v>40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1464</v>
      </c>
      <c r="B22" s="16" t="s">
        <v>1465</v>
      </c>
      <c r="C22" s="28">
        <v>255</v>
      </c>
      <c r="D22" s="25">
        <v>162.9</v>
      </c>
      <c r="E22" s="106">
        <v>49</v>
      </c>
      <c r="F22" s="25">
        <v>133.30000000000001</v>
      </c>
      <c r="G22" s="27">
        <v>40</v>
      </c>
      <c r="H22" s="28">
        <v>75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64</v>
      </c>
      <c r="T22" s="8">
        <v>162</v>
      </c>
      <c r="U22" s="13"/>
      <c r="W22" s="25">
        <f>D22</f>
        <v>162.9</v>
      </c>
      <c r="X22" s="106">
        <f>E22</f>
        <v>49</v>
      </c>
      <c r="Y22" s="32">
        <f>H22</f>
        <v>75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서운경남아너스빌</v>
      </c>
      <c r="AI22" s="106">
        <f>IF(E22="","",E22)</f>
        <v>49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4395" priority="296">
      <formula>AV4="X"</formula>
    </cfRule>
    <cfRule type="expression" dxfId="4394" priority="297">
      <formula>AV4="후보"</formula>
    </cfRule>
  </conditionalFormatting>
  <conditionalFormatting sqref="Z2:Z6">
    <cfRule type="colorScale" priority="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393" priority="293" operator="greaterThan">
      <formula>0.9</formula>
    </cfRule>
    <cfRule type="cellIs" dxfId="4392" priority="294" operator="greaterThan">
      <formula>0.85</formula>
    </cfRule>
  </conditionalFormatting>
  <conditionalFormatting sqref="N1:N2">
    <cfRule type="cellIs" dxfId="4391" priority="291" operator="greaterThan">
      <formula>0.9</formula>
    </cfRule>
    <cfRule type="cellIs" dxfId="4390" priority="292" operator="greaterThan">
      <formula>0.85</formula>
    </cfRule>
  </conditionalFormatting>
  <conditionalFormatting sqref="N6">
    <cfRule type="cellIs" dxfId="4389" priority="289" operator="greaterThan">
      <formula>0.9</formula>
    </cfRule>
    <cfRule type="cellIs" dxfId="4388" priority="290" operator="greaterThan">
      <formula>0.85</formula>
    </cfRule>
  </conditionalFormatting>
  <conditionalFormatting sqref="E6">
    <cfRule type="expression" dxfId="4387" priority="285">
      <formula>AND(IF(OR($Q6=1,$Q6=2),1,0),IF($X6&lt;=20,1,0))</formula>
    </cfRule>
    <cfRule type="expression" dxfId="4386" priority="286">
      <formula>AND(IF($Q6=2,1,0),IF($X6&lt;30,1,0))</formula>
    </cfRule>
    <cfRule type="expression" dxfId="4385" priority="287">
      <formula>AND(IF($Q6=3,1,0),IF($X6&lt;30,1,0))</formula>
    </cfRule>
    <cfRule type="expression" dxfId="4384" priority="288">
      <formula>AND(IF($Q6=3,1,IF($Q6=4,1,0)),IF($F6&lt;=85,1,0))</formula>
    </cfRule>
  </conditionalFormatting>
  <conditionalFormatting sqref="X6">
    <cfRule type="expression" dxfId="4383" priority="281">
      <formula>AND(IF(OR($Q6=1,$Q6=2),1,0),IF($X6&lt;=20,1,0))</formula>
    </cfRule>
    <cfRule type="expression" dxfId="4382" priority="282">
      <formula>AND(IF($Q6=2,1,0),IF($X6&lt;30,1,0))</formula>
    </cfRule>
    <cfRule type="expression" dxfId="4381" priority="283">
      <formula>AND(IF($Q6=3,1,0),IF($X6&lt;30,1,0))</formula>
    </cfRule>
    <cfRule type="expression" dxfId="4380" priority="284">
      <formula>AND(IF($Q6=3,1,IF($Q6=4,1,0)),IF($F6&lt;=85,1,0))</formula>
    </cfRule>
  </conditionalFormatting>
  <conditionalFormatting sqref="AI6">
    <cfRule type="expression" dxfId="4379" priority="277">
      <formula>AND(IF(OR($Q6=1,$Q6=2),1,0),IF($X6&lt;=20,1,0))</formula>
    </cfRule>
    <cfRule type="expression" dxfId="4378" priority="278">
      <formula>AND(IF($Q6=2,1,0),IF($X6&lt;30,1,0))</formula>
    </cfRule>
    <cfRule type="expression" dxfId="4377" priority="279">
      <formula>AND(IF($Q6=3,1,0),IF($X6&lt;30,1,0))</formula>
    </cfRule>
    <cfRule type="expression" dxfId="4376" priority="280">
      <formula>AND(IF($Q6=3,1,IF($Q6=4,1,0)),IF($F6&lt;=85,1,0))</formula>
    </cfRule>
  </conditionalFormatting>
  <conditionalFormatting sqref="AV7">
    <cfRule type="expression" dxfId="4375" priority="275">
      <formula>AV7="X"</formula>
    </cfRule>
    <cfRule type="expression" dxfId="4374" priority="276">
      <formula>AV7="후보"</formula>
    </cfRule>
  </conditionalFormatting>
  <conditionalFormatting sqref="Z7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373" priority="272" operator="greaterThan">
      <formula>0.9</formula>
    </cfRule>
    <cfRule type="cellIs" dxfId="4372" priority="273" operator="greaterThan">
      <formula>0.85</formula>
    </cfRule>
  </conditionalFormatting>
  <conditionalFormatting sqref="N7">
    <cfRule type="cellIs" dxfId="4371" priority="270" operator="greaterThan">
      <formula>0.9</formula>
    </cfRule>
    <cfRule type="cellIs" dxfId="4370" priority="271" operator="greaterThan">
      <formula>0.85</formula>
    </cfRule>
  </conditionalFormatting>
  <conditionalFormatting sqref="E7">
    <cfRule type="expression" dxfId="4369" priority="266">
      <formula>AND(IF(OR($Q7=1,$Q7=2),1,0),IF($X7&lt;=20,1,0))</formula>
    </cfRule>
    <cfRule type="expression" dxfId="4368" priority="267">
      <formula>AND(IF($Q7=2,1,0),IF($X7&lt;30,1,0))</formula>
    </cfRule>
    <cfRule type="expression" dxfId="4367" priority="268">
      <formula>AND(IF($Q7=3,1,0),IF($X7&lt;30,1,0))</formula>
    </cfRule>
    <cfRule type="expression" dxfId="4366" priority="269">
      <formula>AND(IF($Q7=3,1,IF($Q7=4,1,0)),IF($F7&lt;=85,1,0))</formula>
    </cfRule>
  </conditionalFormatting>
  <conditionalFormatting sqref="X7">
    <cfRule type="expression" dxfId="4365" priority="262">
      <formula>AND(IF(OR($Q7=1,$Q7=2),1,0),IF($X7&lt;=20,1,0))</formula>
    </cfRule>
    <cfRule type="expression" dxfId="4364" priority="263">
      <formula>AND(IF($Q7=2,1,0),IF($X7&lt;30,1,0))</formula>
    </cfRule>
    <cfRule type="expression" dxfId="4363" priority="264">
      <formula>AND(IF($Q7=3,1,0),IF($X7&lt;30,1,0))</formula>
    </cfRule>
    <cfRule type="expression" dxfId="4362" priority="265">
      <formula>AND(IF($Q7=3,1,IF($Q7=4,1,0)),IF($F7&lt;=85,1,0))</formula>
    </cfRule>
  </conditionalFormatting>
  <conditionalFormatting sqref="AI7">
    <cfRule type="expression" dxfId="4361" priority="258">
      <formula>AND(IF(OR($Q7=1,$Q7=2),1,0),IF($X7&lt;=20,1,0))</formula>
    </cfRule>
    <cfRule type="expression" dxfId="4360" priority="259">
      <formula>AND(IF($Q7=2,1,0),IF($X7&lt;30,1,0))</formula>
    </cfRule>
    <cfRule type="expression" dxfId="4359" priority="260">
      <formula>AND(IF($Q7=3,1,0),IF($X7&lt;30,1,0))</formula>
    </cfRule>
    <cfRule type="expression" dxfId="4358" priority="261">
      <formula>AND(IF($Q7=3,1,IF($Q7=4,1,0)),IF($F7&lt;=85,1,0))</formula>
    </cfRule>
  </conditionalFormatting>
  <conditionalFormatting sqref="AV8">
    <cfRule type="expression" dxfId="4357" priority="256">
      <formula>AV8="X"</formula>
    </cfRule>
    <cfRule type="expression" dxfId="4356" priority="257">
      <formula>AV8="후보"</formula>
    </cfRule>
  </conditionalFormatting>
  <conditionalFormatting sqref="Z8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355" priority="253" operator="greaterThan">
      <formula>0.9</formula>
    </cfRule>
    <cfRule type="cellIs" dxfId="4354" priority="254" operator="greaterThan">
      <formula>0.85</formula>
    </cfRule>
  </conditionalFormatting>
  <conditionalFormatting sqref="N8">
    <cfRule type="cellIs" dxfId="4353" priority="251" operator="greaterThan">
      <formula>0.9</formula>
    </cfRule>
    <cfRule type="cellIs" dxfId="4352" priority="252" operator="greaterThan">
      <formula>0.85</formula>
    </cfRule>
  </conditionalFormatting>
  <conditionalFormatting sqref="E8">
    <cfRule type="expression" dxfId="4351" priority="247">
      <formula>AND(IF(OR($Q8=1,$Q8=2),1,0),IF($X8&lt;=20,1,0))</formula>
    </cfRule>
    <cfRule type="expression" dxfId="4350" priority="248">
      <formula>AND(IF($Q8=2,1,0),IF($X8&lt;30,1,0))</formula>
    </cfRule>
    <cfRule type="expression" dxfId="4349" priority="249">
      <formula>AND(IF($Q8=3,1,0),IF($X8&lt;30,1,0))</formula>
    </cfRule>
    <cfRule type="expression" dxfId="4348" priority="250">
      <formula>AND(IF($Q8=3,1,IF($Q8=4,1,0)),IF($F8&lt;=85,1,0))</formula>
    </cfRule>
  </conditionalFormatting>
  <conditionalFormatting sqref="X8">
    <cfRule type="expression" dxfId="4347" priority="243">
      <formula>AND(IF(OR($Q8=1,$Q8=2),1,0),IF($X8&lt;=20,1,0))</formula>
    </cfRule>
    <cfRule type="expression" dxfId="4346" priority="244">
      <formula>AND(IF($Q8=2,1,0),IF($X8&lt;30,1,0))</formula>
    </cfRule>
    <cfRule type="expression" dxfId="4345" priority="245">
      <formula>AND(IF($Q8=3,1,0),IF($X8&lt;30,1,0))</formula>
    </cfRule>
    <cfRule type="expression" dxfId="4344" priority="246">
      <formula>AND(IF($Q8=3,1,IF($Q8=4,1,0)),IF($F8&lt;=85,1,0))</formula>
    </cfRule>
  </conditionalFormatting>
  <conditionalFormatting sqref="AI8">
    <cfRule type="expression" dxfId="4343" priority="239">
      <formula>AND(IF(OR($Q8=1,$Q8=2),1,0),IF($X8&lt;=20,1,0))</formula>
    </cfRule>
    <cfRule type="expression" dxfId="4342" priority="240">
      <formula>AND(IF($Q8=2,1,0),IF($X8&lt;30,1,0))</formula>
    </cfRule>
    <cfRule type="expression" dxfId="4341" priority="241">
      <formula>AND(IF($Q8=3,1,0),IF($X8&lt;30,1,0))</formula>
    </cfRule>
    <cfRule type="expression" dxfId="4340" priority="242">
      <formula>AND(IF($Q8=3,1,IF($Q8=4,1,0)),IF($F8&lt;=85,1,0))</formula>
    </cfRule>
  </conditionalFormatting>
  <conditionalFormatting sqref="AV9">
    <cfRule type="expression" dxfId="4339" priority="237">
      <formula>AV9="X"</formula>
    </cfRule>
    <cfRule type="expression" dxfId="4338" priority="238">
      <formula>AV9="후보"</formula>
    </cfRule>
  </conditionalFormatting>
  <conditionalFormatting sqref="Z9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337" priority="234" operator="greaterThan">
      <formula>0.9</formula>
    </cfRule>
    <cfRule type="cellIs" dxfId="4336" priority="235" operator="greaterThan">
      <formula>0.85</formula>
    </cfRule>
  </conditionalFormatting>
  <conditionalFormatting sqref="N9">
    <cfRule type="cellIs" dxfId="4335" priority="232" operator="greaterThan">
      <formula>0.9</formula>
    </cfRule>
    <cfRule type="cellIs" dxfId="4334" priority="233" operator="greaterThan">
      <formula>0.85</formula>
    </cfRule>
  </conditionalFormatting>
  <conditionalFormatting sqref="E9">
    <cfRule type="expression" dxfId="4333" priority="228">
      <formula>AND(IF(OR($Q9=1,$Q9=2),1,0),IF($X9&lt;=20,1,0))</formula>
    </cfRule>
    <cfRule type="expression" dxfId="4332" priority="229">
      <formula>AND(IF($Q9=2,1,0),IF($X9&lt;30,1,0))</formula>
    </cfRule>
    <cfRule type="expression" dxfId="4331" priority="230">
      <formula>AND(IF($Q9=3,1,0),IF($X9&lt;30,1,0))</formula>
    </cfRule>
    <cfRule type="expression" dxfId="4330" priority="231">
      <formula>AND(IF($Q9=3,1,IF($Q9=4,1,0)),IF($F9&lt;=85,1,0))</formula>
    </cfRule>
  </conditionalFormatting>
  <conditionalFormatting sqref="X9">
    <cfRule type="expression" dxfId="4329" priority="224">
      <formula>AND(IF(OR($Q9=1,$Q9=2),1,0),IF($X9&lt;=20,1,0))</formula>
    </cfRule>
    <cfRule type="expression" dxfId="4328" priority="225">
      <formula>AND(IF($Q9=2,1,0),IF($X9&lt;30,1,0))</formula>
    </cfRule>
    <cfRule type="expression" dxfId="4327" priority="226">
      <formula>AND(IF($Q9=3,1,0),IF($X9&lt;30,1,0))</formula>
    </cfRule>
    <cfRule type="expression" dxfId="4326" priority="227">
      <formula>AND(IF($Q9=3,1,IF($Q9=4,1,0)),IF($F9&lt;=85,1,0))</formula>
    </cfRule>
  </conditionalFormatting>
  <conditionalFormatting sqref="AI9">
    <cfRule type="expression" dxfId="4325" priority="220">
      <formula>AND(IF(OR($Q9=1,$Q9=2),1,0),IF($X9&lt;=20,1,0))</formula>
    </cfRule>
    <cfRule type="expression" dxfId="4324" priority="221">
      <formula>AND(IF($Q9=2,1,0),IF($X9&lt;30,1,0))</formula>
    </cfRule>
    <cfRule type="expression" dxfId="4323" priority="222">
      <formula>AND(IF($Q9=3,1,0),IF($X9&lt;30,1,0))</formula>
    </cfRule>
    <cfRule type="expression" dxfId="4322" priority="223">
      <formula>AND(IF($Q9=3,1,IF($Q9=4,1,0)),IF($F9&lt;=85,1,0))</formula>
    </cfRule>
  </conditionalFormatting>
  <conditionalFormatting sqref="AV10">
    <cfRule type="expression" dxfId="4321" priority="218">
      <formula>AV10="X"</formula>
    </cfRule>
    <cfRule type="expression" dxfId="4320" priority="219">
      <formula>AV10="후보"</formula>
    </cfRule>
  </conditionalFormatting>
  <conditionalFormatting sqref="Z10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319" priority="215" operator="greaterThan">
      <formula>0.9</formula>
    </cfRule>
    <cfRule type="cellIs" dxfId="4318" priority="216" operator="greaterThan">
      <formula>0.85</formula>
    </cfRule>
  </conditionalFormatting>
  <conditionalFormatting sqref="N10">
    <cfRule type="cellIs" dxfId="4317" priority="213" operator="greaterThan">
      <formula>0.9</formula>
    </cfRule>
    <cfRule type="cellIs" dxfId="4316" priority="214" operator="greaterThan">
      <formula>0.85</formula>
    </cfRule>
  </conditionalFormatting>
  <conditionalFormatting sqref="E10">
    <cfRule type="expression" dxfId="4315" priority="209">
      <formula>AND(IF(OR($Q10=1,$Q10=2),1,0),IF($X10&lt;=20,1,0))</formula>
    </cfRule>
    <cfRule type="expression" dxfId="4314" priority="210">
      <formula>AND(IF($Q10=2,1,0),IF($X10&lt;30,1,0))</formula>
    </cfRule>
    <cfRule type="expression" dxfId="4313" priority="211">
      <formula>AND(IF($Q10=3,1,0),IF($X10&lt;30,1,0))</formula>
    </cfRule>
    <cfRule type="expression" dxfId="4312" priority="212">
      <formula>AND(IF($Q10=3,1,IF($Q10=4,1,0)),IF($F10&lt;=85,1,0))</formula>
    </cfRule>
  </conditionalFormatting>
  <conditionalFormatting sqref="X10">
    <cfRule type="expression" dxfId="4311" priority="205">
      <formula>AND(IF(OR($Q10=1,$Q10=2),1,0),IF($X10&lt;=20,1,0))</formula>
    </cfRule>
    <cfRule type="expression" dxfId="4310" priority="206">
      <formula>AND(IF($Q10=2,1,0),IF($X10&lt;30,1,0))</formula>
    </cfRule>
    <cfRule type="expression" dxfId="4309" priority="207">
      <formula>AND(IF($Q10=3,1,0),IF($X10&lt;30,1,0))</formula>
    </cfRule>
    <cfRule type="expression" dxfId="4308" priority="208">
      <formula>AND(IF($Q10=3,1,IF($Q10=4,1,0)),IF($F10&lt;=85,1,0))</formula>
    </cfRule>
  </conditionalFormatting>
  <conditionalFormatting sqref="AI10">
    <cfRule type="expression" dxfId="4307" priority="201">
      <formula>AND(IF(OR($Q10=1,$Q10=2),1,0),IF($X10&lt;=20,1,0))</formula>
    </cfRule>
    <cfRule type="expression" dxfId="4306" priority="202">
      <formula>AND(IF($Q10=2,1,0),IF($X10&lt;30,1,0))</formula>
    </cfRule>
    <cfRule type="expression" dxfId="4305" priority="203">
      <formula>AND(IF($Q10=3,1,0),IF($X10&lt;30,1,0))</formula>
    </cfRule>
    <cfRule type="expression" dxfId="4304" priority="204">
      <formula>AND(IF($Q10=3,1,IF($Q10=4,1,0)),IF($F10&lt;=85,1,0))</formula>
    </cfRule>
  </conditionalFormatting>
  <conditionalFormatting sqref="AV11">
    <cfRule type="expression" dxfId="4303" priority="199">
      <formula>AV11="X"</formula>
    </cfRule>
    <cfRule type="expression" dxfId="4302" priority="200">
      <formula>AV11="후보"</formula>
    </cfRule>
  </conditionalFormatting>
  <conditionalFormatting sqref="Z11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4301" priority="196" operator="greaterThan">
      <formula>0.9</formula>
    </cfRule>
    <cfRule type="cellIs" dxfId="4300" priority="197" operator="greaterThan">
      <formula>0.85</formula>
    </cfRule>
  </conditionalFormatting>
  <conditionalFormatting sqref="AV12">
    <cfRule type="expression" dxfId="4299" priority="194">
      <formula>AV12="X"</formula>
    </cfRule>
    <cfRule type="expression" dxfId="4298" priority="195">
      <formula>AV12="후보"</formula>
    </cfRule>
  </conditionalFormatting>
  <conditionalFormatting sqref="Z12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4297" priority="191" operator="greaterThan">
      <formula>0.9</formula>
    </cfRule>
    <cfRule type="cellIs" dxfId="4296" priority="192" operator="greaterThan">
      <formula>0.85</formula>
    </cfRule>
  </conditionalFormatting>
  <conditionalFormatting sqref="N12">
    <cfRule type="cellIs" dxfId="4295" priority="189" operator="greaterThan">
      <formula>0.9</formula>
    </cfRule>
    <cfRule type="cellIs" dxfId="4294" priority="190" operator="greaterThan">
      <formula>0.85</formula>
    </cfRule>
  </conditionalFormatting>
  <conditionalFormatting sqref="E12">
    <cfRule type="expression" dxfId="4293" priority="185">
      <formula>AND(IF(OR($Q12=1,$Q12=2),1,0),IF($X12&lt;=20,1,0))</formula>
    </cfRule>
    <cfRule type="expression" dxfId="4292" priority="186">
      <formula>AND(IF($Q12=2,1,0),IF($X12&lt;30,1,0))</formula>
    </cfRule>
    <cfRule type="expression" dxfId="4291" priority="187">
      <formula>AND(IF($Q12=3,1,0),IF($X12&lt;30,1,0))</formula>
    </cfRule>
    <cfRule type="expression" dxfId="4290" priority="188">
      <formula>AND(IF($Q12=3,1,IF($Q12=4,1,0)),IF($F12&lt;=85,1,0))</formula>
    </cfRule>
  </conditionalFormatting>
  <conditionalFormatting sqref="X12">
    <cfRule type="expression" dxfId="4289" priority="181">
      <formula>AND(IF(OR($Q12=1,$Q12=2),1,0),IF($X12&lt;=20,1,0))</formula>
    </cfRule>
    <cfRule type="expression" dxfId="4288" priority="182">
      <formula>AND(IF($Q12=2,1,0),IF($X12&lt;30,1,0))</formula>
    </cfRule>
    <cfRule type="expression" dxfId="4287" priority="183">
      <formula>AND(IF($Q12=3,1,0),IF($X12&lt;30,1,0))</formula>
    </cfRule>
    <cfRule type="expression" dxfId="4286" priority="184">
      <formula>AND(IF($Q12=3,1,IF($Q12=4,1,0)),IF($F12&lt;=85,1,0))</formula>
    </cfRule>
  </conditionalFormatting>
  <conditionalFormatting sqref="AI12">
    <cfRule type="expression" dxfId="4285" priority="177">
      <formula>AND(IF(OR($Q12=1,$Q12=2),1,0),IF($X12&lt;=20,1,0))</formula>
    </cfRule>
    <cfRule type="expression" dxfId="4284" priority="178">
      <formula>AND(IF($Q12=2,1,0),IF($X12&lt;30,1,0))</formula>
    </cfRule>
    <cfRule type="expression" dxfId="4283" priority="179">
      <formula>AND(IF($Q12=3,1,0),IF($X12&lt;30,1,0))</formula>
    </cfRule>
    <cfRule type="expression" dxfId="4282" priority="180">
      <formula>AND(IF($Q12=3,1,IF($Q12=4,1,0)),IF($F12&lt;=85,1,0))</formula>
    </cfRule>
  </conditionalFormatting>
  <conditionalFormatting sqref="AV13">
    <cfRule type="expression" dxfId="4281" priority="175">
      <formula>AV13="X"</formula>
    </cfRule>
    <cfRule type="expression" dxfId="4280" priority="176">
      <formula>AV13="후보"</formula>
    </cfRule>
  </conditionalFormatting>
  <conditionalFormatting sqref="Z13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279" priority="172" operator="greaterThan">
      <formula>0.9</formula>
    </cfRule>
    <cfRule type="cellIs" dxfId="4278" priority="173" operator="greaterThan">
      <formula>0.85</formula>
    </cfRule>
  </conditionalFormatting>
  <conditionalFormatting sqref="N13">
    <cfRule type="cellIs" dxfId="4277" priority="170" operator="greaterThan">
      <formula>0.9</formula>
    </cfRule>
    <cfRule type="cellIs" dxfId="4276" priority="171" operator="greaterThan">
      <formula>0.85</formula>
    </cfRule>
  </conditionalFormatting>
  <conditionalFormatting sqref="E13">
    <cfRule type="expression" dxfId="4275" priority="166">
      <formula>AND(IF(OR($Q13=1,$Q13=2),1,0),IF($X13&lt;=20,1,0))</formula>
    </cfRule>
    <cfRule type="expression" dxfId="4274" priority="167">
      <formula>AND(IF($Q13=2,1,0),IF($X13&lt;30,1,0))</formula>
    </cfRule>
    <cfRule type="expression" dxfId="4273" priority="168">
      <formula>AND(IF($Q13=3,1,0),IF($X13&lt;30,1,0))</formula>
    </cfRule>
    <cfRule type="expression" dxfId="4272" priority="169">
      <formula>AND(IF($Q13=3,1,IF($Q13=4,1,0)),IF($F13&lt;=85,1,0))</formula>
    </cfRule>
  </conditionalFormatting>
  <conditionalFormatting sqref="X13">
    <cfRule type="expression" dxfId="4271" priority="162">
      <formula>AND(IF(OR($Q13=1,$Q13=2),1,0),IF($X13&lt;=20,1,0))</formula>
    </cfRule>
    <cfRule type="expression" dxfId="4270" priority="163">
      <formula>AND(IF($Q13=2,1,0),IF($X13&lt;30,1,0))</formula>
    </cfRule>
    <cfRule type="expression" dxfId="4269" priority="164">
      <formula>AND(IF($Q13=3,1,0),IF($X13&lt;30,1,0))</formula>
    </cfRule>
    <cfRule type="expression" dxfId="4268" priority="165">
      <formula>AND(IF($Q13=3,1,IF($Q13=4,1,0)),IF($F13&lt;=85,1,0))</formula>
    </cfRule>
  </conditionalFormatting>
  <conditionalFormatting sqref="AI13">
    <cfRule type="expression" dxfId="4267" priority="158">
      <formula>AND(IF(OR($Q13=1,$Q13=2),1,0),IF($X13&lt;=20,1,0))</formula>
    </cfRule>
    <cfRule type="expression" dxfId="4266" priority="159">
      <formula>AND(IF($Q13=2,1,0),IF($X13&lt;30,1,0))</formula>
    </cfRule>
    <cfRule type="expression" dxfId="4265" priority="160">
      <formula>AND(IF($Q13=3,1,0),IF($X13&lt;30,1,0))</formula>
    </cfRule>
    <cfRule type="expression" dxfId="4264" priority="161">
      <formula>AND(IF($Q13=3,1,IF($Q13=4,1,0)),IF($F13&lt;=85,1,0))</formula>
    </cfRule>
  </conditionalFormatting>
  <conditionalFormatting sqref="AV14">
    <cfRule type="expression" dxfId="4263" priority="156">
      <formula>AV14="X"</formula>
    </cfRule>
    <cfRule type="expression" dxfId="4262" priority="157">
      <formula>AV14="후보"</formula>
    </cfRule>
  </conditionalFormatting>
  <conditionalFormatting sqref="Z14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261" priority="153" operator="greaterThan">
      <formula>0.9</formula>
    </cfRule>
    <cfRule type="cellIs" dxfId="4260" priority="154" operator="greaterThan">
      <formula>0.85</formula>
    </cfRule>
  </conditionalFormatting>
  <conditionalFormatting sqref="N14">
    <cfRule type="cellIs" dxfId="4259" priority="151" operator="greaterThan">
      <formula>0.9</formula>
    </cfRule>
    <cfRule type="cellIs" dxfId="4258" priority="152" operator="greaterThan">
      <formula>0.85</formula>
    </cfRule>
  </conditionalFormatting>
  <conditionalFormatting sqref="E14">
    <cfRule type="expression" dxfId="4257" priority="147">
      <formula>AND(IF(OR($Q14=1,$Q14=2),1,0),IF($X14&lt;=20,1,0))</formula>
    </cfRule>
    <cfRule type="expression" dxfId="4256" priority="148">
      <formula>AND(IF($Q14=2,1,0),IF($X14&lt;30,1,0))</formula>
    </cfRule>
    <cfRule type="expression" dxfId="4255" priority="149">
      <formula>AND(IF($Q14=3,1,0),IF($X14&lt;30,1,0))</formula>
    </cfRule>
    <cfRule type="expression" dxfId="4254" priority="150">
      <formula>AND(IF($Q14=3,1,IF($Q14=4,1,0)),IF($F14&lt;=85,1,0))</formula>
    </cfRule>
  </conditionalFormatting>
  <conditionalFormatting sqref="X14">
    <cfRule type="expression" dxfId="4253" priority="143">
      <formula>AND(IF(OR($Q14=1,$Q14=2),1,0),IF($X14&lt;=20,1,0))</formula>
    </cfRule>
    <cfRule type="expression" dxfId="4252" priority="144">
      <formula>AND(IF($Q14=2,1,0),IF($X14&lt;30,1,0))</formula>
    </cfRule>
    <cfRule type="expression" dxfId="4251" priority="145">
      <formula>AND(IF($Q14=3,1,0),IF($X14&lt;30,1,0))</formula>
    </cfRule>
    <cfRule type="expression" dxfId="4250" priority="146">
      <formula>AND(IF($Q14=3,1,IF($Q14=4,1,0)),IF($F14&lt;=85,1,0))</formula>
    </cfRule>
  </conditionalFormatting>
  <conditionalFormatting sqref="AI14">
    <cfRule type="expression" dxfId="4249" priority="139">
      <formula>AND(IF(OR($Q14=1,$Q14=2),1,0),IF($X14&lt;=20,1,0))</formula>
    </cfRule>
    <cfRule type="expression" dxfId="4248" priority="140">
      <formula>AND(IF($Q14=2,1,0),IF($X14&lt;30,1,0))</formula>
    </cfRule>
    <cfRule type="expression" dxfId="4247" priority="141">
      <formula>AND(IF($Q14=3,1,0),IF($X14&lt;30,1,0))</formula>
    </cfRule>
    <cfRule type="expression" dxfId="4246" priority="142">
      <formula>AND(IF($Q14=3,1,IF($Q14=4,1,0)),IF($F14&lt;=85,1,0))</formula>
    </cfRule>
  </conditionalFormatting>
  <conditionalFormatting sqref="AV15">
    <cfRule type="expression" dxfId="4245" priority="137">
      <formula>AV15="X"</formula>
    </cfRule>
    <cfRule type="expression" dxfId="4244" priority="138">
      <formula>AV15="후보"</formula>
    </cfRule>
  </conditionalFormatting>
  <conditionalFormatting sqref="Z15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4243" priority="134" operator="greaterThan">
      <formula>0.9</formula>
    </cfRule>
    <cfRule type="cellIs" dxfId="4242" priority="135" operator="greaterThan">
      <formula>0.85</formula>
    </cfRule>
  </conditionalFormatting>
  <conditionalFormatting sqref="N15">
    <cfRule type="cellIs" dxfId="4241" priority="132" operator="greaterThan">
      <formula>0.9</formula>
    </cfRule>
    <cfRule type="cellIs" dxfId="4240" priority="133" operator="greaterThan">
      <formula>0.85</formula>
    </cfRule>
  </conditionalFormatting>
  <conditionalFormatting sqref="E15">
    <cfRule type="expression" dxfId="4239" priority="128">
      <formula>AND(IF(OR($Q15=1,$Q15=2),1,0),IF($X15&lt;=20,1,0))</formula>
    </cfRule>
    <cfRule type="expression" dxfId="4238" priority="129">
      <formula>AND(IF($Q15=2,1,0),IF($X15&lt;30,1,0))</formula>
    </cfRule>
    <cfRule type="expression" dxfId="4237" priority="130">
      <formula>AND(IF($Q15=3,1,0),IF($X15&lt;30,1,0))</formula>
    </cfRule>
    <cfRule type="expression" dxfId="4236" priority="131">
      <formula>AND(IF($Q15=3,1,IF($Q15=4,1,0)),IF($F15&lt;=85,1,0))</formula>
    </cfRule>
  </conditionalFormatting>
  <conditionalFormatting sqref="X15">
    <cfRule type="expression" dxfId="4235" priority="124">
      <formula>AND(IF(OR($Q15=1,$Q15=2),1,0),IF($X15&lt;=20,1,0))</formula>
    </cfRule>
    <cfRule type="expression" dxfId="4234" priority="125">
      <formula>AND(IF($Q15=2,1,0),IF($X15&lt;30,1,0))</formula>
    </cfRule>
    <cfRule type="expression" dxfId="4233" priority="126">
      <formula>AND(IF($Q15=3,1,0),IF($X15&lt;30,1,0))</formula>
    </cfRule>
    <cfRule type="expression" dxfId="4232" priority="127">
      <formula>AND(IF($Q15=3,1,IF($Q15=4,1,0)),IF($F15&lt;=85,1,0))</formula>
    </cfRule>
  </conditionalFormatting>
  <conditionalFormatting sqref="AI15">
    <cfRule type="expression" dxfId="4231" priority="120">
      <formula>AND(IF(OR($Q15=1,$Q15=2),1,0),IF($X15&lt;=20,1,0))</formula>
    </cfRule>
    <cfRule type="expression" dxfId="4230" priority="121">
      <formula>AND(IF($Q15=2,1,0),IF($X15&lt;30,1,0))</formula>
    </cfRule>
    <cfRule type="expression" dxfId="4229" priority="122">
      <formula>AND(IF($Q15=3,1,0),IF($X15&lt;30,1,0))</formula>
    </cfRule>
    <cfRule type="expression" dxfId="4228" priority="123">
      <formula>AND(IF($Q15=3,1,IF($Q15=4,1,0)),IF($F15&lt;=85,1,0))</formula>
    </cfRule>
  </conditionalFormatting>
  <conditionalFormatting sqref="AV16">
    <cfRule type="expression" dxfId="4227" priority="118">
      <formula>AV16="X"</formula>
    </cfRule>
    <cfRule type="expression" dxfId="4226" priority="119">
      <formula>AV16="후보"</formula>
    </cfRule>
  </conditionalFormatting>
  <conditionalFormatting sqref="Z16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225" priority="115" operator="greaterThan">
      <formula>0.9</formula>
    </cfRule>
    <cfRule type="cellIs" dxfId="4224" priority="116" operator="greaterThan">
      <formula>0.85</formula>
    </cfRule>
  </conditionalFormatting>
  <conditionalFormatting sqref="N16">
    <cfRule type="cellIs" dxfId="4223" priority="113" operator="greaterThan">
      <formula>0.9</formula>
    </cfRule>
    <cfRule type="cellIs" dxfId="4222" priority="114" operator="greaterThan">
      <formula>0.85</formula>
    </cfRule>
  </conditionalFormatting>
  <conditionalFormatting sqref="E16">
    <cfRule type="expression" dxfId="4221" priority="109">
      <formula>AND(IF(OR($Q16=1,$Q16=2),1,0),IF($X16&lt;=20,1,0))</formula>
    </cfRule>
    <cfRule type="expression" dxfId="4220" priority="110">
      <formula>AND(IF($Q16=2,1,0),IF($X16&lt;30,1,0))</formula>
    </cfRule>
    <cfRule type="expression" dxfId="4219" priority="111">
      <formula>AND(IF($Q16=3,1,0),IF($X16&lt;30,1,0))</formula>
    </cfRule>
    <cfRule type="expression" dxfId="4218" priority="112">
      <formula>AND(IF($Q16=3,1,IF($Q16=4,1,0)),IF($F16&lt;=85,1,0))</formula>
    </cfRule>
  </conditionalFormatting>
  <conditionalFormatting sqref="X16">
    <cfRule type="expression" dxfId="4217" priority="105">
      <formula>AND(IF(OR($Q16=1,$Q16=2),1,0),IF($X16&lt;=20,1,0))</formula>
    </cfRule>
    <cfRule type="expression" dxfId="4216" priority="106">
      <formula>AND(IF($Q16=2,1,0),IF($X16&lt;30,1,0))</formula>
    </cfRule>
    <cfRule type="expression" dxfId="4215" priority="107">
      <formula>AND(IF($Q16=3,1,0),IF($X16&lt;30,1,0))</formula>
    </cfRule>
    <cfRule type="expression" dxfId="4214" priority="108">
      <formula>AND(IF($Q16=3,1,IF($Q16=4,1,0)),IF($F16&lt;=85,1,0))</formula>
    </cfRule>
  </conditionalFormatting>
  <conditionalFormatting sqref="AI16">
    <cfRule type="expression" dxfId="4213" priority="101">
      <formula>AND(IF(OR($Q16=1,$Q16=2),1,0),IF($X16&lt;=20,1,0))</formula>
    </cfRule>
    <cfRule type="expression" dxfId="4212" priority="102">
      <formula>AND(IF($Q16=2,1,0),IF($X16&lt;30,1,0))</formula>
    </cfRule>
    <cfRule type="expression" dxfId="4211" priority="103">
      <formula>AND(IF($Q16=3,1,0),IF($X16&lt;30,1,0))</formula>
    </cfRule>
    <cfRule type="expression" dxfId="4210" priority="104">
      <formula>AND(IF($Q16=3,1,IF($Q16=4,1,0)),IF($F16&lt;=85,1,0))</formula>
    </cfRule>
  </conditionalFormatting>
  <conditionalFormatting sqref="AV17">
    <cfRule type="expression" dxfId="4209" priority="99">
      <formula>AV17="X"</formula>
    </cfRule>
    <cfRule type="expression" dxfId="4208" priority="100">
      <formula>AV17="후보"</formula>
    </cfRule>
  </conditionalFormatting>
  <conditionalFormatting sqref="Z17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207" priority="96" operator="greaterThan">
      <formula>0.9</formula>
    </cfRule>
    <cfRule type="cellIs" dxfId="4206" priority="97" operator="greaterThan">
      <formula>0.85</formula>
    </cfRule>
  </conditionalFormatting>
  <conditionalFormatting sqref="N17">
    <cfRule type="cellIs" dxfId="4205" priority="94" operator="greaterThan">
      <formula>0.9</formula>
    </cfRule>
    <cfRule type="cellIs" dxfId="4204" priority="95" operator="greaterThan">
      <formula>0.85</formula>
    </cfRule>
  </conditionalFormatting>
  <conditionalFormatting sqref="E17">
    <cfRule type="expression" dxfId="4203" priority="90">
      <formula>AND(IF(OR($Q17=1,$Q17=2),1,0),IF($X17&lt;=20,1,0))</formula>
    </cfRule>
    <cfRule type="expression" dxfId="4202" priority="91">
      <formula>AND(IF($Q17=2,1,0),IF($X17&lt;30,1,0))</formula>
    </cfRule>
    <cfRule type="expression" dxfId="4201" priority="92">
      <formula>AND(IF($Q17=3,1,0),IF($X17&lt;30,1,0))</formula>
    </cfRule>
    <cfRule type="expression" dxfId="4200" priority="93">
      <formula>AND(IF($Q17=3,1,IF($Q17=4,1,0)),IF($F17&lt;=85,1,0))</formula>
    </cfRule>
  </conditionalFormatting>
  <conditionalFormatting sqref="X17">
    <cfRule type="expression" dxfId="4199" priority="86">
      <formula>AND(IF(OR($Q17=1,$Q17=2),1,0),IF($X17&lt;=20,1,0))</formula>
    </cfRule>
    <cfRule type="expression" dxfId="4198" priority="87">
      <formula>AND(IF($Q17=2,1,0),IF($X17&lt;30,1,0))</formula>
    </cfRule>
    <cfRule type="expression" dxfId="4197" priority="88">
      <formula>AND(IF($Q17=3,1,0),IF($X17&lt;30,1,0))</formula>
    </cfRule>
    <cfRule type="expression" dxfId="4196" priority="89">
      <formula>AND(IF($Q17=3,1,IF($Q17=4,1,0)),IF($F17&lt;=85,1,0))</formula>
    </cfRule>
  </conditionalFormatting>
  <conditionalFormatting sqref="AI17">
    <cfRule type="expression" dxfId="4195" priority="82">
      <formula>AND(IF(OR($Q17=1,$Q17=2),1,0),IF($X17&lt;=20,1,0))</formula>
    </cfRule>
    <cfRule type="expression" dxfId="4194" priority="83">
      <formula>AND(IF($Q17=2,1,0),IF($X17&lt;30,1,0))</formula>
    </cfRule>
    <cfRule type="expression" dxfId="4193" priority="84">
      <formula>AND(IF($Q17=3,1,0),IF($X17&lt;30,1,0))</formula>
    </cfRule>
    <cfRule type="expression" dxfId="4192" priority="85">
      <formula>AND(IF($Q17=3,1,IF($Q17=4,1,0)),IF($F17&lt;=85,1,0))</formula>
    </cfRule>
  </conditionalFormatting>
  <conditionalFormatting sqref="AV18">
    <cfRule type="expression" dxfId="4191" priority="80">
      <formula>AV18="X"</formula>
    </cfRule>
    <cfRule type="expression" dxfId="4190" priority="81">
      <formula>AV18="후보"</formula>
    </cfRule>
  </conditionalFormatting>
  <conditionalFormatting sqref="Z18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4189" priority="77" operator="greaterThan">
      <formula>0.9</formula>
    </cfRule>
    <cfRule type="cellIs" dxfId="4188" priority="78" operator="greaterThan">
      <formula>0.85</formula>
    </cfRule>
  </conditionalFormatting>
  <conditionalFormatting sqref="N18">
    <cfRule type="cellIs" dxfId="4187" priority="75" operator="greaterThan">
      <formula>0.9</formula>
    </cfRule>
    <cfRule type="cellIs" dxfId="4186" priority="76" operator="greaterThan">
      <formula>0.85</formula>
    </cfRule>
  </conditionalFormatting>
  <conditionalFormatting sqref="E18">
    <cfRule type="expression" dxfId="4185" priority="71">
      <formula>AND(IF(OR($Q18=1,$Q18=2),1,0),IF($X18&lt;=20,1,0))</formula>
    </cfRule>
    <cfRule type="expression" dxfId="4184" priority="72">
      <formula>AND(IF($Q18=2,1,0),IF($X18&lt;30,1,0))</formula>
    </cfRule>
    <cfRule type="expression" dxfId="4183" priority="73">
      <formula>AND(IF($Q18=3,1,0),IF($X18&lt;30,1,0))</formula>
    </cfRule>
    <cfRule type="expression" dxfId="4182" priority="74">
      <formula>AND(IF($Q18=3,1,IF($Q18=4,1,0)),IF($F18&lt;=85,1,0))</formula>
    </cfRule>
  </conditionalFormatting>
  <conditionalFormatting sqref="X18">
    <cfRule type="expression" dxfId="4181" priority="67">
      <formula>AND(IF(OR($Q18=1,$Q18=2),1,0),IF($X18&lt;=20,1,0))</formula>
    </cfRule>
    <cfRule type="expression" dxfId="4180" priority="68">
      <formula>AND(IF($Q18=2,1,0),IF($X18&lt;30,1,0))</formula>
    </cfRule>
    <cfRule type="expression" dxfId="4179" priority="69">
      <formula>AND(IF($Q18=3,1,0),IF($X18&lt;30,1,0))</formula>
    </cfRule>
    <cfRule type="expression" dxfId="4178" priority="70">
      <formula>AND(IF($Q18=3,1,IF($Q18=4,1,0)),IF($F18&lt;=85,1,0))</formula>
    </cfRule>
  </conditionalFormatting>
  <conditionalFormatting sqref="AI18">
    <cfRule type="expression" dxfId="4177" priority="63">
      <formula>AND(IF(OR($Q18=1,$Q18=2),1,0),IF($X18&lt;=20,1,0))</formula>
    </cfRule>
    <cfRule type="expression" dxfId="4176" priority="64">
      <formula>AND(IF($Q18=2,1,0),IF($X18&lt;30,1,0))</formula>
    </cfRule>
    <cfRule type="expression" dxfId="4175" priority="65">
      <formula>AND(IF($Q18=3,1,0),IF($X18&lt;30,1,0))</formula>
    </cfRule>
    <cfRule type="expression" dxfId="4174" priority="66">
      <formula>AND(IF($Q18=3,1,IF($Q18=4,1,0)),IF($F18&lt;=85,1,0))</formula>
    </cfRule>
  </conditionalFormatting>
  <conditionalFormatting sqref="AV19">
    <cfRule type="expression" dxfId="4173" priority="61">
      <formula>AV19="X"</formula>
    </cfRule>
    <cfRule type="expression" dxfId="4172" priority="62">
      <formula>AV19="후보"</formula>
    </cfRule>
  </conditionalFormatting>
  <conditionalFormatting sqref="Z19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4171" priority="58" operator="greaterThan">
      <formula>0.9</formula>
    </cfRule>
    <cfRule type="cellIs" dxfId="4170" priority="59" operator="greaterThan">
      <formula>0.85</formula>
    </cfRule>
  </conditionalFormatting>
  <conditionalFormatting sqref="N19">
    <cfRule type="cellIs" dxfId="4169" priority="56" operator="greaterThan">
      <formula>0.9</formula>
    </cfRule>
    <cfRule type="cellIs" dxfId="4168" priority="57" operator="greaterThan">
      <formula>0.85</formula>
    </cfRule>
  </conditionalFormatting>
  <conditionalFormatting sqref="E19">
    <cfRule type="expression" dxfId="4167" priority="52">
      <formula>AND(IF(OR($Q19=1,$Q19=2),1,0),IF($X19&lt;=20,1,0))</formula>
    </cfRule>
    <cfRule type="expression" dxfId="4166" priority="53">
      <formula>AND(IF($Q19=2,1,0),IF($X19&lt;30,1,0))</formula>
    </cfRule>
    <cfRule type="expression" dxfId="4165" priority="54">
      <formula>AND(IF($Q19=3,1,0),IF($X19&lt;30,1,0))</formula>
    </cfRule>
    <cfRule type="expression" dxfId="4164" priority="55">
      <formula>AND(IF($Q19=3,1,IF($Q19=4,1,0)),IF($F19&lt;=85,1,0))</formula>
    </cfRule>
  </conditionalFormatting>
  <conditionalFormatting sqref="X19">
    <cfRule type="expression" dxfId="4163" priority="48">
      <formula>AND(IF(OR($Q19=1,$Q19=2),1,0),IF($X19&lt;=20,1,0))</formula>
    </cfRule>
    <cfRule type="expression" dxfId="4162" priority="49">
      <formula>AND(IF($Q19=2,1,0),IF($X19&lt;30,1,0))</formula>
    </cfRule>
    <cfRule type="expression" dxfId="4161" priority="50">
      <formula>AND(IF($Q19=3,1,0),IF($X19&lt;30,1,0))</formula>
    </cfRule>
    <cfRule type="expression" dxfId="4160" priority="51">
      <formula>AND(IF($Q19=3,1,IF($Q19=4,1,0)),IF($F19&lt;=85,1,0))</formula>
    </cfRule>
  </conditionalFormatting>
  <conditionalFormatting sqref="AI19">
    <cfRule type="expression" dxfId="4159" priority="44">
      <formula>AND(IF(OR($Q19=1,$Q19=2),1,0),IF($X19&lt;=20,1,0))</formula>
    </cfRule>
    <cfRule type="expression" dxfId="4158" priority="45">
      <formula>AND(IF($Q19=2,1,0),IF($X19&lt;30,1,0))</formula>
    </cfRule>
    <cfRule type="expression" dxfId="4157" priority="46">
      <formula>AND(IF($Q19=3,1,0),IF($X19&lt;30,1,0))</formula>
    </cfRule>
    <cfRule type="expression" dxfId="4156" priority="47">
      <formula>AND(IF($Q19=3,1,IF($Q19=4,1,0)),IF($F19&lt;=85,1,0))</formula>
    </cfRule>
  </conditionalFormatting>
  <conditionalFormatting sqref="AV20">
    <cfRule type="expression" dxfId="4155" priority="42">
      <formula>AV20="X"</formula>
    </cfRule>
    <cfRule type="expression" dxfId="4154" priority="43">
      <formula>AV20="후보"</formula>
    </cfRule>
  </conditionalFormatting>
  <conditionalFormatting sqref="Z20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4153" priority="39" operator="greaterThan">
      <formula>0.9</formula>
    </cfRule>
    <cfRule type="cellIs" dxfId="4152" priority="40" operator="greaterThan">
      <formula>0.85</formula>
    </cfRule>
  </conditionalFormatting>
  <conditionalFormatting sqref="AV21">
    <cfRule type="expression" dxfId="4151" priority="37">
      <formula>AV21="X"</formula>
    </cfRule>
    <cfRule type="expression" dxfId="4150" priority="38">
      <formula>AV21="후보"</formula>
    </cfRule>
  </conditionalFormatting>
  <conditionalFormatting sqref="Z2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4149" priority="34" operator="greaterThan">
      <formula>0.9</formula>
    </cfRule>
    <cfRule type="cellIs" dxfId="4148" priority="35" operator="greaterThan">
      <formula>0.85</formula>
    </cfRule>
  </conditionalFormatting>
  <conditionalFormatting sqref="N21">
    <cfRule type="cellIs" dxfId="4147" priority="32" operator="greaterThan">
      <formula>0.9</formula>
    </cfRule>
    <cfRule type="cellIs" dxfId="4146" priority="33" operator="greaterThan">
      <formula>0.85</formula>
    </cfRule>
  </conditionalFormatting>
  <conditionalFormatting sqref="E21">
    <cfRule type="expression" dxfId="4145" priority="28">
      <formula>AND(IF(OR($Q21=1,$Q21=2),1,0),IF($X21&lt;=20,1,0))</formula>
    </cfRule>
    <cfRule type="expression" dxfId="4144" priority="29">
      <formula>AND(IF($Q21=2,1,0),IF($X21&lt;30,1,0))</formula>
    </cfRule>
    <cfRule type="expression" dxfId="4143" priority="30">
      <formula>AND(IF($Q21=3,1,0),IF($X21&lt;30,1,0))</formula>
    </cfRule>
    <cfRule type="expression" dxfId="4142" priority="31">
      <formula>AND(IF($Q21=3,1,IF($Q21=4,1,0)),IF($F21&lt;=85,1,0))</formula>
    </cfRule>
  </conditionalFormatting>
  <conditionalFormatting sqref="X21">
    <cfRule type="expression" dxfId="4141" priority="24">
      <formula>AND(IF(OR($Q21=1,$Q21=2),1,0),IF($X21&lt;=20,1,0))</formula>
    </cfRule>
    <cfRule type="expression" dxfId="4140" priority="25">
      <formula>AND(IF($Q21=2,1,0),IF($X21&lt;30,1,0))</formula>
    </cfRule>
    <cfRule type="expression" dxfId="4139" priority="26">
      <formula>AND(IF($Q21=3,1,0),IF($X21&lt;30,1,0))</formula>
    </cfRule>
    <cfRule type="expression" dxfId="4138" priority="27">
      <formula>AND(IF($Q21=3,1,IF($Q21=4,1,0)),IF($F21&lt;=85,1,0))</formula>
    </cfRule>
  </conditionalFormatting>
  <conditionalFormatting sqref="AI21">
    <cfRule type="expression" dxfId="4137" priority="20">
      <formula>AND(IF(OR($Q21=1,$Q21=2),1,0),IF($X21&lt;=20,1,0))</formula>
    </cfRule>
    <cfRule type="expression" dxfId="4136" priority="21">
      <formula>AND(IF($Q21=2,1,0),IF($X21&lt;30,1,0))</formula>
    </cfRule>
    <cfRule type="expression" dxfId="4135" priority="22">
      <formula>AND(IF($Q21=3,1,0),IF($X21&lt;30,1,0))</formula>
    </cfRule>
    <cfRule type="expression" dxfId="4134" priority="23">
      <formula>AND(IF($Q21=3,1,IF($Q21=4,1,0)),IF($F21&lt;=85,1,0))</formula>
    </cfRule>
  </conditionalFormatting>
  <conditionalFormatting sqref="AV22">
    <cfRule type="expression" dxfId="4133" priority="18">
      <formula>AV22="X"</formula>
    </cfRule>
    <cfRule type="expression" dxfId="4132" priority="19">
      <formula>AV22="후보"</formula>
    </cfRule>
  </conditionalFormatting>
  <conditionalFormatting sqref="Z2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4131" priority="15" operator="greaterThan">
      <formula>0.9</formula>
    </cfRule>
    <cfRule type="cellIs" dxfId="4130" priority="16" operator="greaterThan">
      <formula>0.85</formula>
    </cfRule>
  </conditionalFormatting>
  <conditionalFormatting sqref="N22">
    <cfRule type="cellIs" dxfId="4129" priority="13" operator="greaterThan">
      <formula>0.9</formula>
    </cfRule>
    <cfRule type="cellIs" dxfId="4128" priority="14" operator="greaterThan">
      <formula>0.85</formula>
    </cfRule>
  </conditionalFormatting>
  <conditionalFormatting sqref="E22">
    <cfRule type="expression" dxfId="4127" priority="9">
      <formula>AND(IF(OR($Q22=1,$Q22=2),1,0),IF($X22&lt;=20,1,0))</formula>
    </cfRule>
    <cfRule type="expression" dxfId="4126" priority="10">
      <formula>AND(IF($Q22=2,1,0),IF($X22&lt;30,1,0))</formula>
    </cfRule>
    <cfRule type="expression" dxfId="4125" priority="11">
      <formula>AND(IF($Q22=3,1,0),IF($X22&lt;30,1,0))</formula>
    </cfRule>
    <cfRule type="expression" dxfId="4124" priority="12">
      <formula>AND(IF($Q22=3,1,IF($Q22=4,1,0)),IF($F22&lt;=85,1,0))</formula>
    </cfRule>
  </conditionalFormatting>
  <conditionalFormatting sqref="X22">
    <cfRule type="expression" dxfId="4123" priority="5">
      <formula>AND(IF(OR($Q22=1,$Q22=2),1,0),IF($X22&lt;=20,1,0))</formula>
    </cfRule>
    <cfRule type="expression" dxfId="4122" priority="6">
      <formula>AND(IF($Q22=2,1,0),IF($X22&lt;30,1,0))</formula>
    </cfRule>
    <cfRule type="expression" dxfId="4121" priority="7">
      <formula>AND(IF($Q22=3,1,0),IF($X22&lt;30,1,0))</formula>
    </cfRule>
    <cfRule type="expression" dxfId="4120" priority="8">
      <formula>AND(IF($Q22=3,1,IF($Q22=4,1,0)),IF($F22&lt;=85,1,0))</formula>
    </cfRule>
  </conditionalFormatting>
  <conditionalFormatting sqref="AI22">
    <cfRule type="expression" dxfId="4119" priority="1">
      <formula>AND(IF(OR($Q22=1,$Q22=2),1,0),IF($X22&lt;=20,1,0))</formula>
    </cfRule>
    <cfRule type="expression" dxfId="4118" priority="2">
      <formula>AND(IF($Q22=2,1,0),IF($X22&lt;30,1,0))</formula>
    </cfRule>
    <cfRule type="expression" dxfId="4117" priority="3">
      <formula>AND(IF($Q22=3,1,0),IF($X22&lt;30,1,0))</formula>
    </cfRule>
    <cfRule type="expression" dxfId="411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오류동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1466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오류동 신동아('97.03.,1192^)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1467</v>
      </c>
      <c r="B6" s="16" t="s">
        <v>1468</v>
      </c>
      <c r="C6" s="28">
        <v>1192</v>
      </c>
      <c r="D6" s="25">
        <v>78</v>
      </c>
      <c r="E6" s="106">
        <v>24</v>
      </c>
      <c r="F6" s="25">
        <v>60</v>
      </c>
      <c r="G6" s="27">
        <v>18</v>
      </c>
      <c r="H6" s="28">
        <v>536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64</v>
      </c>
      <c r="T6" s="8">
        <v>78</v>
      </c>
      <c r="U6" s="13"/>
      <c r="W6" s="25">
        <f>D6</f>
        <v>78</v>
      </c>
      <c r="X6" s="106">
        <f>E6</f>
        <v>24</v>
      </c>
      <c r="Y6" s="32">
        <f>H6</f>
        <v>536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신동아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1467</v>
      </c>
      <c r="B7" s="16" t="s">
        <v>1468</v>
      </c>
      <c r="C7" s="28">
        <v>1192</v>
      </c>
      <c r="D7" s="25">
        <v>105.3</v>
      </c>
      <c r="E7" s="106">
        <v>32</v>
      </c>
      <c r="F7" s="25">
        <v>85</v>
      </c>
      <c r="G7" s="27">
        <v>26</v>
      </c>
      <c r="H7" s="28">
        <v>560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>
        <v>105</v>
      </c>
      <c r="U7" s="13"/>
      <c r="W7" s="25">
        <f>D7</f>
        <v>105.3</v>
      </c>
      <c r="X7" s="106">
        <f>E7</f>
        <v>32</v>
      </c>
      <c r="Y7" s="32">
        <f>H7</f>
        <v>560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신동아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1467</v>
      </c>
      <c r="B8" s="16" t="s">
        <v>1468</v>
      </c>
      <c r="C8" s="28">
        <v>1192</v>
      </c>
      <c r="D8" s="25">
        <v>138</v>
      </c>
      <c r="E8" s="106">
        <v>42</v>
      </c>
      <c r="F8" s="25">
        <v>115</v>
      </c>
      <c r="G8" s="27">
        <v>35</v>
      </c>
      <c r="H8" s="28">
        <v>96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64</v>
      </c>
      <c r="T8" s="8">
        <v>137</v>
      </c>
      <c r="U8" s="13"/>
      <c r="W8" s="25">
        <f>D8</f>
        <v>138</v>
      </c>
      <c r="X8" s="106">
        <f>E8</f>
        <v>42</v>
      </c>
      <c r="Y8" s="32">
        <f>H8</f>
        <v>96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신동아</v>
      </c>
      <c r="AI8" s="106">
        <f>IF(E8="","",E8)</f>
        <v>42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4115" priority="58">
      <formula>AV4="X"</formula>
    </cfRule>
    <cfRule type="expression" dxfId="4114" priority="59">
      <formula>AV4="후보"</formula>
    </cfRule>
  </conditionalFormatting>
  <conditionalFormatting sqref="Z2:Z6">
    <cfRule type="colorScale" priority="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113" priority="55" operator="greaterThan">
      <formula>0.9</formula>
    </cfRule>
    <cfRule type="cellIs" dxfId="4112" priority="56" operator="greaterThan">
      <formula>0.85</formula>
    </cfRule>
  </conditionalFormatting>
  <conditionalFormatting sqref="N1:N2">
    <cfRule type="cellIs" dxfId="4111" priority="53" operator="greaterThan">
      <formula>0.9</formula>
    </cfRule>
    <cfRule type="cellIs" dxfId="4110" priority="54" operator="greaterThan">
      <formula>0.85</formula>
    </cfRule>
  </conditionalFormatting>
  <conditionalFormatting sqref="N6">
    <cfRule type="cellIs" dxfId="4109" priority="51" operator="greaterThan">
      <formula>0.9</formula>
    </cfRule>
    <cfRule type="cellIs" dxfId="4108" priority="52" operator="greaterThan">
      <formula>0.85</formula>
    </cfRule>
  </conditionalFormatting>
  <conditionalFormatting sqref="E6">
    <cfRule type="expression" dxfId="4107" priority="47">
      <formula>AND(IF(OR($Q6=1,$Q6=2),1,0),IF($X6&lt;=20,1,0))</formula>
    </cfRule>
    <cfRule type="expression" dxfId="4106" priority="48">
      <formula>AND(IF($Q6=2,1,0),IF($X6&lt;30,1,0))</formula>
    </cfRule>
    <cfRule type="expression" dxfId="4105" priority="49">
      <formula>AND(IF($Q6=3,1,0),IF($X6&lt;30,1,0))</formula>
    </cfRule>
    <cfRule type="expression" dxfId="4104" priority="50">
      <formula>AND(IF($Q6=3,1,IF($Q6=4,1,0)),IF($F6&lt;=85,1,0))</formula>
    </cfRule>
  </conditionalFormatting>
  <conditionalFormatting sqref="X6">
    <cfRule type="expression" dxfId="4103" priority="43">
      <formula>AND(IF(OR($Q6=1,$Q6=2),1,0),IF($X6&lt;=20,1,0))</formula>
    </cfRule>
    <cfRule type="expression" dxfId="4102" priority="44">
      <formula>AND(IF($Q6=2,1,0),IF($X6&lt;30,1,0))</formula>
    </cfRule>
    <cfRule type="expression" dxfId="4101" priority="45">
      <formula>AND(IF($Q6=3,1,0),IF($X6&lt;30,1,0))</formula>
    </cfRule>
    <cfRule type="expression" dxfId="4100" priority="46">
      <formula>AND(IF($Q6=3,1,IF($Q6=4,1,0)),IF($F6&lt;=85,1,0))</formula>
    </cfRule>
  </conditionalFormatting>
  <conditionalFormatting sqref="AI6">
    <cfRule type="expression" dxfId="4099" priority="39">
      <formula>AND(IF(OR($Q6=1,$Q6=2),1,0),IF($X6&lt;=20,1,0))</formula>
    </cfRule>
    <cfRule type="expression" dxfId="4098" priority="40">
      <formula>AND(IF($Q6=2,1,0),IF($X6&lt;30,1,0))</formula>
    </cfRule>
    <cfRule type="expression" dxfId="4097" priority="41">
      <formula>AND(IF($Q6=3,1,0),IF($X6&lt;30,1,0))</formula>
    </cfRule>
    <cfRule type="expression" dxfId="4096" priority="42">
      <formula>AND(IF($Q6=3,1,IF($Q6=4,1,0)),IF($F6&lt;=85,1,0))</formula>
    </cfRule>
  </conditionalFormatting>
  <conditionalFormatting sqref="AV7">
    <cfRule type="expression" dxfId="4095" priority="37">
      <formula>AV7="X"</formula>
    </cfRule>
    <cfRule type="expression" dxfId="4094" priority="38">
      <formula>AV7="후보"</formula>
    </cfRule>
  </conditionalFormatting>
  <conditionalFormatting sqref="Z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093" priority="34" operator="greaterThan">
      <formula>0.9</formula>
    </cfRule>
    <cfRule type="cellIs" dxfId="4092" priority="35" operator="greaterThan">
      <formula>0.85</formula>
    </cfRule>
  </conditionalFormatting>
  <conditionalFormatting sqref="N7">
    <cfRule type="cellIs" dxfId="4091" priority="32" operator="greaterThan">
      <formula>0.9</formula>
    </cfRule>
    <cfRule type="cellIs" dxfId="4090" priority="33" operator="greaterThan">
      <formula>0.85</formula>
    </cfRule>
  </conditionalFormatting>
  <conditionalFormatting sqref="E7">
    <cfRule type="expression" dxfId="4089" priority="28">
      <formula>AND(IF(OR($Q7=1,$Q7=2),1,0),IF($X7&lt;=20,1,0))</formula>
    </cfRule>
    <cfRule type="expression" dxfId="4088" priority="29">
      <formula>AND(IF($Q7=2,1,0),IF($X7&lt;30,1,0))</formula>
    </cfRule>
    <cfRule type="expression" dxfId="4087" priority="30">
      <formula>AND(IF($Q7=3,1,0),IF($X7&lt;30,1,0))</formula>
    </cfRule>
    <cfRule type="expression" dxfId="4086" priority="31">
      <formula>AND(IF($Q7=3,1,IF($Q7=4,1,0)),IF($F7&lt;=85,1,0))</formula>
    </cfRule>
  </conditionalFormatting>
  <conditionalFormatting sqref="X7">
    <cfRule type="expression" dxfId="4085" priority="24">
      <formula>AND(IF(OR($Q7=1,$Q7=2),1,0),IF($X7&lt;=20,1,0))</formula>
    </cfRule>
    <cfRule type="expression" dxfId="4084" priority="25">
      <formula>AND(IF($Q7=2,1,0),IF($X7&lt;30,1,0))</formula>
    </cfRule>
    <cfRule type="expression" dxfId="4083" priority="26">
      <formula>AND(IF($Q7=3,1,0),IF($X7&lt;30,1,0))</formula>
    </cfRule>
    <cfRule type="expression" dxfId="4082" priority="27">
      <formula>AND(IF($Q7=3,1,IF($Q7=4,1,0)),IF($F7&lt;=85,1,0))</formula>
    </cfRule>
  </conditionalFormatting>
  <conditionalFormatting sqref="AI7">
    <cfRule type="expression" dxfId="4081" priority="20">
      <formula>AND(IF(OR($Q7=1,$Q7=2),1,0),IF($X7&lt;=20,1,0))</formula>
    </cfRule>
    <cfRule type="expression" dxfId="4080" priority="21">
      <formula>AND(IF($Q7=2,1,0),IF($X7&lt;30,1,0))</formula>
    </cfRule>
    <cfRule type="expression" dxfId="4079" priority="22">
      <formula>AND(IF($Q7=3,1,0),IF($X7&lt;30,1,0))</formula>
    </cfRule>
    <cfRule type="expression" dxfId="4078" priority="23">
      <formula>AND(IF($Q7=3,1,IF($Q7=4,1,0)),IF($F7&lt;=85,1,0))</formula>
    </cfRule>
  </conditionalFormatting>
  <conditionalFormatting sqref="AV8">
    <cfRule type="expression" dxfId="4077" priority="18">
      <formula>AV8="X"</formula>
    </cfRule>
    <cfRule type="expression" dxfId="4076" priority="19">
      <formula>AV8="후보"</formula>
    </cfRule>
  </conditionalFormatting>
  <conditionalFormatting sqref="Z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075" priority="15" operator="greaterThan">
      <formula>0.9</formula>
    </cfRule>
    <cfRule type="cellIs" dxfId="4074" priority="16" operator="greaterThan">
      <formula>0.85</formula>
    </cfRule>
  </conditionalFormatting>
  <conditionalFormatting sqref="N8">
    <cfRule type="cellIs" dxfId="4073" priority="13" operator="greaterThan">
      <formula>0.9</formula>
    </cfRule>
    <cfRule type="cellIs" dxfId="4072" priority="14" operator="greaterThan">
      <formula>0.85</formula>
    </cfRule>
  </conditionalFormatting>
  <conditionalFormatting sqref="E8">
    <cfRule type="expression" dxfId="4071" priority="9">
      <formula>AND(IF(OR($Q8=1,$Q8=2),1,0),IF($X8&lt;=20,1,0))</formula>
    </cfRule>
    <cfRule type="expression" dxfId="4070" priority="10">
      <formula>AND(IF($Q8=2,1,0),IF($X8&lt;30,1,0))</formula>
    </cfRule>
    <cfRule type="expression" dxfId="4069" priority="11">
      <formula>AND(IF($Q8=3,1,0),IF($X8&lt;30,1,0))</formula>
    </cfRule>
    <cfRule type="expression" dxfId="4068" priority="12">
      <formula>AND(IF($Q8=3,1,IF($Q8=4,1,0)),IF($F8&lt;=85,1,0))</formula>
    </cfRule>
  </conditionalFormatting>
  <conditionalFormatting sqref="X8">
    <cfRule type="expression" dxfId="4067" priority="5">
      <formula>AND(IF(OR($Q8=1,$Q8=2),1,0),IF($X8&lt;=20,1,0))</formula>
    </cfRule>
    <cfRule type="expression" dxfId="4066" priority="6">
      <formula>AND(IF($Q8=2,1,0),IF($X8&lt;30,1,0))</formula>
    </cfRule>
    <cfRule type="expression" dxfId="4065" priority="7">
      <formula>AND(IF($Q8=3,1,0),IF($X8&lt;30,1,0))</formula>
    </cfRule>
    <cfRule type="expression" dxfId="4064" priority="8">
      <formula>AND(IF($Q8=3,1,IF($Q8=4,1,0)),IF($F8&lt;=85,1,0))</formula>
    </cfRule>
  </conditionalFormatting>
  <conditionalFormatting sqref="AI8">
    <cfRule type="expression" dxfId="4063" priority="1">
      <formula>AND(IF(OR($Q8=1,$Q8=2),1,0),IF($X8&lt;=20,1,0))</formula>
    </cfRule>
    <cfRule type="expression" dxfId="4062" priority="2">
      <formula>AND(IF($Q8=2,1,0),IF($X8&lt;30,1,0))</formula>
    </cfRule>
    <cfRule type="expression" dxfId="4061" priority="3">
      <formula>AND(IF($Q8=3,1,0),IF($X8&lt;30,1,0))</formula>
    </cfRule>
    <cfRule type="expression" dxfId="4060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용종동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1469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용종동 초정마을하나('97.08.,972^)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1470</v>
      </c>
      <c r="B6" s="16" t="s">
        <v>1354</v>
      </c>
      <c r="C6" s="28">
        <v>972</v>
      </c>
      <c r="D6" s="25">
        <v>35.9</v>
      </c>
      <c r="E6" s="106">
        <v>11</v>
      </c>
      <c r="F6" s="25">
        <v>26.4</v>
      </c>
      <c r="G6" s="27">
        <v>8</v>
      </c>
      <c r="H6" s="28">
        <v>168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1471</v>
      </c>
      <c r="T6" s="8">
        <v>35</v>
      </c>
      <c r="U6" s="13"/>
      <c r="W6" s="25">
        <f>D6</f>
        <v>35.9</v>
      </c>
      <c r="X6" s="106">
        <f>E6</f>
        <v>11</v>
      </c>
      <c r="Y6" s="32">
        <f>H6</f>
        <v>168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1/1</v>
      </c>
      <c r="AH6" s="36" t="str">
        <f>IF(A6="","",A6)</f>
        <v>초정마을하나</v>
      </c>
      <c r="AI6" s="106">
        <f>IF(E6="","",E6)</f>
        <v>11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1470</v>
      </c>
      <c r="B7" s="16" t="s">
        <v>1354</v>
      </c>
      <c r="C7" s="28">
        <v>972</v>
      </c>
      <c r="D7" s="25">
        <v>107.5</v>
      </c>
      <c r="E7" s="106">
        <v>33</v>
      </c>
      <c r="F7" s="25">
        <v>85</v>
      </c>
      <c r="G7" s="27">
        <v>26</v>
      </c>
      <c r="H7" s="28">
        <v>804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>
        <v>107</v>
      </c>
      <c r="U7" s="13"/>
      <c r="W7" s="25">
        <f>D7</f>
        <v>107.5</v>
      </c>
      <c r="X7" s="106">
        <f>E7</f>
        <v>33</v>
      </c>
      <c r="Y7" s="32">
        <f>H7</f>
        <v>804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초정마을하나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용종동 초정마을두산쌍용('97.10.,798^)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1472</v>
      </c>
      <c r="B9" s="16" t="s">
        <v>1441</v>
      </c>
      <c r="C9" s="28">
        <v>798</v>
      </c>
      <c r="D9" s="25">
        <v>120.5</v>
      </c>
      <c r="E9" s="106">
        <v>36</v>
      </c>
      <c r="F9" s="25">
        <v>96.2</v>
      </c>
      <c r="G9" s="27">
        <v>29</v>
      </c>
      <c r="H9" s="28">
        <v>288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64</v>
      </c>
      <c r="T9" s="8" t="s">
        <v>622</v>
      </c>
      <c r="U9" s="13"/>
      <c r="W9" s="25">
        <f>D9</f>
        <v>120.5</v>
      </c>
      <c r="X9" s="106">
        <f>E9</f>
        <v>36</v>
      </c>
      <c r="Y9" s="32">
        <f>H9</f>
        <v>288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초정마을두산쌍용</v>
      </c>
      <c r="AI9" s="106">
        <f>IF(E9="","",E9)</f>
        <v>36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1472</v>
      </c>
      <c r="B10" s="16" t="s">
        <v>1441</v>
      </c>
      <c r="C10" s="28">
        <v>798</v>
      </c>
      <c r="D10" s="25">
        <v>120.5</v>
      </c>
      <c r="E10" s="106">
        <v>36</v>
      </c>
      <c r="F10" s="25">
        <v>96.2</v>
      </c>
      <c r="G10" s="27">
        <v>29</v>
      </c>
      <c r="H10" s="28">
        <v>228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64</v>
      </c>
      <c r="T10" s="8" t="s">
        <v>626</v>
      </c>
      <c r="U10" s="13"/>
      <c r="W10" s="25">
        <f>D10</f>
        <v>120.5</v>
      </c>
      <c r="X10" s="106">
        <f>E10</f>
        <v>36</v>
      </c>
      <c r="Y10" s="32">
        <f>H10</f>
        <v>228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초정마을두산쌍용</v>
      </c>
      <c r="AI10" s="106">
        <f>IF(E10="","",E10)</f>
        <v>36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1472</v>
      </c>
      <c r="B11" s="16" t="s">
        <v>1441</v>
      </c>
      <c r="C11" s="28">
        <v>798</v>
      </c>
      <c r="D11" s="25">
        <v>149.80000000000001</v>
      </c>
      <c r="E11" s="106">
        <v>45</v>
      </c>
      <c r="F11" s="25">
        <v>122</v>
      </c>
      <c r="G11" s="27">
        <v>37</v>
      </c>
      <c r="H11" s="28">
        <v>156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64</v>
      </c>
      <c r="T11" s="8" t="s">
        <v>627</v>
      </c>
      <c r="U11" s="13"/>
      <c r="W11" s="25">
        <f>D11</f>
        <v>149.80000000000001</v>
      </c>
      <c r="X11" s="106">
        <f>E11</f>
        <v>45</v>
      </c>
      <c r="Y11" s="32">
        <f>H11</f>
        <v>156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초정마을두산쌍용</v>
      </c>
      <c r="AI11" s="106">
        <f>IF(E11="","",E11)</f>
        <v>45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1472</v>
      </c>
      <c r="B12" s="16" t="s">
        <v>1441</v>
      </c>
      <c r="C12" s="28">
        <v>798</v>
      </c>
      <c r="D12" s="25">
        <v>149.80000000000001</v>
      </c>
      <c r="E12" s="106">
        <v>45</v>
      </c>
      <c r="F12" s="25">
        <v>122</v>
      </c>
      <c r="G12" s="27">
        <v>37</v>
      </c>
      <c r="H12" s="28">
        <v>126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64</v>
      </c>
      <c r="T12" s="8" t="s">
        <v>628</v>
      </c>
      <c r="U12" s="13"/>
      <c r="W12" s="25">
        <f>D12</f>
        <v>149.80000000000001</v>
      </c>
      <c r="X12" s="106">
        <f>E12</f>
        <v>45</v>
      </c>
      <c r="Y12" s="32">
        <f>H12</f>
        <v>126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초정마을두산쌍용</v>
      </c>
      <c r="AI12" s="106">
        <f>IF(E12="","",E12)</f>
        <v>45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용종동 용종마을신대진('97.08.,562^)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1473</v>
      </c>
      <c r="B14" s="16" t="s">
        <v>1354</v>
      </c>
      <c r="C14" s="28">
        <v>562</v>
      </c>
      <c r="D14" s="25">
        <v>51.4</v>
      </c>
      <c r="E14" s="106">
        <v>16</v>
      </c>
      <c r="F14" s="25">
        <v>37.200000000000003</v>
      </c>
      <c r="G14" s="27">
        <v>11</v>
      </c>
      <c r="H14" s="28">
        <v>160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1384</v>
      </c>
      <c r="T14" s="8">
        <v>51</v>
      </c>
      <c r="U14" s="13"/>
      <c r="W14" s="25">
        <f>D14</f>
        <v>51.4</v>
      </c>
      <c r="X14" s="106">
        <f>E14</f>
        <v>16</v>
      </c>
      <c r="Y14" s="32">
        <f>H14</f>
        <v>160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복</v>
      </c>
      <c r="AF14" s="15" t="str">
        <f>Q14&amp;"/"&amp;R14</f>
        <v>2/1</v>
      </c>
      <c r="AH14" s="36" t="str">
        <f>IF(A14="","",A14)</f>
        <v>용종마을신대진</v>
      </c>
      <c r="AI14" s="106">
        <f>IF(E14="","",E14)</f>
        <v>16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1473</v>
      </c>
      <c r="B15" s="16" t="s">
        <v>1354</v>
      </c>
      <c r="C15" s="28">
        <v>562</v>
      </c>
      <c r="D15" s="25">
        <v>105.5</v>
      </c>
      <c r="E15" s="106">
        <v>32</v>
      </c>
      <c r="F15" s="25">
        <v>85</v>
      </c>
      <c r="G15" s="27">
        <v>26</v>
      </c>
      <c r="H15" s="28">
        <v>402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64</v>
      </c>
      <c r="T15" s="8">
        <v>105</v>
      </c>
      <c r="U15" s="13"/>
      <c r="W15" s="25">
        <f>D15</f>
        <v>105.5</v>
      </c>
      <c r="X15" s="106">
        <f>E15</f>
        <v>32</v>
      </c>
      <c r="Y15" s="32">
        <f>H15</f>
        <v>402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용종마을신대진</v>
      </c>
      <c r="AI15" s="106">
        <f>IF(E15="","",E15)</f>
        <v>32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용종동 초정마을동아('98.01.,616^)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1474</v>
      </c>
      <c r="B17" s="16" t="s">
        <v>1475</v>
      </c>
      <c r="C17" s="28">
        <v>616</v>
      </c>
      <c r="D17" s="25">
        <v>120.4</v>
      </c>
      <c r="E17" s="106">
        <v>36</v>
      </c>
      <c r="F17" s="25">
        <v>95.5</v>
      </c>
      <c r="G17" s="27">
        <v>29</v>
      </c>
      <c r="H17" s="28">
        <v>440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64</v>
      </c>
      <c r="T17" s="8">
        <v>120</v>
      </c>
      <c r="U17" s="13"/>
      <c r="W17" s="25">
        <f>D17</f>
        <v>120.4</v>
      </c>
      <c r="X17" s="106">
        <f>E17</f>
        <v>36</v>
      </c>
      <c r="Y17" s="32">
        <f>H17</f>
        <v>440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초정마을동아</v>
      </c>
      <c r="AI17" s="106">
        <f>IF(E17="","",E17)</f>
        <v>36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1476</v>
      </c>
      <c r="B18" s="16" t="s">
        <v>1477</v>
      </c>
      <c r="C18" s="28">
        <v>616</v>
      </c>
      <c r="D18" s="25">
        <v>155.1</v>
      </c>
      <c r="E18" s="106">
        <v>47</v>
      </c>
      <c r="F18" s="25">
        <v>127.1</v>
      </c>
      <c r="G18" s="27">
        <v>38</v>
      </c>
      <c r="H18" s="28">
        <v>176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1478</v>
      </c>
      <c r="T18" s="8">
        <v>155</v>
      </c>
      <c r="U18" s="13"/>
      <c r="W18" s="25">
        <f>D18</f>
        <v>155.1</v>
      </c>
      <c r="X18" s="106">
        <f>E18</f>
        <v>47</v>
      </c>
      <c r="Y18" s="32">
        <f>H18</f>
        <v>176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초정마을동아</v>
      </c>
      <c r="AI18" s="106">
        <f>IF(E18="","",E18)</f>
        <v>47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용종동 인천계양코아루센트럴파크('17.06.,724^)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1479</v>
      </c>
      <c r="B20" s="16" t="s">
        <v>1480</v>
      </c>
      <c r="C20" s="28">
        <v>724</v>
      </c>
      <c r="D20" s="25">
        <v>83.5</v>
      </c>
      <c r="E20" s="106">
        <v>25</v>
      </c>
      <c r="F20" s="25">
        <v>60</v>
      </c>
      <c r="G20" s="27">
        <v>18</v>
      </c>
      <c r="H20" s="28">
        <v>56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64</v>
      </c>
      <c r="T20" s="8" t="s">
        <v>116</v>
      </c>
      <c r="U20" s="13"/>
      <c r="W20" s="25">
        <f>D20</f>
        <v>83.5</v>
      </c>
      <c r="X20" s="106">
        <f>E20</f>
        <v>25</v>
      </c>
      <c r="Y20" s="32">
        <f>H20</f>
        <v>56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인천계양코아루센트럴파크</v>
      </c>
      <c r="AI20" s="106">
        <f>IF(E20="","",E20)</f>
        <v>25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1479</v>
      </c>
      <c r="B21" s="16" t="s">
        <v>1480</v>
      </c>
      <c r="C21" s="28">
        <v>724</v>
      </c>
      <c r="D21" s="25">
        <v>84.2</v>
      </c>
      <c r="E21" s="106">
        <v>25</v>
      </c>
      <c r="F21" s="25">
        <v>60</v>
      </c>
      <c r="G21" s="27">
        <v>18</v>
      </c>
      <c r="H21" s="28">
        <v>57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64</v>
      </c>
      <c r="T21" s="8" t="s">
        <v>643</v>
      </c>
      <c r="U21" s="13"/>
      <c r="W21" s="25">
        <f>D21</f>
        <v>84.2</v>
      </c>
      <c r="X21" s="106">
        <f>E21</f>
        <v>25</v>
      </c>
      <c r="Y21" s="32">
        <f>H21</f>
        <v>57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인천계양코아루센트럴파크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1479</v>
      </c>
      <c r="B22" s="16" t="s">
        <v>1480</v>
      </c>
      <c r="C22" s="28">
        <v>724</v>
      </c>
      <c r="D22" s="25">
        <v>84.1</v>
      </c>
      <c r="E22" s="106">
        <v>25</v>
      </c>
      <c r="F22" s="25">
        <v>59.9</v>
      </c>
      <c r="G22" s="27">
        <v>18</v>
      </c>
      <c r="H22" s="28">
        <v>37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64</v>
      </c>
      <c r="T22" s="8" t="s">
        <v>366</v>
      </c>
      <c r="U22" s="13"/>
      <c r="W22" s="25">
        <f>D22</f>
        <v>84.1</v>
      </c>
      <c r="X22" s="106">
        <f>E22</f>
        <v>25</v>
      </c>
      <c r="Y22" s="32">
        <f>H22</f>
        <v>37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인천계양코아루센트럴파크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1479</v>
      </c>
      <c r="B23" s="16" t="s">
        <v>1480</v>
      </c>
      <c r="C23" s="28">
        <v>724</v>
      </c>
      <c r="D23" s="25">
        <v>103.5</v>
      </c>
      <c r="E23" s="106">
        <v>31</v>
      </c>
      <c r="F23" s="25">
        <v>74.599999999999994</v>
      </c>
      <c r="G23" s="27">
        <v>23</v>
      </c>
      <c r="H23" s="28">
        <v>82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64</v>
      </c>
      <c r="T23" s="8">
        <v>103</v>
      </c>
      <c r="U23" s="13"/>
      <c r="W23" s="25">
        <f>D23</f>
        <v>103.5</v>
      </c>
      <c r="X23" s="106">
        <f>E23</f>
        <v>31</v>
      </c>
      <c r="Y23" s="32">
        <f>H23</f>
        <v>82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인천계양코아루센트럴파크</v>
      </c>
      <c r="AI23" s="106">
        <f>IF(E23="","",E23)</f>
        <v>31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1479</v>
      </c>
      <c r="B24" s="16" t="s">
        <v>1480</v>
      </c>
      <c r="C24" s="28">
        <v>724</v>
      </c>
      <c r="D24" s="25">
        <v>116.7</v>
      </c>
      <c r="E24" s="106">
        <v>35</v>
      </c>
      <c r="F24" s="25">
        <v>84.5</v>
      </c>
      <c r="G24" s="27">
        <v>26</v>
      </c>
      <c r="H24" s="28">
        <v>99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64</v>
      </c>
      <c r="T24" s="8" t="s">
        <v>644</v>
      </c>
      <c r="U24" s="13"/>
      <c r="W24" s="25">
        <f>D24</f>
        <v>116.7</v>
      </c>
      <c r="X24" s="106">
        <f>E24</f>
        <v>35</v>
      </c>
      <c r="Y24" s="32">
        <f>H24</f>
        <v>99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인천계양코아루센트럴파크</v>
      </c>
      <c r="AI24" s="106">
        <f>IF(E24="","",E24)</f>
        <v>35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1479</v>
      </c>
      <c r="B25" s="16" t="s">
        <v>1480</v>
      </c>
      <c r="C25" s="28">
        <v>724</v>
      </c>
      <c r="D25" s="25">
        <v>117.5</v>
      </c>
      <c r="E25" s="106">
        <v>36</v>
      </c>
      <c r="F25" s="25">
        <v>84.8</v>
      </c>
      <c r="G25" s="27">
        <v>26</v>
      </c>
      <c r="H25" s="28">
        <v>198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1481</v>
      </c>
      <c r="T25" s="8" t="s">
        <v>645</v>
      </c>
      <c r="U25" s="13"/>
      <c r="W25" s="25">
        <f>D25</f>
        <v>117.5</v>
      </c>
      <c r="X25" s="106">
        <f>E25</f>
        <v>36</v>
      </c>
      <c r="Y25" s="32">
        <f>H25</f>
        <v>198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인천계양코아루센트럴파크</v>
      </c>
      <c r="AI25" s="106">
        <f>IF(E25="","",E25)</f>
        <v>36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1479</v>
      </c>
      <c r="B26" s="16" t="s">
        <v>1480</v>
      </c>
      <c r="C26" s="28">
        <v>724</v>
      </c>
      <c r="D26" s="25">
        <v>117.5</v>
      </c>
      <c r="E26" s="106">
        <v>36</v>
      </c>
      <c r="F26" s="25">
        <v>85</v>
      </c>
      <c r="G26" s="27">
        <v>26</v>
      </c>
      <c r="H26" s="28">
        <v>99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64</v>
      </c>
      <c r="T26" s="8" t="s">
        <v>646</v>
      </c>
      <c r="U26" s="13"/>
      <c r="W26" s="25">
        <f>D26</f>
        <v>117.5</v>
      </c>
      <c r="X26" s="106">
        <f>E26</f>
        <v>36</v>
      </c>
      <c r="Y26" s="32">
        <f>H26</f>
        <v>99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인천계양코아루센트럴파크</v>
      </c>
      <c r="AI26" s="106">
        <f>IF(E26="","",E26)</f>
        <v>36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1479</v>
      </c>
      <c r="B27" s="16" t="s">
        <v>1480</v>
      </c>
      <c r="C27" s="28">
        <v>724</v>
      </c>
      <c r="D27" s="25">
        <v>118.1</v>
      </c>
      <c r="E27" s="106">
        <v>36</v>
      </c>
      <c r="F27" s="25">
        <v>85</v>
      </c>
      <c r="G27" s="27">
        <v>26</v>
      </c>
      <c r="H27" s="28">
        <v>96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64</v>
      </c>
      <c r="T27" s="8" t="s">
        <v>647</v>
      </c>
      <c r="U27" s="13"/>
      <c r="W27" s="25">
        <f>D27</f>
        <v>118.1</v>
      </c>
      <c r="X27" s="106">
        <f>E27</f>
        <v>36</v>
      </c>
      <c r="Y27" s="32">
        <f>H27</f>
        <v>96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인천계양코아루센트럴파크</v>
      </c>
      <c r="AI27" s="106">
        <f>IF(E27="","",E27)</f>
        <v>36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용종동 용종마을중앙('97.10.,428^)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1482</v>
      </c>
      <c r="B29" s="16" t="s">
        <v>1441</v>
      </c>
      <c r="C29" s="28">
        <v>428</v>
      </c>
      <c r="D29" s="25">
        <v>56.2</v>
      </c>
      <c r="E29" s="106">
        <v>17</v>
      </c>
      <c r="F29" s="25">
        <v>39.799999999999997</v>
      </c>
      <c r="G29" s="27">
        <v>12</v>
      </c>
      <c r="H29" s="28">
        <v>128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1384</v>
      </c>
      <c r="T29" s="8">
        <v>56</v>
      </c>
      <c r="U29" s="13"/>
      <c r="W29" s="25">
        <f>D29</f>
        <v>56.2</v>
      </c>
      <c r="X29" s="106">
        <f>E29</f>
        <v>17</v>
      </c>
      <c r="Y29" s="32">
        <f>H29</f>
        <v>128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2/1</v>
      </c>
      <c r="AH29" s="36" t="str">
        <f>IF(A29="","",A29)</f>
        <v>용종마을중앙</v>
      </c>
      <c r="AI29" s="106">
        <f>IF(E29="","",E29)</f>
        <v>17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1482</v>
      </c>
      <c r="B30" s="16" t="s">
        <v>1441</v>
      </c>
      <c r="C30" s="28">
        <v>428</v>
      </c>
      <c r="D30" s="25">
        <v>105.7</v>
      </c>
      <c r="E30" s="106">
        <v>32</v>
      </c>
      <c r="F30" s="25">
        <v>84.8</v>
      </c>
      <c r="G30" s="27">
        <v>26</v>
      </c>
      <c r="H30" s="28">
        <v>300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64</v>
      </c>
      <c r="T30" s="8">
        <v>105</v>
      </c>
      <c r="U30" s="13"/>
      <c r="W30" s="25">
        <f>D30</f>
        <v>105.7</v>
      </c>
      <c r="X30" s="106">
        <f>E30</f>
        <v>32</v>
      </c>
      <c r="Y30" s="32">
        <f>H30</f>
        <v>300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용종마을중앙</v>
      </c>
      <c r="AI30" s="106">
        <f>IF(E30="","",E30)</f>
        <v>32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</sheetData>
  <mergeCells count="1">
    <mergeCell ref="AJ1:AN1"/>
  </mergeCells>
  <phoneticPr fontId="2" type="noConversion"/>
  <conditionalFormatting sqref="AV4:AV6">
    <cfRule type="expression" dxfId="4059" priority="406">
      <formula>AV4="X"</formula>
    </cfRule>
    <cfRule type="expression" dxfId="4058" priority="407">
      <formula>AV4="후보"</formula>
    </cfRule>
  </conditionalFormatting>
  <conditionalFormatting sqref="Z2:Z6">
    <cfRule type="colorScale" priority="4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057" priority="403" operator="greaterThan">
      <formula>0.9</formula>
    </cfRule>
    <cfRule type="cellIs" dxfId="4056" priority="404" operator="greaterThan">
      <formula>0.85</formula>
    </cfRule>
  </conditionalFormatting>
  <conditionalFormatting sqref="N1:N2">
    <cfRule type="cellIs" dxfId="4055" priority="401" operator="greaterThan">
      <formula>0.9</formula>
    </cfRule>
    <cfRule type="cellIs" dxfId="4054" priority="402" operator="greaterThan">
      <formula>0.85</formula>
    </cfRule>
  </conditionalFormatting>
  <conditionalFormatting sqref="N6">
    <cfRule type="cellIs" dxfId="4053" priority="399" operator="greaterThan">
      <formula>0.9</formula>
    </cfRule>
    <cfRule type="cellIs" dxfId="4052" priority="400" operator="greaterThan">
      <formula>0.85</formula>
    </cfRule>
  </conditionalFormatting>
  <conditionalFormatting sqref="E6">
    <cfRule type="expression" dxfId="4051" priority="395">
      <formula>AND(IF(OR($Q6=1,$Q6=2),1,0),IF($X6&lt;=20,1,0))</formula>
    </cfRule>
    <cfRule type="expression" dxfId="4050" priority="396">
      <formula>AND(IF($Q6=2,1,0),IF($X6&lt;30,1,0))</formula>
    </cfRule>
    <cfRule type="expression" dxfId="4049" priority="397">
      <formula>AND(IF($Q6=3,1,0),IF($X6&lt;30,1,0))</formula>
    </cfRule>
    <cfRule type="expression" dxfId="4048" priority="398">
      <formula>AND(IF($Q6=3,1,IF($Q6=4,1,0)),IF($F6&lt;=85,1,0))</formula>
    </cfRule>
  </conditionalFormatting>
  <conditionalFormatting sqref="X6">
    <cfRule type="expression" dxfId="4047" priority="391">
      <formula>AND(IF(OR($Q6=1,$Q6=2),1,0),IF($X6&lt;=20,1,0))</formula>
    </cfRule>
    <cfRule type="expression" dxfId="4046" priority="392">
      <formula>AND(IF($Q6=2,1,0),IF($X6&lt;30,1,0))</formula>
    </cfRule>
    <cfRule type="expression" dxfId="4045" priority="393">
      <formula>AND(IF($Q6=3,1,0),IF($X6&lt;30,1,0))</formula>
    </cfRule>
    <cfRule type="expression" dxfId="4044" priority="394">
      <formula>AND(IF($Q6=3,1,IF($Q6=4,1,0)),IF($F6&lt;=85,1,0))</formula>
    </cfRule>
  </conditionalFormatting>
  <conditionalFormatting sqref="AI6">
    <cfRule type="expression" dxfId="4043" priority="387">
      <formula>AND(IF(OR($Q6=1,$Q6=2),1,0),IF($X6&lt;=20,1,0))</formula>
    </cfRule>
    <cfRule type="expression" dxfId="4042" priority="388">
      <formula>AND(IF($Q6=2,1,0),IF($X6&lt;30,1,0))</formula>
    </cfRule>
    <cfRule type="expression" dxfId="4041" priority="389">
      <formula>AND(IF($Q6=3,1,0),IF($X6&lt;30,1,0))</formula>
    </cfRule>
    <cfRule type="expression" dxfId="4040" priority="390">
      <formula>AND(IF($Q6=3,1,IF($Q6=4,1,0)),IF($F6&lt;=85,1,0))</formula>
    </cfRule>
  </conditionalFormatting>
  <conditionalFormatting sqref="AV7">
    <cfRule type="expression" dxfId="4039" priority="385">
      <formula>AV7="X"</formula>
    </cfRule>
    <cfRule type="expression" dxfId="4038" priority="386">
      <formula>AV7="후보"</formula>
    </cfRule>
  </conditionalFormatting>
  <conditionalFormatting sqref="Z7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037" priority="382" operator="greaterThan">
      <formula>0.9</formula>
    </cfRule>
    <cfRule type="cellIs" dxfId="4036" priority="383" operator="greaterThan">
      <formula>0.85</formula>
    </cfRule>
  </conditionalFormatting>
  <conditionalFormatting sqref="N7">
    <cfRule type="cellIs" dxfId="4035" priority="380" operator="greaterThan">
      <formula>0.9</formula>
    </cfRule>
    <cfRule type="cellIs" dxfId="4034" priority="381" operator="greaterThan">
      <formula>0.85</formula>
    </cfRule>
  </conditionalFormatting>
  <conditionalFormatting sqref="E7">
    <cfRule type="expression" dxfId="4033" priority="376">
      <formula>AND(IF(OR($Q7=1,$Q7=2),1,0),IF($X7&lt;=20,1,0))</formula>
    </cfRule>
    <cfRule type="expression" dxfId="4032" priority="377">
      <formula>AND(IF($Q7=2,1,0),IF($X7&lt;30,1,0))</formula>
    </cfRule>
    <cfRule type="expression" dxfId="4031" priority="378">
      <formula>AND(IF($Q7=3,1,0),IF($X7&lt;30,1,0))</formula>
    </cfRule>
    <cfRule type="expression" dxfId="4030" priority="379">
      <formula>AND(IF($Q7=3,1,IF($Q7=4,1,0)),IF($F7&lt;=85,1,0))</formula>
    </cfRule>
  </conditionalFormatting>
  <conditionalFormatting sqref="X7">
    <cfRule type="expression" dxfId="4029" priority="372">
      <formula>AND(IF(OR($Q7=1,$Q7=2),1,0),IF($X7&lt;=20,1,0))</formula>
    </cfRule>
    <cfRule type="expression" dxfId="4028" priority="373">
      <formula>AND(IF($Q7=2,1,0),IF($X7&lt;30,1,0))</formula>
    </cfRule>
    <cfRule type="expression" dxfId="4027" priority="374">
      <formula>AND(IF($Q7=3,1,0),IF($X7&lt;30,1,0))</formula>
    </cfRule>
    <cfRule type="expression" dxfId="4026" priority="375">
      <formula>AND(IF($Q7=3,1,IF($Q7=4,1,0)),IF($F7&lt;=85,1,0))</formula>
    </cfRule>
  </conditionalFormatting>
  <conditionalFormatting sqref="AI7">
    <cfRule type="expression" dxfId="4025" priority="368">
      <formula>AND(IF(OR($Q7=1,$Q7=2),1,0),IF($X7&lt;=20,1,0))</formula>
    </cfRule>
    <cfRule type="expression" dxfId="4024" priority="369">
      <formula>AND(IF($Q7=2,1,0),IF($X7&lt;30,1,0))</formula>
    </cfRule>
    <cfRule type="expression" dxfId="4023" priority="370">
      <formula>AND(IF($Q7=3,1,0),IF($X7&lt;30,1,0))</formula>
    </cfRule>
    <cfRule type="expression" dxfId="4022" priority="371">
      <formula>AND(IF($Q7=3,1,IF($Q7=4,1,0)),IF($F7&lt;=85,1,0))</formula>
    </cfRule>
  </conditionalFormatting>
  <conditionalFormatting sqref="AV8">
    <cfRule type="expression" dxfId="4021" priority="366">
      <formula>AV8="X"</formula>
    </cfRule>
    <cfRule type="expression" dxfId="4020" priority="367">
      <formula>AV8="후보"</formula>
    </cfRule>
  </conditionalFormatting>
  <conditionalFormatting sqref="Z8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4019" priority="363" operator="greaterThan">
      <formula>0.9</formula>
    </cfRule>
    <cfRule type="cellIs" dxfId="4018" priority="364" operator="greaterThan">
      <formula>0.85</formula>
    </cfRule>
  </conditionalFormatting>
  <conditionalFormatting sqref="AV9">
    <cfRule type="expression" dxfId="4017" priority="361">
      <formula>AV9="X"</formula>
    </cfRule>
    <cfRule type="expression" dxfId="4016" priority="362">
      <formula>AV9="후보"</formula>
    </cfRule>
  </conditionalFormatting>
  <conditionalFormatting sqref="Z9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015" priority="358" operator="greaterThan">
      <formula>0.9</formula>
    </cfRule>
    <cfRule type="cellIs" dxfId="4014" priority="359" operator="greaterThan">
      <formula>0.85</formula>
    </cfRule>
  </conditionalFormatting>
  <conditionalFormatting sqref="N9">
    <cfRule type="cellIs" dxfId="4013" priority="356" operator="greaterThan">
      <formula>0.9</formula>
    </cfRule>
    <cfRule type="cellIs" dxfId="4012" priority="357" operator="greaterThan">
      <formula>0.85</formula>
    </cfRule>
  </conditionalFormatting>
  <conditionalFormatting sqref="E9">
    <cfRule type="expression" dxfId="4011" priority="352">
      <formula>AND(IF(OR($Q9=1,$Q9=2),1,0),IF($X9&lt;=20,1,0))</formula>
    </cfRule>
    <cfRule type="expression" dxfId="4010" priority="353">
      <formula>AND(IF($Q9=2,1,0),IF($X9&lt;30,1,0))</formula>
    </cfRule>
    <cfRule type="expression" dxfId="4009" priority="354">
      <formula>AND(IF($Q9=3,1,0),IF($X9&lt;30,1,0))</formula>
    </cfRule>
    <cfRule type="expression" dxfId="4008" priority="355">
      <formula>AND(IF($Q9=3,1,IF($Q9=4,1,0)),IF($F9&lt;=85,1,0))</formula>
    </cfRule>
  </conditionalFormatting>
  <conditionalFormatting sqref="X9">
    <cfRule type="expression" dxfId="4007" priority="348">
      <formula>AND(IF(OR($Q9=1,$Q9=2),1,0),IF($X9&lt;=20,1,0))</formula>
    </cfRule>
    <cfRule type="expression" dxfId="4006" priority="349">
      <formula>AND(IF($Q9=2,1,0),IF($X9&lt;30,1,0))</formula>
    </cfRule>
    <cfRule type="expression" dxfId="4005" priority="350">
      <formula>AND(IF($Q9=3,1,0),IF($X9&lt;30,1,0))</formula>
    </cfRule>
    <cfRule type="expression" dxfId="4004" priority="351">
      <formula>AND(IF($Q9=3,1,IF($Q9=4,1,0)),IF($F9&lt;=85,1,0))</formula>
    </cfRule>
  </conditionalFormatting>
  <conditionalFormatting sqref="AI9">
    <cfRule type="expression" dxfId="4003" priority="344">
      <formula>AND(IF(OR($Q9=1,$Q9=2),1,0),IF($X9&lt;=20,1,0))</formula>
    </cfRule>
    <cfRule type="expression" dxfId="4002" priority="345">
      <formula>AND(IF($Q9=2,1,0),IF($X9&lt;30,1,0))</formula>
    </cfRule>
    <cfRule type="expression" dxfId="4001" priority="346">
      <formula>AND(IF($Q9=3,1,0),IF($X9&lt;30,1,0))</formula>
    </cfRule>
    <cfRule type="expression" dxfId="4000" priority="347">
      <formula>AND(IF($Q9=3,1,IF($Q9=4,1,0)),IF($F9&lt;=85,1,0))</formula>
    </cfRule>
  </conditionalFormatting>
  <conditionalFormatting sqref="AV10">
    <cfRule type="expression" dxfId="3999" priority="342">
      <formula>AV10="X"</formula>
    </cfRule>
    <cfRule type="expression" dxfId="3998" priority="343">
      <formula>AV10="후보"</formula>
    </cfRule>
  </conditionalFormatting>
  <conditionalFormatting sqref="Z10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997" priority="339" operator="greaterThan">
      <formula>0.9</formula>
    </cfRule>
    <cfRule type="cellIs" dxfId="3996" priority="340" operator="greaterThan">
      <formula>0.85</formula>
    </cfRule>
  </conditionalFormatting>
  <conditionalFormatting sqref="N10">
    <cfRule type="cellIs" dxfId="3995" priority="337" operator="greaterThan">
      <formula>0.9</formula>
    </cfRule>
    <cfRule type="cellIs" dxfId="3994" priority="338" operator="greaterThan">
      <formula>0.85</formula>
    </cfRule>
  </conditionalFormatting>
  <conditionalFormatting sqref="E10">
    <cfRule type="expression" dxfId="3993" priority="333">
      <formula>AND(IF(OR($Q10=1,$Q10=2),1,0),IF($X10&lt;=20,1,0))</formula>
    </cfRule>
    <cfRule type="expression" dxfId="3992" priority="334">
      <formula>AND(IF($Q10=2,1,0),IF($X10&lt;30,1,0))</formula>
    </cfRule>
    <cfRule type="expression" dxfId="3991" priority="335">
      <formula>AND(IF($Q10=3,1,0),IF($X10&lt;30,1,0))</formula>
    </cfRule>
    <cfRule type="expression" dxfId="3990" priority="336">
      <formula>AND(IF($Q10=3,1,IF($Q10=4,1,0)),IF($F10&lt;=85,1,0))</formula>
    </cfRule>
  </conditionalFormatting>
  <conditionalFormatting sqref="X10">
    <cfRule type="expression" dxfId="3989" priority="329">
      <formula>AND(IF(OR($Q10=1,$Q10=2),1,0),IF($X10&lt;=20,1,0))</formula>
    </cfRule>
    <cfRule type="expression" dxfId="3988" priority="330">
      <formula>AND(IF($Q10=2,1,0),IF($X10&lt;30,1,0))</formula>
    </cfRule>
    <cfRule type="expression" dxfId="3987" priority="331">
      <formula>AND(IF($Q10=3,1,0),IF($X10&lt;30,1,0))</formula>
    </cfRule>
    <cfRule type="expression" dxfId="3986" priority="332">
      <formula>AND(IF($Q10=3,1,IF($Q10=4,1,0)),IF($F10&lt;=85,1,0))</formula>
    </cfRule>
  </conditionalFormatting>
  <conditionalFormatting sqref="AI10">
    <cfRule type="expression" dxfId="3985" priority="325">
      <formula>AND(IF(OR($Q10=1,$Q10=2),1,0),IF($X10&lt;=20,1,0))</formula>
    </cfRule>
    <cfRule type="expression" dxfId="3984" priority="326">
      <formula>AND(IF($Q10=2,1,0),IF($X10&lt;30,1,0))</formula>
    </cfRule>
    <cfRule type="expression" dxfId="3983" priority="327">
      <formula>AND(IF($Q10=3,1,0),IF($X10&lt;30,1,0))</formula>
    </cfRule>
    <cfRule type="expression" dxfId="3982" priority="328">
      <formula>AND(IF($Q10=3,1,IF($Q10=4,1,0)),IF($F10&lt;=85,1,0))</formula>
    </cfRule>
  </conditionalFormatting>
  <conditionalFormatting sqref="AV11">
    <cfRule type="expression" dxfId="3981" priority="323">
      <formula>AV11="X"</formula>
    </cfRule>
    <cfRule type="expression" dxfId="3980" priority="324">
      <formula>AV11="후보"</formula>
    </cfRule>
  </conditionalFormatting>
  <conditionalFormatting sqref="Z11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979" priority="320" operator="greaterThan">
      <formula>0.9</formula>
    </cfRule>
    <cfRule type="cellIs" dxfId="3978" priority="321" operator="greaterThan">
      <formula>0.85</formula>
    </cfRule>
  </conditionalFormatting>
  <conditionalFormatting sqref="N11">
    <cfRule type="cellIs" dxfId="3977" priority="318" operator="greaterThan">
      <formula>0.9</formula>
    </cfRule>
    <cfRule type="cellIs" dxfId="3976" priority="319" operator="greaterThan">
      <formula>0.85</formula>
    </cfRule>
  </conditionalFormatting>
  <conditionalFormatting sqref="E11">
    <cfRule type="expression" dxfId="3975" priority="314">
      <formula>AND(IF(OR($Q11=1,$Q11=2),1,0),IF($X11&lt;=20,1,0))</formula>
    </cfRule>
    <cfRule type="expression" dxfId="3974" priority="315">
      <formula>AND(IF($Q11=2,1,0),IF($X11&lt;30,1,0))</formula>
    </cfRule>
    <cfRule type="expression" dxfId="3973" priority="316">
      <formula>AND(IF($Q11=3,1,0),IF($X11&lt;30,1,0))</formula>
    </cfRule>
    <cfRule type="expression" dxfId="3972" priority="317">
      <formula>AND(IF($Q11=3,1,IF($Q11=4,1,0)),IF($F11&lt;=85,1,0))</formula>
    </cfRule>
  </conditionalFormatting>
  <conditionalFormatting sqref="X11">
    <cfRule type="expression" dxfId="3971" priority="310">
      <formula>AND(IF(OR($Q11=1,$Q11=2),1,0),IF($X11&lt;=20,1,0))</formula>
    </cfRule>
    <cfRule type="expression" dxfId="3970" priority="311">
      <formula>AND(IF($Q11=2,1,0),IF($X11&lt;30,1,0))</formula>
    </cfRule>
    <cfRule type="expression" dxfId="3969" priority="312">
      <formula>AND(IF($Q11=3,1,0),IF($X11&lt;30,1,0))</formula>
    </cfRule>
    <cfRule type="expression" dxfId="3968" priority="313">
      <formula>AND(IF($Q11=3,1,IF($Q11=4,1,0)),IF($F11&lt;=85,1,0))</formula>
    </cfRule>
  </conditionalFormatting>
  <conditionalFormatting sqref="AI11">
    <cfRule type="expression" dxfId="3967" priority="306">
      <formula>AND(IF(OR($Q11=1,$Q11=2),1,0),IF($X11&lt;=20,1,0))</formula>
    </cfRule>
    <cfRule type="expression" dxfId="3966" priority="307">
      <formula>AND(IF($Q11=2,1,0),IF($X11&lt;30,1,0))</formula>
    </cfRule>
    <cfRule type="expression" dxfId="3965" priority="308">
      <formula>AND(IF($Q11=3,1,0),IF($X11&lt;30,1,0))</formula>
    </cfRule>
    <cfRule type="expression" dxfId="3964" priority="309">
      <formula>AND(IF($Q11=3,1,IF($Q11=4,1,0)),IF($F11&lt;=85,1,0))</formula>
    </cfRule>
  </conditionalFormatting>
  <conditionalFormatting sqref="AV12">
    <cfRule type="expression" dxfId="3963" priority="304">
      <formula>AV12="X"</formula>
    </cfRule>
    <cfRule type="expression" dxfId="3962" priority="305">
      <formula>AV12="후보"</formula>
    </cfRule>
  </conditionalFormatting>
  <conditionalFormatting sqref="Z12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961" priority="301" operator="greaterThan">
      <formula>0.9</formula>
    </cfRule>
    <cfRule type="cellIs" dxfId="3960" priority="302" operator="greaterThan">
      <formula>0.85</formula>
    </cfRule>
  </conditionalFormatting>
  <conditionalFormatting sqref="N12">
    <cfRule type="cellIs" dxfId="3959" priority="299" operator="greaterThan">
      <formula>0.9</formula>
    </cfRule>
    <cfRule type="cellIs" dxfId="3958" priority="300" operator="greaterThan">
      <formula>0.85</formula>
    </cfRule>
  </conditionalFormatting>
  <conditionalFormatting sqref="E12">
    <cfRule type="expression" dxfId="3957" priority="295">
      <formula>AND(IF(OR($Q12=1,$Q12=2),1,0),IF($X12&lt;=20,1,0))</formula>
    </cfRule>
    <cfRule type="expression" dxfId="3956" priority="296">
      <formula>AND(IF($Q12=2,1,0),IF($X12&lt;30,1,0))</formula>
    </cfRule>
    <cfRule type="expression" dxfId="3955" priority="297">
      <formula>AND(IF($Q12=3,1,0),IF($X12&lt;30,1,0))</formula>
    </cfRule>
    <cfRule type="expression" dxfId="3954" priority="298">
      <formula>AND(IF($Q12=3,1,IF($Q12=4,1,0)),IF($F12&lt;=85,1,0))</formula>
    </cfRule>
  </conditionalFormatting>
  <conditionalFormatting sqref="X12">
    <cfRule type="expression" dxfId="3953" priority="291">
      <formula>AND(IF(OR($Q12=1,$Q12=2),1,0),IF($X12&lt;=20,1,0))</formula>
    </cfRule>
    <cfRule type="expression" dxfId="3952" priority="292">
      <formula>AND(IF($Q12=2,1,0),IF($X12&lt;30,1,0))</formula>
    </cfRule>
    <cfRule type="expression" dxfId="3951" priority="293">
      <formula>AND(IF($Q12=3,1,0),IF($X12&lt;30,1,0))</formula>
    </cfRule>
    <cfRule type="expression" dxfId="3950" priority="294">
      <formula>AND(IF($Q12=3,1,IF($Q12=4,1,0)),IF($F12&lt;=85,1,0))</formula>
    </cfRule>
  </conditionalFormatting>
  <conditionalFormatting sqref="AI12">
    <cfRule type="expression" dxfId="3949" priority="287">
      <formula>AND(IF(OR($Q12=1,$Q12=2),1,0),IF($X12&lt;=20,1,0))</formula>
    </cfRule>
    <cfRule type="expression" dxfId="3948" priority="288">
      <formula>AND(IF($Q12=2,1,0),IF($X12&lt;30,1,0))</formula>
    </cfRule>
    <cfRule type="expression" dxfId="3947" priority="289">
      <formula>AND(IF($Q12=3,1,0),IF($X12&lt;30,1,0))</formula>
    </cfRule>
    <cfRule type="expression" dxfId="3946" priority="290">
      <formula>AND(IF($Q12=3,1,IF($Q12=4,1,0)),IF($F12&lt;=85,1,0))</formula>
    </cfRule>
  </conditionalFormatting>
  <conditionalFormatting sqref="AV13">
    <cfRule type="expression" dxfId="3945" priority="285">
      <formula>AV13="X"</formula>
    </cfRule>
    <cfRule type="expression" dxfId="3944" priority="286">
      <formula>AV13="후보"</formula>
    </cfRule>
  </conditionalFormatting>
  <conditionalFormatting sqref="Z13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3943" priority="282" operator="greaterThan">
      <formula>0.9</formula>
    </cfRule>
    <cfRule type="cellIs" dxfId="3942" priority="283" operator="greaterThan">
      <formula>0.85</formula>
    </cfRule>
  </conditionalFormatting>
  <conditionalFormatting sqref="AV14">
    <cfRule type="expression" dxfId="3941" priority="280">
      <formula>AV14="X"</formula>
    </cfRule>
    <cfRule type="expression" dxfId="3940" priority="281">
      <formula>AV14="후보"</formula>
    </cfRule>
  </conditionalFormatting>
  <conditionalFormatting sqref="Z14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939" priority="277" operator="greaterThan">
      <formula>0.9</formula>
    </cfRule>
    <cfRule type="cellIs" dxfId="3938" priority="278" operator="greaterThan">
      <formula>0.85</formula>
    </cfRule>
  </conditionalFormatting>
  <conditionalFormatting sqref="N14">
    <cfRule type="cellIs" dxfId="3937" priority="275" operator="greaterThan">
      <formula>0.9</formula>
    </cfRule>
    <cfRule type="cellIs" dxfId="3936" priority="276" operator="greaterThan">
      <formula>0.85</formula>
    </cfRule>
  </conditionalFormatting>
  <conditionalFormatting sqref="E14">
    <cfRule type="expression" dxfId="3935" priority="271">
      <formula>AND(IF(OR($Q14=1,$Q14=2),1,0),IF($X14&lt;=20,1,0))</formula>
    </cfRule>
    <cfRule type="expression" dxfId="3934" priority="272">
      <formula>AND(IF($Q14=2,1,0),IF($X14&lt;30,1,0))</formula>
    </cfRule>
    <cfRule type="expression" dxfId="3933" priority="273">
      <formula>AND(IF($Q14=3,1,0),IF($X14&lt;30,1,0))</formula>
    </cfRule>
    <cfRule type="expression" dxfId="3932" priority="274">
      <formula>AND(IF($Q14=3,1,IF($Q14=4,1,0)),IF($F14&lt;=85,1,0))</formula>
    </cfRule>
  </conditionalFormatting>
  <conditionalFormatting sqref="X14">
    <cfRule type="expression" dxfId="3931" priority="267">
      <formula>AND(IF(OR($Q14=1,$Q14=2),1,0),IF($X14&lt;=20,1,0))</formula>
    </cfRule>
    <cfRule type="expression" dxfId="3930" priority="268">
      <formula>AND(IF($Q14=2,1,0),IF($X14&lt;30,1,0))</formula>
    </cfRule>
    <cfRule type="expression" dxfId="3929" priority="269">
      <formula>AND(IF($Q14=3,1,0),IF($X14&lt;30,1,0))</formula>
    </cfRule>
    <cfRule type="expression" dxfId="3928" priority="270">
      <formula>AND(IF($Q14=3,1,IF($Q14=4,1,0)),IF($F14&lt;=85,1,0))</formula>
    </cfRule>
  </conditionalFormatting>
  <conditionalFormatting sqref="AI14">
    <cfRule type="expression" dxfId="3927" priority="263">
      <formula>AND(IF(OR($Q14=1,$Q14=2),1,0),IF($X14&lt;=20,1,0))</formula>
    </cfRule>
    <cfRule type="expression" dxfId="3926" priority="264">
      <formula>AND(IF($Q14=2,1,0),IF($X14&lt;30,1,0))</formula>
    </cfRule>
    <cfRule type="expression" dxfId="3925" priority="265">
      <formula>AND(IF($Q14=3,1,0),IF($X14&lt;30,1,0))</formula>
    </cfRule>
    <cfRule type="expression" dxfId="3924" priority="266">
      <formula>AND(IF($Q14=3,1,IF($Q14=4,1,0)),IF($F14&lt;=85,1,0))</formula>
    </cfRule>
  </conditionalFormatting>
  <conditionalFormatting sqref="AV15">
    <cfRule type="expression" dxfId="3923" priority="261">
      <formula>AV15="X"</formula>
    </cfRule>
    <cfRule type="expression" dxfId="3922" priority="262">
      <formula>AV15="후보"</formula>
    </cfRule>
  </conditionalFormatting>
  <conditionalFormatting sqref="Z1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3921" priority="258" operator="greaterThan">
      <formula>0.9</formula>
    </cfRule>
    <cfRule type="cellIs" dxfId="3920" priority="259" operator="greaterThan">
      <formula>0.85</formula>
    </cfRule>
  </conditionalFormatting>
  <conditionalFormatting sqref="N15">
    <cfRule type="cellIs" dxfId="3919" priority="256" operator="greaterThan">
      <formula>0.9</formula>
    </cfRule>
    <cfRule type="cellIs" dxfId="3918" priority="257" operator="greaterThan">
      <formula>0.85</formula>
    </cfRule>
  </conditionalFormatting>
  <conditionalFormatting sqref="E15">
    <cfRule type="expression" dxfId="3917" priority="252">
      <formula>AND(IF(OR($Q15=1,$Q15=2),1,0),IF($X15&lt;=20,1,0))</formula>
    </cfRule>
    <cfRule type="expression" dxfId="3916" priority="253">
      <formula>AND(IF($Q15=2,1,0),IF($X15&lt;30,1,0))</formula>
    </cfRule>
    <cfRule type="expression" dxfId="3915" priority="254">
      <formula>AND(IF($Q15=3,1,0),IF($X15&lt;30,1,0))</formula>
    </cfRule>
    <cfRule type="expression" dxfId="3914" priority="255">
      <formula>AND(IF($Q15=3,1,IF($Q15=4,1,0)),IF($F15&lt;=85,1,0))</formula>
    </cfRule>
  </conditionalFormatting>
  <conditionalFormatting sqref="X15">
    <cfRule type="expression" dxfId="3913" priority="248">
      <formula>AND(IF(OR($Q15=1,$Q15=2),1,0),IF($X15&lt;=20,1,0))</formula>
    </cfRule>
    <cfRule type="expression" dxfId="3912" priority="249">
      <formula>AND(IF($Q15=2,1,0),IF($X15&lt;30,1,0))</formula>
    </cfRule>
    <cfRule type="expression" dxfId="3911" priority="250">
      <formula>AND(IF($Q15=3,1,0),IF($X15&lt;30,1,0))</formula>
    </cfRule>
    <cfRule type="expression" dxfId="3910" priority="251">
      <formula>AND(IF($Q15=3,1,IF($Q15=4,1,0)),IF($F15&lt;=85,1,0))</formula>
    </cfRule>
  </conditionalFormatting>
  <conditionalFormatting sqref="AI15">
    <cfRule type="expression" dxfId="3909" priority="244">
      <formula>AND(IF(OR($Q15=1,$Q15=2),1,0),IF($X15&lt;=20,1,0))</formula>
    </cfRule>
    <cfRule type="expression" dxfId="3908" priority="245">
      <formula>AND(IF($Q15=2,1,0),IF($X15&lt;30,1,0))</formula>
    </cfRule>
    <cfRule type="expression" dxfId="3907" priority="246">
      <formula>AND(IF($Q15=3,1,0),IF($X15&lt;30,1,0))</formula>
    </cfRule>
    <cfRule type="expression" dxfId="3906" priority="247">
      <formula>AND(IF($Q15=3,1,IF($Q15=4,1,0)),IF($F15&lt;=85,1,0))</formula>
    </cfRule>
  </conditionalFormatting>
  <conditionalFormatting sqref="AV16">
    <cfRule type="expression" dxfId="3905" priority="242">
      <formula>AV16="X"</formula>
    </cfRule>
    <cfRule type="expression" dxfId="3904" priority="243">
      <formula>AV16="후보"</formula>
    </cfRule>
  </conditionalFormatting>
  <conditionalFormatting sqref="Z1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3903" priority="239" operator="greaterThan">
      <formula>0.9</formula>
    </cfRule>
    <cfRule type="cellIs" dxfId="3902" priority="240" operator="greaterThan">
      <formula>0.85</formula>
    </cfRule>
  </conditionalFormatting>
  <conditionalFormatting sqref="AV17">
    <cfRule type="expression" dxfId="3901" priority="237">
      <formula>AV17="X"</formula>
    </cfRule>
    <cfRule type="expression" dxfId="3900" priority="238">
      <formula>AV17="후보"</formula>
    </cfRule>
  </conditionalFormatting>
  <conditionalFormatting sqref="Z17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3899" priority="234" operator="greaterThan">
      <formula>0.9</formula>
    </cfRule>
    <cfRule type="cellIs" dxfId="3898" priority="235" operator="greaterThan">
      <formula>0.85</formula>
    </cfRule>
  </conditionalFormatting>
  <conditionalFormatting sqref="N17">
    <cfRule type="cellIs" dxfId="3897" priority="232" operator="greaterThan">
      <formula>0.9</formula>
    </cfRule>
    <cfRule type="cellIs" dxfId="3896" priority="233" operator="greaterThan">
      <formula>0.85</formula>
    </cfRule>
  </conditionalFormatting>
  <conditionalFormatting sqref="E17">
    <cfRule type="expression" dxfId="3895" priority="228">
      <formula>AND(IF(OR($Q17=1,$Q17=2),1,0),IF($X17&lt;=20,1,0))</formula>
    </cfRule>
    <cfRule type="expression" dxfId="3894" priority="229">
      <formula>AND(IF($Q17=2,1,0),IF($X17&lt;30,1,0))</formula>
    </cfRule>
    <cfRule type="expression" dxfId="3893" priority="230">
      <formula>AND(IF($Q17=3,1,0),IF($X17&lt;30,1,0))</formula>
    </cfRule>
    <cfRule type="expression" dxfId="3892" priority="231">
      <formula>AND(IF($Q17=3,1,IF($Q17=4,1,0)),IF($F17&lt;=85,1,0))</formula>
    </cfRule>
  </conditionalFormatting>
  <conditionalFormatting sqref="X17">
    <cfRule type="expression" dxfId="3891" priority="224">
      <formula>AND(IF(OR($Q17=1,$Q17=2),1,0),IF($X17&lt;=20,1,0))</formula>
    </cfRule>
    <cfRule type="expression" dxfId="3890" priority="225">
      <formula>AND(IF($Q17=2,1,0),IF($X17&lt;30,1,0))</formula>
    </cfRule>
    <cfRule type="expression" dxfId="3889" priority="226">
      <formula>AND(IF($Q17=3,1,0),IF($X17&lt;30,1,0))</formula>
    </cfRule>
    <cfRule type="expression" dxfId="3888" priority="227">
      <formula>AND(IF($Q17=3,1,IF($Q17=4,1,0)),IF($F17&lt;=85,1,0))</formula>
    </cfRule>
  </conditionalFormatting>
  <conditionalFormatting sqref="AI17">
    <cfRule type="expression" dxfId="3887" priority="220">
      <formula>AND(IF(OR($Q17=1,$Q17=2),1,0),IF($X17&lt;=20,1,0))</formula>
    </cfRule>
    <cfRule type="expression" dxfId="3886" priority="221">
      <formula>AND(IF($Q17=2,1,0),IF($X17&lt;30,1,0))</formula>
    </cfRule>
    <cfRule type="expression" dxfId="3885" priority="222">
      <formula>AND(IF($Q17=3,1,0),IF($X17&lt;30,1,0))</formula>
    </cfRule>
    <cfRule type="expression" dxfId="3884" priority="223">
      <formula>AND(IF($Q17=3,1,IF($Q17=4,1,0)),IF($F17&lt;=85,1,0))</formula>
    </cfRule>
  </conditionalFormatting>
  <conditionalFormatting sqref="AV18">
    <cfRule type="expression" dxfId="3883" priority="218">
      <formula>AV18="X"</formula>
    </cfRule>
    <cfRule type="expression" dxfId="3882" priority="219">
      <formula>AV18="후보"</formula>
    </cfRule>
  </conditionalFormatting>
  <conditionalFormatting sqref="Z18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3881" priority="215" operator="greaterThan">
      <formula>0.9</formula>
    </cfRule>
    <cfRule type="cellIs" dxfId="3880" priority="216" operator="greaterThan">
      <formula>0.85</formula>
    </cfRule>
  </conditionalFormatting>
  <conditionalFormatting sqref="N18">
    <cfRule type="cellIs" dxfId="3879" priority="213" operator="greaterThan">
      <formula>0.9</formula>
    </cfRule>
    <cfRule type="cellIs" dxfId="3878" priority="214" operator="greaterThan">
      <formula>0.85</formula>
    </cfRule>
  </conditionalFormatting>
  <conditionalFormatting sqref="E18">
    <cfRule type="expression" dxfId="3877" priority="209">
      <formula>AND(IF(OR($Q18=1,$Q18=2),1,0),IF($X18&lt;=20,1,0))</formula>
    </cfRule>
    <cfRule type="expression" dxfId="3876" priority="210">
      <formula>AND(IF($Q18=2,1,0),IF($X18&lt;30,1,0))</formula>
    </cfRule>
    <cfRule type="expression" dxfId="3875" priority="211">
      <formula>AND(IF($Q18=3,1,0),IF($X18&lt;30,1,0))</formula>
    </cfRule>
    <cfRule type="expression" dxfId="3874" priority="212">
      <formula>AND(IF($Q18=3,1,IF($Q18=4,1,0)),IF($F18&lt;=85,1,0))</formula>
    </cfRule>
  </conditionalFormatting>
  <conditionalFormatting sqref="X18">
    <cfRule type="expression" dxfId="3873" priority="205">
      <formula>AND(IF(OR($Q18=1,$Q18=2),1,0),IF($X18&lt;=20,1,0))</formula>
    </cfRule>
    <cfRule type="expression" dxfId="3872" priority="206">
      <formula>AND(IF($Q18=2,1,0),IF($X18&lt;30,1,0))</formula>
    </cfRule>
    <cfRule type="expression" dxfId="3871" priority="207">
      <formula>AND(IF($Q18=3,1,0),IF($X18&lt;30,1,0))</formula>
    </cfRule>
    <cfRule type="expression" dxfId="3870" priority="208">
      <formula>AND(IF($Q18=3,1,IF($Q18=4,1,0)),IF($F18&lt;=85,1,0))</formula>
    </cfRule>
  </conditionalFormatting>
  <conditionalFormatting sqref="AI18">
    <cfRule type="expression" dxfId="3869" priority="201">
      <formula>AND(IF(OR($Q18=1,$Q18=2),1,0),IF($X18&lt;=20,1,0))</formula>
    </cfRule>
    <cfRule type="expression" dxfId="3868" priority="202">
      <formula>AND(IF($Q18=2,1,0),IF($X18&lt;30,1,0))</formula>
    </cfRule>
    <cfRule type="expression" dxfId="3867" priority="203">
      <formula>AND(IF($Q18=3,1,0),IF($X18&lt;30,1,0))</formula>
    </cfRule>
    <cfRule type="expression" dxfId="3866" priority="204">
      <formula>AND(IF($Q18=3,1,IF($Q18=4,1,0)),IF($F18&lt;=85,1,0))</formula>
    </cfRule>
  </conditionalFormatting>
  <conditionalFormatting sqref="AV19">
    <cfRule type="expression" dxfId="3865" priority="199">
      <formula>AV19="X"</formula>
    </cfRule>
    <cfRule type="expression" dxfId="3864" priority="200">
      <formula>AV19="후보"</formula>
    </cfRule>
  </conditionalFormatting>
  <conditionalFormatting sqref="Z1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3863" priority="196" operator="greaterThan">
      <formula>0.9</formula>
    </cfRule>
    <cfRule type="cellIs" dxfId="3862" priority="197" operator="greaterThan">
      <formula>0.85</formula>
    </cfRule>
  </conditionalFormatting>
  <conditionalFormatting sqref="AV20">
    <cfRule type="expression" dxfId="3861" priority="194">
      <formula>AV20="X"</formula>
    </cfRule>
    <cfRule type="expression" dxfId="3860" priority="195">
      <formula>AV20="후보"</formula>
    </cfRule>
  </conditionalFormatting>
  <conditionalFormatting sqref="Z20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859" priority="191" operator="greaterThan">
      <formula>0.9</formula>
    </cfRule>
    <cfRule type="cellIs" dxfId="3858" priority="192" operator="greaterThan">
      <formula>0.85</formula>
    </cfRule>
  </conditionalFormatting>
  <conditionalFormatting sqref="N20">
    <cfRule type="cellIs" dxfId="3857" priority="189" operator="greaterThan">
      <formula>0.9</formula>
    </cfRule>
    <cfRule type="cellIs" dxfId="3856" priority="190" operator="greaterThan">
      <formula>0.85</formula>
    </cfRule>
  </conditionalFormatting>
  <conditionalFormatting sqref="E20">
    <cfRule type="expression" dxfId="3855" priority="185">
      <formula>AND(IF(OR($Q20=1,$Q20=2),1,0),IF($X20&lt;=20,1,0))</formula>
    </cfRule>
    <cfRule type="expression" dxfId="3854" priority="186">
      <formula>AND(IF($Q20=2,1,0),IF($X20&lt;30,1,0))</formula>
    </cfRule>
    <cfRule type="expression" dxfId="3853" priority="187">
      <formula>AND(IF($Q20=3,1,0),IF($X20&lt;30,1,0))</formula>
    </cfRule>
    <cfRule type="expression" dxfId="3852" priority="188">
      <formula>AND(IF($Q20=3,1,IF($Q20=4,1,0)),IF($F20&lt;=85,1,0))</formula>
    </cfRule>
  </conditionalFormatting>
  <conditionalFormatting sqref="X20">
    <cfRule type="expression" dxfId="3851" priority="181">
      <formula>AND(IF(OR($Q20=1,$Q20=2),1,0),IF($X20&lt;=20,1,0))</formula>
    </cfRule>
    <cfRule type="expression" dxfId="3850" priority="182">
      <formula>AND(IF($Q20=2,1,0),IF($X20&lt;30,1,0))</formula>
    </cfRule>
    <cfRule type="expression" dxfId="3849" priority="183">
      <formula>AND(IF($Q20=3,1,0),IF($X20&lt;30,1,0))</formula>
    </cfRule>
    <cfRule type="expression" dxfId="3848" priority="184">
      <formula>AND(IF($Q20=3,1,IF($Q20=4,1,0)),IF($F20&lt;=85,1,0))</formula>
    </cfRule>
  </conditionalFormatting>
  <conditionalFormatting sqref="AI20">
    <cfRule type="expression" dxfId="3847" priority="177">
      <formula>AND(IF(OR($Q20=1,$Q20=2),1,0),IF($X20&lt;=20,1,0))</formula>
    </cfRule>
    <cfRule type="expression" dxfId="3846" priority="178">
      <formula>AND(IF($Q20=2,1,0),IF($X20&lt;30,1,0))</formula>
    </cfRule>
    <cfRule type="expression" dxfId="3845" priority="179">
      <formula>AND(IF($Q20=3,1,0),IF($X20&lt;30,1,0))</formula>
    </cfRule>
    <cfRule type="expression" dxfId="3844" priority="180">
      <formula>AND(IF($Q20=3,1,IF($Q20=4,1,0)),IF($F20&lt;=85,1,0))</formula>
    </cfRule>
  </conditionalFormatting>
  <conditionalFormatting sqref="AV21">
    <cfRule type="expression" dxfId="3843" priority="175">
      <formula>AV21="X"</formula>
    </cfRule>
    <cfRule type="expression" dxfId="3842" priority="176">
      <formula>AV21="후보"</formula>
    </cfRule>
  </conditionalFormatting>
  <conditionalFormatting sqref="Z21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3841" priority="172" operator="greaterThan">
      <formula>0.9</formula>
    </cfRule>
    <cfRule type="cellIs" dxfId="3840" priority="173" operator="greaterThan">
      <formula>0.85</formula>
    </cfRule>
  </conditionalFormatting>
  <conditionalFormatting sqref="N21">
    <cfRule type="cellIs" dxfId="3839" priority="170" operator="greaterThan">
      <formula>0.9</formula>
    </cfRule>
    <cfRule type="cellIs" dxfId="3838" priority="171" operator="greaterThan">
      <formula>0.85</formula>
    </cfRule>
  </conditionalFormatting>
  <conditionalFormatting sqref="E21">
    <cfRule type="expression" dxfId="3837" priority="166">
      <formula>AND(IF(OR($Q21=1,$Q21=2),1,0),IF($X21&lt;=20,1,0))</formula>
    </cfRule>
    <cfRule type="expression" dxfId="3836" priority="167">
      <formula>AND(IF($Q21=2,1,0),IF($X21&lt;30,1,0))</formula>
    </cfRule>
    <cfRule type="expression" dxfId="3835" priority="168">
      <formula>AND(IF($Q21=3,1,0),IF($X21&lt;30,1,0))</formula>
    </cfRule>
    <cfRule type="expression" dxfId="3834" priority="169">
      <formula>AND(IF($Q21=3,1,IF($Q21=4,1,0)),IF($F21&lt;=85,1,0))</formula>
    </cfRule>
  </conditionalFormatting>
  <conditionalFormatting sqref="X21">
    <cfRule type="expression" dxfId="3833" priority="162">
      <formula>AND(IF(OR($Q21=1,$Q21=2),1,0),IF($X21&lt;=20,1,0))</formula>
    </cfRule>
    <cfRule type="expression" dxfId="3832" priority="163">
      <formula>AND(IF($Q21=2,1,0),IF($X21&lt;30,1,0))</formula>
    </cfRule>
    <cfRule type="expression" dxfId="3831" priority="164">
      <formula>AND(IF($Q21=3,1,0),IF($X21&lt;30,1,0))</formula>
    </cfRule>
    <cfRule type="expression" dxfId="3830" priority="165">
      <formula>AND(IF($Q21=3,1,IF($Q21=4,1,0)),IF($F21&lt;=85,1,0))</formula>
    </cfRule>
  </conditionalFormatting>
  <conditionalFormatting sqref="AI21">
    <cfRule type="expression" dxfId="3829" priority="158">
      <formula>AND(IF(OR($Q21=1,$Q21=2),1,0),IF($X21&lt;=20,1,0))</formula>
    </cfRule>
    <cfRule type="expression" dxfId="3828" priority="159">
      <formula>AND(IF($Q21=2,1,0),IF($X21&lt;30,1,0))</formula>
    </cfRule>
    <cfRule type="expression" dxfId="3827" priority="160">
      <formula>AND(IF($Q21=3,1,0),IF($X21&lt;30,1,0))</formula>
    </cfRule>
    <cfRule type="expression" dxfId="3826" priority="161">
      <formula>AND(IF($Q21=3,1,IF($Q21=4,1,0)),IF($F21&lt;=85,1,0))</formula>
    </cfRule>
  </conditionalFormatting>
  <conditionalFormatting sqref="AV22">
    <cfRule type="expression" dxfId="3825" priority="156">
      <formula>AV22="X"</formula>
    </cfRule>
    <cfRule type="expression" dxfId="3824" priority="157">
      <formula>AV22="후보"</formula>
    </cfRule>
  </conditionalFormatting>
  <conditionalFormatting sqref="Z22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823" priority="153" operator="greaterThan">
      <formula>0.9</formula>
    </cfRule>
    <cfRule type="cellIs" dxfId="3822" priority="154" operator="greaterThan">
      <formula>0.85</formula>
    </cfRule>
  </conditionalFormatting>
  <conditionalFormatting sqref="N22">
    <cfRule type="cellIs" dxfId="3821" priority="151" operator="greaterThan">
      <formula>0.9</formula>
    </cfRule>
    <cfRule type="cellIs" dxfId="3820" priority="152" operator="greaterThan">
      <formula>0.85</formula>
    </cfRule>
  </conditionalFormatting>
  <conditionalFormatting sqref="E22">
    <cfRule type="expression" dxfId="3819" priority="147">
      <formula>AND(IF(OR($Q22=1,$Q22=2),1,0),IF($X22&lt;=20,1,0))</formula>
    </cfRule>
    <cfRule type="expression" dxfId="3818" priority="148">
      <formula>AND(IF($Q22=2,1,0),IF($X22&lt;30,1,0))</formula>
    </cfRule>
    <cfRule type="expression" dxfId="3817" priority="149">
      <formula>AND(IF($Q22=3,1,0),IF($X22&lt;30,1,0))</formula>
    </cfRule>
    <cfRule type="expression" dxfId="3816" priority="150">
      <formula>AND(IF($Q22=3,1,IF($Q22=4,1,0)),IF($F22&lt;=85,1,0))</formula>
    </cfRule>
  </conditionalFormatting>
  <conditionalFormatting sqref="X22">
    <cfRule type="expression" dxfId="3815" priority="143">
      <formula>AND(IF(OR($Q22=1,$Q22=2),1,0),IF($X22&lt;=20,1,0))</formula>
    </cfRule>
    <cfRule type="expression" dxfId="3814" priority="144">
      <formula>AND(IF($Q22=2,1,0),IF($X22&lt;30,1,0))</formula>
    </cfRule>
    <cfRule type="expression" dxfId="3813" priority="145">
      <formula>AND(IF($Q22=3,1,0),IF($X22&lt;30,1,0))</formula>
    </cfRule>
    <cfRule type="expression" dxfId="3812" priority="146">
      <formula>AND(IF($Q22=3,1,IF($Q22=4,1,0)),IF($F22&lt;=85,1,0))</formula>
    </cfRule>
  </conditionalFormatting>
  <conditionalFormatting sqref="AI22">
    <cfRule type="expression" dxfId="3811" priority="139">
      <formula>AND(IF(OR($Q22=1,$Q22=2),1,0),IF($X22&lt;=20,1,0))</formula>
    </cfRule>
    <cfRule type="expression" dxfId="3810" priority="140">
      <formula>AND(IF($Q22=2,1,0),IF($X22&lt;30,1,0))</formula>
    </cfRule>
    <cfRule type="expression" dxfId="3809" priority="141">
      <formula>AND(IF($Q22=3,1,0),IF($X22&lt;30,1,0))</formula>
    </cfRule>
    <cfRule type="expression" dxfId="3808" priority="142">
      <formula>AND(IF($Q22=3,1,IF($Q22=4,1,0)),IF($F22&lt;=85,1,0))</formula>
    </cfRule>
  </conditionalFormatting>
  <conditionalFormatting sqref="AV23">
    <cfRule type="expression" dxfId="3807" priority="137">
      <formula>AV23="X"</formula>
    </cfRule>
    <cfRule type="expression" dxfId="3806" priority="138">
      <formula>AV23="후보"</formula>
    </cfRule>
  </conditionalFormatting>
  <conditionalFormatting sqref="Z2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3805" priority="134" operator="greaterThan">
      <formula>0.9</formula>
    </cfRule>
    <cfRule type="cellIs" dxfId="3804" priority="135" operator="greaterThan">
      <formula>0.85</formula>
    </cfRule>
  </conditionalFormatting>
  <conditionalFormatting sqref="N23">
    <cfRule type="cellIs" dxfId="3803" priority="132" operator="greaterThan">
      <formula>0.9</formula>
    </cfRule>
    <cfRule type="cellIs" dxfId="3802" priority="133" operator="greaterThan">
      <formula>0.85</formula>
    </cfRule>
  </conditionalFormatting>
  <conditionalFormatting sqref="E23">
    <cfRule type="expression" dxfId="3801" priority="128">
      <formula>AND(IF(OR($Q23=1,$Q23=2),1,0),IF($X23&lt;=20,1,0))</formula>
    </cfRule>
    <cfRule type="expression" dxfId="3800" priority="129">
      <formula>AND(IF($Q23=2,1,0),IF($X23&lt;30,1,0))</formula>
    </cfRule>
    <cfRule type="expression" dxfId="3799" priority="130">
      <formula>AND(IF($Q23=3,1,0),IF($X23&lt;30,1,0))</formula>
    </cfRule>
    <cfRule type="expression" dxfId="3798" priority="131">
      <formula>AND(IF($Q23=3,1,IF($Q23=4,1,0)),IF($F23&lt;=85,1,0))</formula>
    </cfRule>
  </conditionalFormatting>
  <conditionalFormatting sqref="X23">
    <cfRule type="expression" dxfId="3797" priority="124">
      <formula>AND(IF(OR($Q23=1,$Q23=2),1,0),IF($X23&lt;=20,1,0))</formula>
    </cfRule>
    <cfRule type="expression" dxfId="3796" priority="125">
      <formula>AND(IF($Q23=2,1,0),IF($X23&lt;30,1,0))</formula>
    </cfRule>
    <cfRule type="expression" dxfId="3795" priority="126">
      <formula>AND(IF($Q23=3,1,0),IF($X23&lt;30,1,0))</formula>
    </cfRule>
    <cfRule type="expression" dxfId="3794" priority="127">
      <formula>AND(IF($Q23=3,1,IF($Q23=4,1,0)),IF($F23&lt;=85,1,0))</formula>
    </cfRule>
  </conditionalFormatting>
  <conditionalFormatting sqref="AI23">
    <cfRule type="expression" dxfId="3793" priority="120">
      <formula>AND(IF(OR($Q23=1,$Q23=2),1,0),IF($X23&lt;=20,1,0))</formula>
    </cfRule>
    <cfRule type="expression" dxfId="3792" priority="121">
      <formula>AND(IF($Q23=2,1,0),IF($X23&lt;30,1,0))</formula>
    </cfRule>
    <cfRule type="expression" dxfId="3791" priority="122">
      <formula>AND(IF($Q23=3,1,0),IF($X23&lt;30,1,0))</formula>
    </cfRule>
    <cfRule type="expression" dxfId="3790" priority="123">
      <formula>AND(IF($Q23=3,1,IF($Q23=4,1,0)),IF($F23&lt;=85,1,0))</formula>
    </cfRule>
  </conditionalFormatting>
  <conditionalFormatting sqref="AV24">
    <cfRule type="expression" dxfId="3789" priority="118">
      <formula>AV24="X"</formula>
    </cfRule>
    <cfRule type="expression" dxfId="3788" priority="119">
      <formula>AV24="후보"</formula>
    </cfRule>
  </conditionalFormatting>
  <conditionalFormatting sqref="Z2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3787" priority="115" operator="greaterThan">
      <formula>0.9</formula>
    </cfRule>
    <cfRule type="cellIs" dxfId="3786" priority="116" operator="greaterThan">
      <formula>0.85</formula>
    </cfRule>
  </conditionalFormatting>
  <conditionalFormatting sqref="N24">
    <cfRule type="cellIs" dxfId="3785" priority="113" operator="greaterThan">
      <formula>0.9</formula>
    </cfRule>
    <cfRule type="cellIs" dxfId="3784" priority="114" operator="greaterThan">
      <formula>0.85</formula>
    </cfRule>
  </conditionalFormatting>
  <conditionalFormatting sqref="E24">
    <cfRule type="expression" dxfId="3783" priority="109">
      <formula>AND(IF(OR($Q24=1,$Q24=2),1,0),IF($X24&lt;=20,1,0))</formula>
    </cfRule>
    <cfRule type="expression" dxfId="3782" priority="110">
      <formula>AND(IF($Q24=2,1,0),IF($X24&lt;30,1,0))</formula>
    </cfRule>
    <cfRule type="expression" dxfId="3781" priority="111">
      <formula>AND(IF($Q24=3,1,0),IF($X24&lt;30,1,0))</formula>
    </cfRule>
    <cfRule type="expression" dxfId="3780" priority="112">
      <formula>AND(IF($Q24=3,1,IF($Q24=4,1,0)),IF($F24&lt;=85,1,0))</formula>
    </cfRule>
  </conditionalFormatting>
  <conditionalFormatting sqref="X24">
    <cfRule type="expression" dxfId="3779" priority="105">
      <formula>AND(IF(OR($Q24=1,$Q24=2),1,0),IF($X24&lt;=20,1,0))</formula>
    </cfRule>
    <cfRule type="expression" dxfId="3778" priority="106">
      <formula>AND(IF($Q24=2,1,0),IF($X24&lt;30,1,0))</formula>
    </cfRule>
    <cfRule type="expression" dxfId="3777" priority="107">
      <formula>AND(IF($Q24=3,1,0),IF($X24&lt;30,1,0))</formula>
    </cfRule>
    <cfRule type="expression" dxfId="3776" priority="108">
      <formula>AND(IF($Q24=3,1,IF($Q24=4,1,0)),IF($F24&lt;=85,1,0))</formula>
    </cfRule>
  </conditionalFormatting>
  <conditionalFormatting sqref="AI24">
    <cfRule type="expression" dxfId="3775" priority="101">
      <formula>AND(IF(OR($Q24=1,$Q24=2),1,0),IF($X24&lt;=20,1,0))</formula>
    </cfRule>
    <cfRule type="expression" dxfId="3774" priority="102">
      <formula>AND(IF($Q24=2,1,0),IF($X24&lt;30,1,0))</formula>
    </cfRule>
    <cfRule type="expression" dxfId="3773" priority="103">
      <formula>AND(IF($Q24=3,1,0),IF($X24&lt;30,1,0))</formula>
    </cfRule>
    <cfRule type="expression" dxfId="3772" priority="104">
      <formula>AND(IF($Q24=3,1,IF($Q24=4,1,0)),IF($F24&lt;=85,1,0))</formula>
    </cfRule>
  </conditionalFormatting>
  <conditionalFormatting sqref="AV25">
    <cfRule type="expression" dxfId="3771" priority="99">
      <formula>AV25="X"</formula>
    </cfRule>
    <cfRule type="expression" dxfId="3770" priority="100">
      <formula>AV25="후보"</formula>
    </cfRule>
  </conditionalFormatting>
  <conditionalFormatting sqref="Z2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3769" priority="96" operator="greaterThan">
      <formula>0.9</formula>
    </cfRule>
    <cfRule type="cellIs" dxfId="3768" priority="97" operator="greaterThan">
      <formula>0.85</formula>
    </cfRule>
  </conditionalFormatting>
  <conditionalFormatting sqref="N25">
    <cfRule type="cellIs" dxfId="3767" priority="94" operator="greaterThan">
      <formula>0.9</formula>
    </cfRule>
    <cfRule type="cellIs" dxfId="3766" priority="95" operator="greaterThan">
      <formula>0.85</formula>
    </cfRule>
  </conditionalFormatting>
  <conditionalFormatting sqref="E25">
    <cfRule type="expression" dxfId="3765" priority="90">
      <formula>AND(IF(OR($Q25=1,$Q25=2),1,0),IF($X25&lt;=20,1,0))</formula>
    </cfRule>
    <cfRule type="expression" dxfId="3764" priority="91">
      <formula>AND(IF($Q25=2,1,0),IF($X25&lt;30,1,0))</formula>
    </cfRule>
    <cfRule type="expression" dxfId="3763" priority="92">
      <formula>AND(IF($Q25=3,1,0),IF($X25&lt;30,1,0))</formula>
    </cfRule>
    <cfRule type="expression" dxfId="3762" priority="93">
      <formula>AND(IF($Q25=3,1,IF($Q25=4,1,0)),IF($F25&lt;=85,1,0))</formula>
    </cfRule>
  </conditionalFormatting>
  <conditionalFormatting sqref="X25">
    <cfRule type="expression" dxfId="3761" priority="86">
      <formula>AND(IF(OR($Q25=1,$Q25=2),1,0),IF($X25&lt;=20,1,0))</formula>
    </cfRule>
    <cfRule type="expression" dxfId="3760" priority="87">
      <formula>AND(IF($Q25=2,1,0),IF($X25&lt;30,1,0))</formula>
    </cfRule>
    <cfRule type="expression" dxfId="3759" priority="88">
      <formula>AND(IF($Q25=3,1,0),IF($X25&lt;30,1,0))</formula>
    </cfRule>
    <cfRule type="expression" dxfId="3758" priority="89">
      <formula>AND(IF($Q25=3,1,IF($Q25=4,1,0)),IF($F25&lt;=85,1,0))</formula>
    </cfRule>
  </conditionalFormatting>
  <conditionalFormatting sqref="AI25">
    <cfRule type="expression" dxfId="3757" priority="82">
      <formula>AND(IF(OR($Q25=1,$Q25=2),1,0),IF($X25&lt;=20,1,0))</formula>
    </cfRule>
    <cfRule type="expression" dxfId="3756" priority="83">
      <formula>AND(IF($Q25=2,1,0),IF($X25&lt;30,1,0))</formula>
    </cfRule>
    <cfRule type="expression" dxfId="3755" priority="84">
      <formula>AND(IF($Q25=3,1,0),IF($X25&lt;30,1,0))</formula>
    </cfRule>
    <cfRule type="expression" dxfId="3754" priority="85">
      <formula>AND(IF($Q25=3,1,IF($Q25=4,1,0)),IF($F25&lt;=85,1,0))</formula>
    </cfRule>
  </conditionalFormatting>
  <conditionalFormatting sqref="AV26">
    <cfRule type="expression" dxfId="3753" priority="80">
      <formula>AV26="X"</formula>
    </cfRule>
    <cfRule type="expression" dxfId="3752" priority="81">
      <formula>AV26="후보"</formula>
    </cfRule>
  </conditionalFormatting>
  <conditionalFormatting sqref="Z2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3751" priority="77" operator="greaterThan">
      <formula>0.9</formula>
    </cfRule>
    <cfRule type="cellIs" dxfId="3750" priority="78" operator="greaterThan">
      <formula>0.85</formula>
    </cfRule>
  </conditionalFormatting>
  <conditionalFormatting sqref="N26">
    <cfRule type="cellIs" dxfId="3749" priority="75" operator="greaterThan">
      <formula>0.9</formula>
    </cfRule>
    <cfRule type="cellIs" dxfId="3748" priority="76" operator="greaterThan">
      <formula>0.85</formula>
    </cfRule>
  </conditionalFormatting>
  <conditionalFormatting sqref="E26">
    <cfRule type="expression" dxfId="3747" priority="71">
      <formula>AND(IF(OR($Q26=1,$Q26=2),1,0),IF($X26&lt;=20,1,0))</formula>
    </cfRule>
    <cfRule type="expression" dxfId="3746" priority="72">
      <formula>AND(IF($Q26=2,1,0),IF($X26&lt;30,1,0))</formula>
    </cfRule>
    <cfRule type="expression" dxfId="3745" priority="73">
      <formula>AND(IF($Q26=3,1,0),IF($X26&lt;30,1,0))</formula>
    </cfRule>
    <cfRule type="expression" dxfId="3744" priority="74">
      <formula>AND(IF($Q26=3,1,IF($Q26=4,1,0)),IF($F26&lt;=85,1,0))</formula>
    </cfRule>
  </conditionalFormatting>
  <conditionalFormatting sqref="X26">
    <cfRule type="expression" dxfId="3743" priority="67">
      <formula>AND(IF(OR($Q26=1,$Q26=2),1,0),IF($X26&lt;=20,1,0))</formula>
    </cfRule>
    <cfRule type="expression" dxfId="3742" priority="68">
      <formula>AND(IF($Q26=2,1,0),IF($X26&lt;30,1,0))</formula>
    </cfRule>
    <cfRule type="expression" dxfId="3741" priority="69">
      <formula>AND(IF($Q26=3,1,0),IF($X26&lt;30,1,0))</formula>
    </cfRule>
    <cfRule type="expression" dxfId="3740" priority="70">
      <formula>AND(IF($Q26=3,1,IF($Q26=4,1,0)),IF($F26&lt;=85,1,0))</formula>
    </cfRule>
  </conditionalFormatting>
  <conditionalFormatting sqref="AI26">
    <cfRule type="expression" dxfId="3739" priority="63">
      <formula>AND(IF(OR($Q26=1,$Q26=2),1,0),IF($X26&lt;=20,1,0))</formula>
    </cfRule>
    <cfRule type="expression" dxfId="3738" priority="64">
      <formula>AND(IF($Q26=2,1,0),IF($X26&lt;30,1,0))</formula>
    </cfRule>
    <cfRule type="expression" dxfId="3737" priority="65">
      <formula>AND(IF($Q26=3,1,0),IF($X26&lt;30,1,0))</formula>
    </cfRule>
    <cfRule type="expression" dxfId="3736" priority="66">
      <formula>AND(IF($Q26=3,1,IF($Q26=4,1,0)),IF($F26&lt;=85,1,0))</formula>
    </cfRule>
  </conditionalFormatting>
  <conditionalFormatting sqref="AV27">
    <cfRule type="expression" dxfId="3735" priority="61">
      <formula>AV27="X"</formula>
    </cfRule>
    <cfRule type="expression" dxfId="3734" priority="62">
      <formula>AV27="후보"</formula>
    </cfRule>
  </conditionalFormatting>
  <conditionalFormatting sqref="Z27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733" priority="58" operator="greaterThan">
      <formula>0.9</formula>
    </cfRule>
    <cfRule type="cellIs" dxfId="3732" priority="59" operator="greaterThan">
      <formula>0.85</formula>
    </cfRule>
  </conditionalFormatting>
  <conditionalFormatting sqref="N27">
    <cfRule type="cellIs" dxfId="3731" priority="56" operator="greaterThan">
      <formula>0.9</formula>
    </cfRule>
    <cfRule type="cellIs" dxfId="3730" priority="57" operator="greaterThan">
      <formula>0.85</formula>
    </cfRule>
  </conditionalFormatting>
  <conditionalFormatting sqref="E27">
    <cfRule type="expression" dxfId="3729" priority="52">
      <formula>AND(IF(OR($Q27=1,$Q27=2),1,0),IF($X27&lt;=20,1,0))</formula>
    </cfRule>
    <cfRule type="expression" dxfId="3728" priority="53">
      <formula>AND(IF($Q27=2,1,0),IF($X27&lt;30,1,0))</formula>
    </cfRule>
    <cfRule type="expression" dxfId="3727" priority="54">
      <formula>AND(IF($Q27=3,1,0),IF($X27&lt;30,1,0))</formula>
    </cfRule>
    <cfRule type="expression" dxfId="3726" priority="55">
      <formula>AND(IF($Q27=3,1,IF($Q27=4,1,0)),IF($F27&lt;=85,1,0))</formula>
    </cfRule>
  </conditionalFormatting>
  <conditionalFormatting sqref="X27">
    <cfRule type="expression" dxfId="3725" priority="48">
      <formula>AND(IF(OR($Q27=1,$Q27=2),1,0),IF($X27&lt;=20,1,0))</formula>
    </cfRule>
    <cfRule type="expression" dxfId="3724" priority="49">
      <formula>AND(IF($Q27=2,1,0),IF($X27&lt;30,1,0))</formula>
    </cfRule>
    <cfRule type="expression" dxfId="3723" priority="50">
      <formula>AND(IF($Q27=3,1,0),IF($X27&lt;30,1,0))</formula>
    </cfRule>
    <cfRule type="expression" dxfId="3722" priority="51">
      <formula>AND(IF($Q27=3,1,IF($Q27=4,1,0)),IF($F27&lt;=85,1,0))</formula>
    </cfRule>
  </conditionalFormatting>
  <conditionalFormatting sqref="AI27">
    <cfRule type="expression" dxfId="3721" priority="44">
      <formula>AND(IF(OR($Q27=1,$Q27=2),1,0),IF($X27&lt;=20,1,0))</formula>
    </cfRule>
    <cfRule type="expression" dxfId="3720" priority="45">
      <formula>AND(IF($Q27=2,1,0),IF($X27&lt;30,1,0))</formula>
    </cfRule>
    <cfRule type="expression" dxfId="3719" priority="46">
      <formula>AND(IF($Q27=3,1,0),IF($X27&lt;30,1,0))</formula>
    </cfRule>
    <cfRule type="expression" dxfId="3718" priority="47">
      <formula>AND(IF($Q27=3,1,IF($Q27=4,1,0)),IF($F27&lt;=85,1,0))</formula>
    </cfRule>
  </conditionalFormatting>
  <conditionalFormatting sqref="AV28">
    <cfRule type="expression" dxfId="3717" priority="42">
      <formula>AV28="X"</formula>
    </cfRule>
    <cfRule type="expression" dxfId="3716" priority="43">
      <formula>AV28="후보"</formula>
    </cfRule>
  </conditionalFormatting>
  <conditionalFormatting sqref="Z28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3715" priority="39" operator="greaterThan">
      <formula>0.9</formula>
    </cfRule>
    <cfRule type="cellIs" dxfId="3714" priority="40" operator="greaterThan">
      <formula>0.85</formula>
    </cfRule>
  </conditionalFormatting>
  <conditionalFormatting sqref="AV29">
    <cfRule type="expression" dxfId="3713" priority="37">
      <formula>AV29="X"</formula>
    </cfRule>
    <cfRule type="expression" dxfId="3712" priority="38">
      <formula>AV29="후보"</formula>
    </cfRule>
  </conditionalFormatting>
  <conditionalFormatting sqref="Z2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3711" priority="34" operator="greaterThan">
      <formula>0.9</formula>
    </cfRule>
    <cfRule type="cellIs" dxfId="3710" priority="35" operator="greaterThan">
      <formula>0.85</formula>
    </cfRule>
  </conditionalFormatting>
  <conditionalFormatting sqref="N29">
    <cfRule type="cellIs" dxfId="3709" priority="32" operator="greaterThan">
      <formula>0.9</formula>
    </cfRule>
    <cfRule type="cellIs" dxfId="3708" priority="33" operator="greaterThan">
      <formula>0.85</formula>
    </cfRule>
  </conditionalFormatting>
  <conditionalFormatting sqref="E29">
    <cfRule type="expression" dxfId="3707" priority="28">
      <formula>AND(IF(OR($Q29=1,$Q29=2),1,0),IF($X29&lt;=20,1,0))</formula>
    </cfRule>
    <cfRule type="expression" dxfId="3706" priority="29">
      <formula>AND(IF($Q29=2,1,0),IF($X29&lt;30,1,0))</formula>
    </cfRule>
    <cfRule type="expression" dxfId="3705" priority="30">
      <formula>AND(IF($Q29=3,1,0),IF($X29&lt;30,1,0))</formula>
    </cfRule>
    <cfRule type="expression" dxfId="3704" priority="31">
      <formula>AND(IF($Q29=3,1,IF($Q29=4,1,0)),IF($F29&lt;=85,1,0))</formula>
    </cfRule>
  </conditionalFormatting>
  <conditionalFormatting sqref="X29">
    <cfRule type="expression" dxfId="3703" priority="24">
      <formula>AND(IF(OR($Q29=1,$Q29=2),1,0),IF($X29&lt;=20,1,0))</formula>
    </cfRule>
    <cfRule type="expression" dxfId="3702" priority="25">
      <formula>AND(IF($Q29=2,1,0),IF($X29&lt;30,1,0))</formula>
    </cfRule>
    <cfRule type="expression" dxfId="3701" priority="26">
      <formula>AND(IF($Q29=3,1,0),IF($X29&lt;30,1,0))</formula>
    </cfRule>
    <cfRule type="expression" dxfId="3700" priority="27">
      <formula>AND(IF($Q29=3,1,IF($Q29=4,1,0)),IF($F29&lt;=85,1,0))</formula>
    </cfRule>
  </conditionalFormatting>
  <conditionalFormatting sqref="AI29">
    <cfRule type="expression" dxfId="3699" priority="20">
      <formula>AND(IF(OR($Q29=1,$Q29=2),1,0),IF($X29&lt;=20,1,0))</formula>
    </cfRule>
    <cfRule type="expression" dxfId="3698" priority="21">
      <formula>AND(IF($Q29=2,1,0),IF($X29&lt;30,1,0))</formula>
    </cfRule>
    <cfRule type="expression" dxfId="3697" priority="22">
      <formula>AND(IF($Q29=3,1,0),IF($X29&lt;30,1,0))</formula>
    </cfRule>
    <cfRule type="expression" dxfId="3696" priority="23">
      <formula>AND(IF($Q29=3,1,IF($Q29=4,1,0)),IF($F29&lt;=85,1,0))</formula>
    </cfRule>
  </conditionalFormatting>
  <conditionalFormatting sqref="AV30">
    <cfRule type="expression" dxfId="3695" priority="18">
      <formula>AV30="X"</formula>
    </cfRule>
    <cfRule type="expression" dxfId="3694" priority="19">
      <formula>AV30="후보"</formula>
    </cfRule>
  </conditionalFormatting>
  <conditionalFormatting sqref="Z3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693" priority="15" operator="greaterThan">
      <formula>0.9</formula>
    </cfRule>
    <cfRule type="cellIs" dxfId="3692" priority="16" operator="greaterThan">
      <formula>0.85</formula>
    </cfRule>
  </conditionalFormatting>
  <conditionalFormatting sqref="N30">
    <cfRule type="cellIs" dxfId="3691" priority="13" operator="greaterThan">
      <formula>0.9</formula>
    </cfRule>
    <cfRule type="cellIs" dxfId="3690" priority="14" operator="greaterThan">
      <formula>0.85</formula>
    </cfRule>
  </conditionalFormatting>
  <conditionalFormatting sqref="E30">
    <cfRule type="expression" dxfId="3689" priority="9">
      <formula>AND(IF(OR($Q30=1,$Q30=2),1,0),IF($X30&lt;=20,1,0))</formula>
    </cfRule>
    <cfRule type="expression" dxfId="3688" priority="10">
      <formula>AND(IF($Q30=2,1,0),IF($X30&lt;30,1,0))</formula>
    </cfRule>
    <cfRule type="expression" dxfId="3687" priority="11">
      <formula>AND(IF($Q30=3,1,0),IF($X30&lt;30,1,0))</formula>
    </cfRule>
    <cfRule type="expression" dxfId="3686" priority="12">
      <formula>AND(IF($Q30=3,1,IF($Q30=4,1,0)),IF($F30&lt;=85,1,0))</formula>
    </cfRule>
  </conditionalFormatting>
  <conditionalFormatting sqref="X30">
    <cfRule type="expression" dxfId="3685" priority="5">
      <formula>AND(IF(OR($Q30=1,$Q30=2),1,0),IF($X30&lt;=20,1,0))</formula>
    </cfRule>
    <cfRule type="expression" dxfId="3684" priority="6">
      <formula>AND(IF($Q30=2,1,0),IF($X30&lt;30,1,0))</formula>
    </cfRule>
    <cfRule type="expression" dxfId="3683" priority="7">
      <formula>AND(IF($Q30=3,1,0),IF($X30&lt;30,1,0))</formula>
    </cfRule>
    <cfRule type="expression" dxfId="3682" priority="8">
      <formula>AND(IF($Q30=3,1,IF($Q30=4,1,0)),IF($F30&lt;=85,1,0))</formula>
    </cfRule>
  </conditionalFormatting>
  <conditionalFormatting sqref="AI30">
    <cfRule type="expression" dxfId="3681" priority="1">
      <formula>AND(IF(OR($Q30=1,$Q30=2),1,0),IF($X30&lt;=20,1,0))</formula>
    </cfRule>
    <cfRule type="expression" dxfId="3680" priority="2">
      <formula>AND(IF($Q30=2,1,0),IF($X30&lt;30,1,0))</formula>
    </cfRule>
    <cfRule type="expression" dxfId="3679" priority="3">
      <formula>AND(IF($Q30=3,1,0),IF($X30&lt;30,1,0))</formula>
    </cfRule>
    <cfRule type="expression" dxfId="3678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이화동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1483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이화동 이화신동아파밀리에('07.07.,399^)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1484</v>
      </c>
      <c r="B6" s="16" t="s">
        <v>1485</v>
      </c>
      <c r="C6" s="28">
        <v>399</v>
      </c>
      <c r="D6" s="25">
        <v>112.5</v>
      </c>
      <c r="E6" s="106">
        <v>34</v>
      </c>
      <c r="F6" s="25">
        <v>84.9</v>
      </c>
      <c r="G6" s="27">
        <v>26</v>
      </c>
      <c r="H6" s="28">
        <v>146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1486</v>
      </c>
      <c r="T6" s="8" t="s">
        <v>419</v>
      </c>
      <c r="U6" s="13"/>
      <c r="W6" s="25">
        <f>D6</f>
        <v>112.5</v>
      </c>
      <c r="X6" s="106">
        <f>E6</f>
        <v>34</v>
      </c>
      <c r="Y6" s="32">
        <f>H6</f>
        <v>146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이화신동아파밀리에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1484</v>
      </c>
      <c r="B7" s="16" t="s">
        <v>1487</v>
      </c>
      <c r="C7" s="28">
        <v>399</v>
      </c>
      <c r="D7" s="25">
        <v>112.9</v>
      </c>
      <c r="E7" s="106">
        <v>34</v>
      </c>
      <c r="F7" s="25">
        <v>84.9</v>
      </c>
      <c r="G7" s="27">
        <v>26</v>
      </c>
      <c r="H7" s="28">
        <v>127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 t="s">
        <v>1390</v>
      </c>
      <c r="U7" s="13"/>
      <c r="W7" s="25">
        <f>D7</f>
        <v>112.9</v>
      </c>
      <c r="X7" s="106">
        <f>E7</f>
        <v>34</v>
      </c>
      <c r="Y7" s="32">
        <f>H7</f>
        <v>127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이화신동아파밀리에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1484</v>
      </c>
      <c r="B8" s="16" t="s">
        <v>1487</v>
      </c>
      <c r="C8" s="28">
        <v>399</v>
      </c>
      <c r="D8" s="25">
        <v>112.5</v>
      </c>
      <c r="E8" s="106">
        <v>34</v>
      </c>
      <c r="F8" s="25">
        <v>84.9</v>
      </c>
      <c r="G8" s="27">
        <v>26</v>
      </c>
      <c r="H8" s="28">
        <v>61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64</v>
      </c>
      <c r="T8" s="8" t="s">
        <v>1488</v>
      </c>
      <c r="U8" s="13"/>
      <c r="W8" s="25">
        <f>D8</f>
        <v>112.5</v>
      </c>
      <c r="X8" s="106">
        <f>E8</f>
        <v>34</v>
      </c>
      <c r="Y8" s="32">
        <f>H8</f>
        <v>61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이화신동아파밀리에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1484</v>
      </c>
      <c r="B9" s="16" t="s">
        <v>1487</v>
      </c>
      <c r="C9" s="28">
        <v>399</v>
      </c>
      <c r="D9" s="25">
        <v>135.9</v>
      </c>
      <c r="E9" s="106">
        <v>41</v>
      </c>
      <c r="F9" s="25">
        <v>108.2</v>
      </c>
      <c r="G9" s="27">
        <v>33</v>
      </c>
      <c r="H9" s="28">
        <v>13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64</v>
      </c>
      <c r="T9" s="8" t="s">
        <v>1489</v>
      </c>
      <c r="U9" s="13"/>
      <c r="W9" s="25">
        <f>D9</f>
        <v>135.9</v>
      </c>
      <c r="X9" s="106">
        <f>E9</f>
        <v>41</v>
      </c>
      <c r="Y9" s="32">
        <f>H9</f>
        <v>13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이화신동아파밀리에</v>
      </c>
      <c r="AI9" s="106">
        <f>IF(E9="","",E9)</f>
        <v>41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1484</v>
      </c>
      <c r="B10" s="16" t="s">
        <v>1487</v>
      </c>
      <c r="C10" s="28">
        <v>399</v>
      </c>
      <c r="D10" s="25">
        <v>136.1</v>
      </c>
      <c r="E10" s="106">
        <v>41</v>
      </c>
      <c r="F10" s="25">
        <v>108.4</v>
      </c>
      <c r="G10" s="27">
        <v>33</v>
      </c>
      <c r="H10" s="28">
        <v>52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64</v>
      </c>
      <c r="T10" s="8" t="s">
        <v>1490</v>
      </c>
      <c r="U10" s="13"/>
      <c r="W10" s="25">
        <f>D10</f>
        <v>136.1</v>
      </c>
      <c r="X10" s="106">
        <f>E10</f>
        <v>41</v>
      </c>
      <c r="Y10" s="32">
        <f>H10</f>
        <v>52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이화신동아파밀리에</v>
      </c>
      <c r="AI10" s="106">
        <f>IF(E10="","",E10)</f>
        <v>41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3677" priority="96">
      <formula>AV4="X"</formula>
    </cfRule>
    <cfRule type="expression" dxfId="3676" priority="97">
      <formula>AV4="후보"</formula>
    </cfRule>
  </conditionalFormatting>
  <conditionalFormatting sqref="Z2:Z6">
    <cfRule type="colorScale" priority="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675" priority="93" operator="greaterThan">
      <formula>0.9</formula>
    </cfRule>
    <cfRule type="cellIs" dxfId="3674" priority="94" operator="greaterThan">
      <formula>0.85</formula>
    </cfRule>
  </conditionalFormatting>
  <conditionalFormatting sqref="N1:N2">
    <cfRule type="cellIs" dxfId="3673" priority="91" operator="greaterThan">
      <formula>0.9</formula>
    </cfRule>
    <cfRule type="cellIs" dxfId="3672" priority="92" operator="greaterThan">
      <formula>0.85</formula>
    </cfRule>
  </conditionalFormatting>
  <conditionalFormatting sqref="N6">
    <cfRule type="cellIs" dxfId="3671" priority="89" operator="greaterThan">
      <formula>0.9</formula>
    </cfRule>
    <cfRule type="cellIs" dxfId="3670" priority="90" operator="greaterThan">
      <formula>0.85</formula>
    </cfRule>
  </conditionalFormatting>
  <conditionalFormatting sqref="E6">
    <cfRule type="expression" dxfId="3669" priority="85">
      <formula>AND(IF(OR($Q6=1,$Q6=2),1,0),IF($X6&lt;=20,1,0))</formula>
    </cfRule>
    <cfRule type="expression" dxfId="3668" priority="86">
      <formula>AND(IF($Q6=2,1,0),IF($X6&lt;30,1,0))</formula>
    </cfRule>
    <cfRule type="expression" dxfId="3667" priority="87">
      <formula>AND(IF($Q6=3,1,0),IF($X6&lt;30,1,0))</formula>
    </cfRule>
    <cfRule type="expression" dxfId="3666" priority="88">
      <formula>AND(IF($Q6=3,1,IF($Q6=4,1,0)),IF($F6&lt;=85,1,0))</formula>
    </cfRule>
  </conditionalFormatting>
  <conditionalFormatting sqref="X6">
    <cfRule type="expression" dxfId="3665" priority="81">
      <formula>AND(IF(OR($Q6=1,$Q6=2),1,0),IF($X6&lt;=20,1,0))</formula>
    </cfRule>
    <cfRule type="expression" dxfId="3664" priority="82">
      <formula>AND(IF($Q6=2,1,0),IF($X6&lt;30,1,0))</formula>
    </cfRule>
    <cfRule type="expression" dxfId="3663" priority="83">
      <formula>AND(IF($Q6=3,1,0),IF($X6&lt;30,1,0))</formula>
    </cfRule>
    <cfRule type="expression" dxfId="3662" priority="84">
      <formula>AND(IF($Q6=3,1,IF($Q6=4,1,0)),IF($F6&lt;=85,1,0))</formula>
    </cfRule>
  </conditionalFormatting>
  <conditionalFormatting sqref="AI6">
    <cfRule type="expression" dxfId="3661" priority="77">
      <formula>AND(IF(OR($Q6=1,$Q6=2),1,0),IF($X6&lt;=20,1,0))</formula>
    </cfRule>
    <cfRule type="expression" dxfId="3660" priority="78">
      <formula>AND(IF($Q6=2,1,0),IF($X6&lt;30,1,0))</formula>
    </cfRule>
    <cfRule type="expression" dxfId="3659" priority="79">
      <formula>AND(IF($Q6=3,1,0),IF($X6&lt;30,1,0))</formula>
    </cfRule>
    <cfRule type="expression" dxfId="3658" priority="80">
      <formula>AND(IF($Q6=3,1,IF($Q6=4,1,0)),IF($F6&lt;=85,1,0))</formula>
    </cfRule>
  </conditionalFormatting>
  <conditionalFormatting sqref="AV7">
    <cfRule type="expression" dxfId="3657" priority="75">
      <formula>AV7="X"</formula>
    </cfRule>
    <cfRule type="expression" dxfId="3656" priority="76">
      <formula>AV7="후보"</formula>
    </cfRule>
  </conditionalFormatting>
  <conditionalFormatting sqref="Z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655" priority="72" operator="greaterThan">
      <formula>0.9</formula>
    </cfRule>
    <cfRule type="cellIs" dxfId="3654" priority="73" operator="greaterThan">
      <formula>0.85</formula>
    </cfRule>
  </conditionalFormatting>
  <conditionalFormatting sqref="N7">
    <cfRule type="cellIs" dxfId="3653" priority="70" operator="greaterThan">
      <formula>0.9</formula>
    </cfRule>
    <cfRule type="cellIs" dxfId="3652" priority="71" operator="greaterThan">
      <formula>0.85</formula>
    </cfRule>
  </conditionalFormatting>
  <conditionalFormatting sqref="E7">
    <cfRule type="expression" dxfId="3651" priority="66">
      <formula>AND(IF(OR($Q7=1,$Q7=2),1,0),IF($X7&lt;=20,1,0))</formula>
    </cfRule>
    <cfRule type="expression" dxfId="3650" priority="67">
      <formula>AND(IF($Q7=2,1,0),IF($X7&lt;30,1,0))</formula>
    </cfRule>
    <cfRule type="expression" dxfId="3649" priority="68">
      <formula>AND(IF($Q7=3,1,0),IF($X7&lt;30,1,0))</formula>
    </cfRule>
    <cfRule type="expression" dxfId="3648" priority="69">
      <formula>AND(IF($Q7=3,1,IF($Q7=4,1,0)),IF($F7&lt;=85,1,0))</formula>
    </cfRule>
  </conditionalFormatting>
  <conditionalFormatting sqref="X7">
    <cfRule type="expression" dxfId="3647" priority="62">
      <formula>AND(IF(OR($Q7=1,$Q7=2),1,0),IF($X7&lt;=20,1,0))</formula>
    </cfRule>
    <cfRule type="expression" dxfId="3646" priority="63">
      <formula>AND(IF($Q7=2,1,0),IF($X7&lt;30,1,0))</formula>
    </cfRule>
    <cfRule type="expression" dxfId="3645" priority="64">
      <formula>AND(IF($Q7=3,1,0),IF($X7&lt;30,1,0))</formula>
    </cfRule>
    <cfRule type="expression" dxfId="3644" priority="65">
      <formula>AND(IF($Q7=3,1,IF($Q7=4,1,0)),IF($F7&lt;=85,1,0))</formula>
    </cfRule>
  </conditionalFormatting>
  <conditionalFormatting sqref="AI7">
    <cfRule type="expression" dxfId="3643" priority="58">
      <formula>AND(IF(OR($Q7=1,$Q7=2),1,0),IF($X7&lt;=20,1,0))</formula>
    </cfRule>
    <cfRule type="expression" dxfId="3642" priority="59">
      <formula>AND(IF($Q7=2,1,0),IF($X7&lt;30,1,0))</formula>
    </cfRule>
    <cfRule type="expression" dxfId="3641" priority="60">
      <formula>AND(IF($Q7=3,1,0),IF($X7&lt;30,1,0))</formula>
    </cfRule>
    <cfRule type="expression" dxfId="3640" priority="61">
      <formula>AND(IF($Q7=3,1,IF($Q7=4,1,0)),IF($F7&lt;=85,1,0))</formula>
    </cfRule>
  </conditionalFormatting>
  <conditionalFormatting sqref="AV8">
    <cfRule type="expression" dxfId="3639" priority="56">
      <formula>AV8="X"</formula>
    </cfRule>
    <cfRule type="expression" dxfId="3638" priority="57">
      <formula>AV8="후보"</formula>
    </cfRule>
  </conditionalFormatting>
  <conditionalFormatting sqref="Z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637" priority="53" operator="greaterThan">
      <formula>0.9</formula>
    </cfRule>
    <cfRule type="cellIs" dxfId="3636" priority="54" operator="greaterThan">
      <formula>0.85</formula>
    </cfRule>
  </conditionalFormatting>
  <conditionalFormatting sqref="N8">
    <cfRule type="cellIs" dxfId="3635" priority="51" operator="greaterThan">
      <formula>0.9</formula>
    </cfRule>
    <cfRule type="cellIs" dxfId="3634" priority="52" operator="greaterThan">
      <formula>0.85</formula>
    </cfRule>
  </conditionalFormatting>
  <conditionalFormatting sqref="E8">
    <cfRule type="expression" dxfId="3633" priority="47">
      <formula>AND(IF(OR($Q8=1,$Q8=2),1,0),IF($X8&lt;=20,1,0))</formula>
    </cfRule>
    <cfRule type="expression" dxfId="3632" priority="48">
      <formula>AND(IF($Q8=2,1,0),IF($X8&lt;30,1,0))</formula>
    </cfRule>
    <cfRule type="expression" dxfId="3631" priority="49">
      <formula>AND(IF($Q8=3,1,0),IF($X8&lt;30,1,0))</formula>
    </cfRule>
    <cfRule type="expression" dxfId="3630" priority="50">
      <formula>AND(IF($Q8=3,1,IF($Q8=4,1,0)),IF($F8&lt;=85,1,0))</formula>
    </cfRule>
  </conditionalFormatting>
  <conditionalFormatting sqref="X8">
    <cfRule type="expression" dxfId="3629" priority="43">
      <formula>AND(IF(OR($Q8=1,$Q8=2),1,0),IF($X8&lt;=20,1,0))</formula>
    </cfRule>
    <cfRule type="expression" dxfId="3628" priority="44">
      <formula>AND(IF($Q8=2,1,0),IF($X8&lt;30,1,0))</formula>
    </cfRule>
    <cfRule type="expression" dxfId="3627" priority="45">
      <formula>AND(IF($Q8=3,1,0),IF($X8&lt;30,1,0))</formula>
    </cfRule>
    <cfRule type="expression" dxfId="3626" priority="46">
      <formula>AND(IF($Q8=3,1,IF($Q8=4,1,0)),IF($F8&lt;=85,1,0))</formula>
    </cfRule>
  </conditionalFormatting>
  <conditionalFormatting sqref="AI8">
    <cfRule type="expression" dxfId="3625" priority="39">
      <formula>AND(IF(OR($Q8=1,$Q8=2),1,0),IF($X8&lt;=20,1,0))</formula>
    </cfRule>
    <cfRule type="expression" dxfId="3624" priority="40">
      <formula>AND(IF($Q8=2,1,0),IF($X8&lt;30,1,0))</formula>
    </cfRule>
    <cfRule type="expression" dxfId="3623" priority="41">
      <formula>AND(IF($Q8=3,1,0),IF($X8&lt;30,1,0))</formula>
    </cfRule>
    <cfRule type="expression" dxfId="3622" priority="42">
      <formula>AND(IF($Q8=3,1,IF($Q8=4,1,0)),IF($F8&lt;=85,1,0))</formula>
    </cfRule>
  </conditionalFormatting>
  <conditionalFormatting sqref="AV9">
    <cfRule type="expression" dxfId="3621" priority="37">
      <formula>AV9="X"</formula>
    </cfRule>
    <cfRule type="expression" dxfId="3620" priority="38">
      <formula>AV9="후보"</formula>
    </cfRule>
  </conditionalFormatting>
  <conditionalFormatting sqref="Z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619" priority="34" operator="greaterThan">
      <formula>0.9</formula>
    </cfRule>
    <cfRule type="cellIs" dxfId="3618" priority="35" operator="greaterThan">
      <formula>0.85</formula>
    </cfRule>
  </conditionalFormatting>
  <conditionalFormatting sqref="N9">
    <cfRule type="cellIs" dxfId="3617" priority="32" operator="greaterThan">
      <formula>0.9</formula>
    </cfRule>
    <cfRule type="cellIs" dxfId="3616" priority="33" operator="greaterThan">
      <formula>0.85</formula>
    </cfRule>
  </conditionalFormatting>
  <conditionalFormatting sqref="E9">
    <cfRule type="expression" dxfId="3615" priority="28">
      <formula>AND(IF(OR($Q9=1,$Q9=2),1,0),IF($X9&lt;=20,1,0))</formula>
    </cfRule>
    <cfRule type="expression" dxfId="3614" priority="29">
      <formula>AND(IF($Q9=2,1,0),IF($X9&lt;30,1,0))</formula>
    </cfRule>
    <cfRule type="expression" dxfId="3613" priority="30">
      <formula>AND(IF($Q9=3,1,0),IF($X9&lt;30,1,0))</formula>
    </cfRule>
    <cfRule type="expression" dxfId="3612" priority="31">
      <formula>AND(IF($Q9=3,1,IF($Q9=4,1,0)),IF($F9&lt;=85,1,0))</formula>
    </cfRule>
  </conditionalFormatting>
  <conditionalFormatting sqref="X9">
    <cfRule type="expression" dxfId="3611" priority="24">
      <formula>AND(IF(OR($Q9=1,$Q9=2),1,0),IF($X9&lt;=20,1,0))</formula>
    </cfRule>
    <cfRule type="expression" dxfId="3610" priority="25">
      <formula>AND(IF($Q9=2,1,0),IF($X9&lt;30,1,0))</formula>
    </cfRule>
    <cfRule type="expression" dxfId="3609" priority="26">
      <formula>AND(IF($Q9=3,1,0),IF($X9&lt;30,1,0))</formula>
    </cfRule>
    <cfRule type="expression" dxfId="3608" priority="27">
      <formula>AND(IF($Q9=3,1,IF($Q9=4,1,0)),IF($F9&lt;=85,1,0))</formula>
    </cfRule>
  </conditionalFormatting>
  <conditionalFormatting sqref="AI9">
    <cfRule type="expression" dxfId="3607" priority="20">
      <formula>AND(IF(OR($Q9=1,$Q9=2),1,0),IF($X9&lt;=20,1,0))</formula>
    </cfRule>
    <cfRule type="expression" dxfId="3606" priority="21">
      <formula>AND(IF($Q9=2,1,0),IF($X9&lt;30,1,0))</formula>
    </cfRule>
    <cfRule type="expression" dxfId="3605" priority="22">
      <formula>AND(IF($Q9=3,1,0),IF($X9&lt;30,1,0))</formula>
    </cfRule>
    <cfRule type="expression" dxfId="3604" priority="23">
      <formula>AND(IF($Q9=3,1,IF($Q9=4,1,0)),IF($F9&lt;=85,1,0))</formula>
    </cfRule>
  </conditionalFormatting>
  <conditionalFormatting sqref="AV10">
    <cfRule type="expression" dxfId="3603" priority="18">
      <formula>AV10="X"</formula>
    </cfRule>
    <cfRule type="expression" dxfId="3602" priority="19">
      <formula>AV10="후보"</formula>
    </cfRule>
  </conditionalFormatting>
  <conditionalFormatting sqref="Z1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601" priority="15" operator="greaterThan">
      <formula>0.9</formula>
    </cfRule>
    <cfRule type="cellIs" dxfId="3600" priority="16" operator="greaterThan">
      <formula>0.85</formula>
    </cfRule>
  </conditionalFormatting>
  <conditionalFormatting sqref="N10">
    <cfRule type="cellIs" dxfId="3599" priority="13" operator="greaterThan">
      <formula>0.9</formula>
    </cfRule>
    <cfRule type="cellIs" dxfId="3598" priority="14" operator="greaterThan">
      <formula>0.85</formula>
    </cfRule>
  </conditionalFormatting>
  <conditionalFormatting sqref="E10">
    <cfRule type="expression" dxfId="3597" priority="9">
      <formula>AND(IF(OR($Q10=1,$Q10=2),1,0),IF($X10&lt;=20,1,0))</formula>
    </cfRule>
    <cfRule type="expression" dxfId="3596" priority="10">
      <formula>AND(IF($Q10=2,1,0),IF($X10&lt;30,1,0))</formula>
    </cfRule>
    <cfRule type="expression" dxfId="3595" priority="11">
      <formula>AND(IF($Q10=3,1,0),IF($X10&lt;30,1,0))</formula>
    </cfRule>
    <cfRule type="expression" dxfId="3594" priority="12">
      <formula>AND(IF($Q10=3,1,IF($Q10=4,1,0)),IF($F10&lt;=85,1,0))</formula>
    </cfRule>
  </conditionalFormatting>
  <conditionalFormatting sqref="X10">
    <cfRule type="expression" dxfId="3593" priority="5">
      <formula>AND(IF(OR($Q10=1,$Q10=2),1,0),IF($X10&lt;=20,1,0))</formula>
    </cfRule>
    <cfRule type="expression" dxfId="3592" priority="6">
      <formula>AND(IF($Q10=2,1,0),IF($X10&lt;30,1,0))</formula>
    </cfRule>
    <cfRule type="expression" dxfId="3591" priority="7">
      <formula>AND(IF($Q10=3,1,0),IF($X10&lt;30,1,0))</formula>
    </cfRule>
    <cfRule type="expression" dxfId="3590" priority="8">
      <formula>AND(IF($Q10=3,1,IF($Q10=4,1,0)),IF($F10&lt;=85,1,0))</formula>
    </cfRule>
  </conditionalFormatting>
  <conditionalFormatting sqref="AI10">
    <cfRule type="expression" dxfId="3589" priority="1">
      <formula>AND(IF(OR($Q10=1,$Q10=2),1,0),IF($X10&lt;=20,1,0))</formula>
    </cfRule>
    <cfRule type="expression" dxfId="3588" priority="2">
      <formula>AND(IF($Q10=2,1,0),IF($X10&lt;30,1,0))</formula>
    </cfRule>
    <cfRule type="expression" dxfId="3587" priority="3">
      <formula>AND(IF($Q10=3,1,0),IF($X10&lt;30,1,0))</formula>
    </cfRule>
    <cfRule type="expression" dxfId="358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작전동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1491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작전동 도두리마을동남,롯데('97.10.,1282^)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1492</v>
      </c>
      <c r="B6" s="16" t="s">
        <v>1441</v>
      </c>
      <c r="C6" s="28">
        <v>1282</v>
      </c>
      <c r="D6" s="25">
        <v>55.8</v>
      </c>
      <c r="E6" s="106">
        <v>17</v>
      </c>
      <c r="F6" s="25">
        <v>40.299999999999997</v>
      </c>
      <c r="G6" s="27">
        <v>12</v>
      </c>
      <c r="H6" s="28">
        <v>658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1384</v>
      </c>
      <c r="T6" s="8">
        <v>55</v>
      </c>
      <c r="U6" s="13"/>
      <c r="W6" s="25">
        <f>D6</f>
        <v>55.8</v>
      </c>
      <c r="X6" s="106">
        <f>E6</f>
        <v>17</v>
      </c>
      <c r="Y6" s="32">
        <f>H6</f>
        <v>658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2/1</v>
      </c>
      <c r="AH6" s="36" t="str">
        <f>IF(A6="","",A6)</f>
        <v>도두리마을동남,롯데</v>
      </c>
      <c r="AI6" s="106">
        <f>IF(E6="","",E6)</f>
        <v>17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1492</v>
      </c>
      <c r="B7" s="16" t="s">
        <v>1441</v>
      </c>
      <c r="C7" s="28">
        <v>1282</v>
      </c>
      <c r="D7" s="25">
        <v>78.3</v>
      </c>
      <c r="E7" s="106">
        <v>24</v>
      </c>
      <c r="F7" s="25">
        <v>59.5</v>
      </c>
      <c r="G7" s="27">
        <v>18</v>
      </c>
      <c r="H7" s="28">
        <v>624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64</v>
      </c>
      <c r="T7" s="8">
        <v>78</v>
      </c>
      <c r="U7" s="13"/>
      <c r="W7" s="25">
        <f>D7</f>
        <v>78.3</v>
      </c>
      <c r="X7" s="106">
        <f>E7</f>
        <v>24</v>
      </c>
      <c r="Y7" s="32">
        <f>H7</f>
        <v>624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도두리마을동남,롯데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작전동 삼천리('88.12.,540^)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1493</v>
      </c>
      <c r="B9" s="16" t="s">
        <v>1448</v>
      </c>
      <c r="C9" s="28">
        <v>540</v>
      </c>
      <c r="D9" s="25">
        <v>48.3</v>
      </c>
      <c r="E9" s="106">
        <v>15</v>
      </c>
      <c r="F9" s="25">
        <v>35.700000000000003</v>
      </c>
      <c r="G9" s="27">
        <v>11</v>
      </c>
      <c r="H9" s="28">
        <v>72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64</v>
      </c>
      <c r="T9" s="8">
        <v>48</v>
      </c>
      <c r="U9" s="13"/>
      <c r="W9" s="25">
        <f>D9</f>
        <v>48.3</v>
      </c>
      <c r="X9" s="106">
        <f>E9</f>
        <v>15</v>
      </c>
      <c r="Y9" s="32">
        <f>H9</f>
        <v>72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2/1</v>
      </c>
      <c r="AH9" s="36" t="str">
        <f>IF(A9="","",A9)</f>
        <v>삼천리</v>
      </c>
      <c r="AI9" s="106">
        <f>IF(E9="","",E9)</f>
        <v>15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1493</v>
      </c>
      <c r="B10" s="16" t="s">
        <v>1448</v>
      </c>
      <c r="C10" s="28">
        <v>540</v>
      </c>
      <c r="D10" s="25">
        <v>54.8</v>
      </c>
      <c r="E10" s="106">
        <v>17</v>
      </c>
      <c r="F10" s="25">
        <v>41.9</v>
      </c>
      <c r="G10" s="27">
        <v>13</v>
      </c>
      <c r="H10" s="28">
        <v>324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64</v>
      </c>
      <c r="T10" s="8">
        <v>54</v>
      </c>
      <c r="U10" s="13"/>
      <c r="W10" s="25">
        <f>D10</f>
        <v>54.8</v>
      </c>
      <c r="X10" s="106">
        <f>E10</f>
        <v>17</v>
      </c>
      <c r="Y10" s="32">
        <f>H10</f>
        <v>324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2/1</v>
      </c>
      <c r="AH10" s="36" t="str">
        <f>IF(A10="","",A10)</f>
        <v>삼천리</v>
      </c>
      <c r="AI10" s="106">
        <f>IF(E10="","",E10)</f>
        <v>17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1493</v>
      </c>
      <c r="B11" s="16" t="s">
        <v>1448</v>
      </c>
      <c r="C11" s="28">
        <v>540</v>
      </c>
      <c r="D11" s="25">
        <v>58.6</v>
      </c>
      <c r="E11" s="106">
        <v>18</v>
      </c>
      <c r="F11" s="25">
        <v>44.7</v>
      </c>
      <c r="G11" s="27">
        <v>14</v>
      </c>
      <c r="H11" s="28">
        <v>108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64</v>
      </c>
      <c r="T11" s="8">
        <v>58</v>
      </c>
      <c r="U11" s="13"/>
      <c r="W11" s="25">
        <f>D11</f>
        <v>58.6</v>
      </c>
      <c r="X11" s="106">
        <f>E11</f>
        <v>18</v>
      </c>
      <c r="Y11" s="32">
        <f>H11</f>
        <v>108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삼천리</v>
      </c>
      <c r="AI11" s="106">
        <f>IF(E11="","",E11)</f>
        <v>18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1493</v>
      </c>
      <c r="B12" s="16" t="s">
        <v>1448</v>
      </c>
      <c r="C12" s="28">
        <v>540</v>
      </c>
      <c r="D12" s="25">
        <v>65</v>
      </c>
      <c r="E12" s="106">
        <v>20</v>
      </c>
      <c r="F12" s="25">
        <v>50.6</v>
      </c>
      <c r="G12" s="27">
        <v>15</v>
      </c>
      <c r="H12" s="28">
        <v>36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64</v>
      </c>
      <c r="T12" s="8">
        <v>64</v>
      </c>
      <c r="U12" s="13"/>
      <c r="W12" s="25">
        <f>D12</f>
        <v>65</v>
      </c>
      <c r="X12" s="106">
        <f>E12</f>
        <v>20</v>
      </c>
      <c r="Y12" s="32">
        <f>H12</f>
        <v>36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삼천리</v>
      </c>
      <c r="AI12" s="106">
        <f>IF(E12="","",E12)</f>
        <v>20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작전동 광명('89.12.,288^)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1494</v>
      </c>
      <c r="B14" s="16" t="s">
        <v>1360</v>
      </c>
      <c r="C14" s="28">
        <v>288</v>
      </c>
      <c r="D14" s="25">
        <v>61.1</v>
      </c>
      <c r="E14" s="106">
        <v>18</v>
      </c>
      <c r="F14" s="25">
        <v>47.3</v>
      </c>
      <c r="G14" s="27">
        <v>14</v>
      </c>
      <c r="H14" s="28">
        <v>108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64</v>
      </c>
      <c r="T14" s="8">
        <v>61</v>
      </c>
      <c r="U14" s="13"/>
      <c r="W14" s="25">
        <f>D14</f>
        <v>61.1</v>
      </c>
      <c r="X14" s="106">
        <f>E14</f>
        <v>18</v>
      </c>
      <c r="Y14" s="32">
        <f>H14</f>
        <v>108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광명</v>
      </c>
      <c r="AI14" s="106">
        <f>IF(E14="","",E14)</f>
        <v>18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1494</v>
      </c>
      <c r="B15" s="16" t="s">
        <v>1360</v>
      </c>
      <c r="C15" s="28">
        <v>288</v>
      </c>
      <c r="D15" s="25">
        <v>74.3</v>
      </c>
      <c r="E15" s="106">
        <v>22</v>
      </c>
      <c r="F15" s="25">
        <v>58.6</v>
      </c>
      <c r="G15" s="27">
        <v>18</v>
      </c>
      <c r="H15" s="28">
        <v>84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64</v>
      </c>
      <c r="T15" s="8">
        <v>74</v>
      </c>
      <c r="U15" s="13"/>
      <c r="W15" s="25">
        <f>D15</f>
        <v>74.3</v>
      </c>
      <c r="X15" s="106">
        <f>E15</f>
        <v>22</v>
      </c>
      <c r="Y15" s="32">
        <f>H15</f>
        <v>84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광명</v>
      </c>
      <c r="AI15" s="106">
        <f>IF(E15="","",E15)</f>
        <v>22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1494</v>
      </c>
      <c r="B16" s="16" t="s">
        <v>1360</v>
      </c>
      <c r="C16" s="28">
        <v>288</v>
      </c>
      <c r="D16" s="25">
        <v>77.5</v>
      </c>
      <c r="E16" s="106">
        <v>23</v>
      </c>
      <c r="F16" s="25">
        <v>61.3</v>
      </c>
      <c r="G16" s="27">
        <v>19</v>
      </c>
      <c r="H16" s="28">
        <v>72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64</v>
      </c>
      <c r="T16" s="8">
        <v>77</v>
      </c>
      <c r="U16" s="13"/>
      <c r="W16" s="25">
        <f>D16</f>
        <v>77.5</v>
      </c>
      <c r="X16" s="106">
        <f>E16</f>
        <v>23</v>
      </c>
      <c r="Y16" s="32">
        <f>H16</f>
        <v>72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광명</v>
      </c>
      <c r="AI16" s="106">
        <f>IF(E16="","",E16)</f>
        <v>23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1494</v>
      </c>
      <c r="B17" s="16" t="s">
        <v>1360</v>
      </c>
      <c r="C17" s="28">
        <v>288</v>
      </c>
      <c r="D17" s="25">
        <v>81.099999999999994</v>
      </c>
      <c r="E17" s="106">
        <v>25</v>
      </c>
      <c r="F17" s="25">
        <v>64.400000000000006</v>
      </c>
      <c r="G17" s="27">
        <v>19</v>
      </c>
      <c r="H17" s="28">
        <v>24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64</v>
      </c>
      <c r="T17" s="8">
        <v>81</v>
      </c>
      <c r="U17" s="13"/>
      <c r="W17" s="25">
        <f>D17</f>
        <v>81.099999999999994</v>
      </c>
      <c r="X17" s="106">
        <f>E17</f>
        <v>25</v>
      </c>
      <c r="Y17" s="32">
        <f>H17</f>
        <v>24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광명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작전동 현대1차('90.09.,570^)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1495</v>
      </c>
      <c r="B19" s="16" t="s">
        <v>1295</v>
      </c>
      <c r="C19" s="28">
        <v>570</v>
      </c>
      <c r="D19" s="25">
        <v>86.4</v>
      </c>
      <c r="E19" s="106">
        <v>26</v>
      </c>
      <c r="F19" s="25">
        <v>71.2</v>
      </c>
      <c r="G19" s="27">
        <v>22</v>
      </c>
      <c r="H19" s="28">
        <v>150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64</v>
      </c>
      <c r="T19" s="8">
        <v>86</v>
      </c>
      <c r="U19" s="13"/>
      <c r="W19" s="25">
        <f>D19</f>
        <v>86.4</v>
      </c>
      <c r="X19" s="106">
        <f>E19</f>
        <v>26</v>
      </c>
      <c r="Y19" s="32">
        <f>H19</f>
        <v>150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현대1차</v>
      </c>
      <c r="AI19" s="106">
        <f>IF(E19="","",E19)</f>
        <v>26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1495</v>
      </c>
      <c r="B20" s="16" t="s">
        <v>1295</v>
      </c>
      <c r="C20" s="28">
        <v>570</v>
      </c>
      <c r="D20" s="25">
        <v>103.1</v>
      </c>
      <c r="E20" s="106">
        <v>31</v>
      </c>
      <c r="F20" s="25">
        <v>84.9</v>
      </c>
      <c r="G20" s="27">
        <v>26</v>
      </c>
      <c r="H20" s="28">
        <v>420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64</v>
      </c>
      <c r="T20" s="8">
        <v>103</v>
      </c>
      <c r="U20" s="13"/>
      <c r="W20" s="25">
        <f>D20</f>
        <v>103.1</v>
      </c>
      <c r="X20" s="106">
        <f>E20</f>
        <v>31</v>
      </c>
      <c r="Y20" s="32">
        <f>H20</f>
        <v>420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현대1차</v>
      </c>
      <c r="AI20" s="106">
        <f>IF(E20="","",E20)</f>
        <v>31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작전동 현대3차('92.11.,390^)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1496</v>
      </c>
      <c r="B22" s="16" t="s">
        <v>1497</v>
      </c>
      <c r="C22" s="28">
        <v>390</v>
      </c>
      <c r="D22" s="25">
        <v>74.8</v>
      </c>
      <c r="E22" s="106">
        <v>23</v>
      </c>
      <c r="F22" s="25">
        <v>59.4</v>
      </c>
      <c r="G22" s="27">
        <v>18</v>
      </c>
      <c r="H22" s="28">
        <v>153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1384</v>
      </c>
      <c r="T22" s="8">
        <v>74</v>
      </c>
      <c r="U22" s="13"/>
      <c r="W22" s="25">
        <f>D22</f>
        <v>74.8</v>
      </c>
      <c r="X22" s="106">
        <f>E22</f>
        <v>23</v>
      </c>
      <c r="Y22" s="32">
        <f>H22</f>
        <v>153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복</v>
      </c>
      <c r="AF22" s="15" t="str">
        <f>Q22&amp;"/"&amp;R22</f>
        <v>3/1</v>
      </c>
      <c r="AH22" s="36" t="str">
        <f>IF(A22="","",A22)</f>
        <v>현대3차</v>
      </c>
      <c r="AI22" s="106">
        <f>IF(E22="","",E22)</f>
        <v>23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1496</v>
      </c>
      <c r="B23" s="16" t="s">
        <v>1497</v>
      </c>
      <c r="C23" s="28">
        <v>390</v>
      </c>
      <c r="D23" s="25">
        <v>95.9</v>
      </c>
      <c r="E23" s="106">
        <v>29</v>
      </c>
      <c r="F23" s="25">
        <v>76.099999999999994</v>
      </c>
      <c r="G23" s="27">
        <v>23</v>
      </c>
      <c r="H23" s="28">
        <v>54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64</v>
      </c>
      <c r="T23" s="8" t="s">
        <v>567</v>
      </c>
      <c r="U23" s="13"/>
      <c r="W23" s="25">
        <f>D23</f>
        <v>95.9</v>
      </c>
      <c r="X23" s="106">
        <f>E23</f>
        <v>29</v>
      </c>
      <c r="Y23" s="32">
        <f>H23</f>
        <v>54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현대3차</v>
      </c>
      <c r="AI23" s="106">
        <f>IF(E23="","",E23)</f>
        <v>29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1496</v>
      </c>
      <c r="B24" s="16" t="s">
        <v>1497</v>
      </c>
      <c r="C24" s="28">
        <v>390</v>
      </c>
      <c r="D24" s="25">
        <v>97.5</v>
      </c>
      <c r="E24" s="106">
        <v>29</v>
      </c>
      <c r="F24" s="25">
        <v>77.400000000000006</v>
      </c>
      <c r="G24" s="27">
        <v>23</v>
      </c>
      <c r="H24" s="28">
        <v>17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64</v>
      </c>
      <c r="T24" s="8" t="s">
        <v>795</v>
      </c>
      <c r="U24" s="13"/>
      <c r="W24" s="25">
        <f>D24</f>
        <v>97.5</v>
      </c>
      <c r="X24" s="106">
        <f>E24</f>
        <v>29</v>
      </c>
      <c r="Y24" s="32">
        <f>H24</f>
        <v>17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현대3차</v>
      </c>
      <c r="AI24" s="106">
        <f>IF(E24="","",E24)</f>
        <v>29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1496</v>
      </c>
      <c r="B25" s="16" t="s">
        <v>1497</v>
      </c>
      <c r="C25" s="28">
        <v>390</v>
      </c>
      <c r="D25" s="25">
        <v>106.8</v>
      </c>
      <c r="E25" s="106">
        <v>32</v>
      </c>
      <c r="F25" s="25">
        <v>84.8</v>
      </c>
      <c r="G25" s="27">
        <v>26</v>
      </c>
      <c r="H25" s="28">
        <v>166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64</v>
      </c>
      <c r="T25" s="8">
        <v>106</v>
      </c>
      <c r="U25" s="13"/>
      <c r="W25" s="25">
        <f>D25</f>
        <v>106.8</v>
      </c>
      <c r="X25" s="106">
        <f>E25</f>
        <v>32</v>
      </c>
      <c r="Y25" s="32">
        <f>H25</f>
        <v>166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현대3차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작전동 선우('86.02.,210^)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1498</v>
      </c>
      <c r="B27" s="16" t="s">
        <v>1499</v>
      </c>
      <c r="C27" s="28">
        <v>210</v>
      </c>
      <c r="D27" s="25">
        <v>64.599999999999994</v>
      </c>
      <c r="E27" s="106">
        <v>20</v>
      </c>
      <c r="F27" s="25">
        <v>49</v>
      </c>
      <c r="G27" s="27">
        <v>15</v>
      </c>
      <c r="H27" s="28">
        <v>60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64</v>
      </c>
      <c r="T27" s="8">
        <v>64</v>
      </c>
      <c r="U27" s="13"/>
      <c r="W27" s="25">
        <f>D27</f>
        <v>64.599999999999994</v>
      </c>
      <c r="X27" s="106">
        <f>E27</f>
        <v>20</v>
      </c>
      <c r="Y27" s="32">
        <f>H27</f>
        <v>60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3/1</v>
      </c>
      <c r="AH27" s="36" t="str">
        <f>IF(A27="","",A27)</f>
        <v>선우</v>
      </c>
      <c r="AI27" s="106">
        <f>IF(E27="","",E27)</f>
        <v>20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1498</v>
      </c>
      <c r="B28" s="16" t="s">
        <v>1499</v>
      </c>
      <c r="C28" s="28">
        <v>210</v>
      </c>
      <c r="D28" s="25">
        <v>76.099999999999994</v>
      </c>
      <c r="E28" s="106">
        <v>23</v>
      </c>
      <c r="F28" s="25">
        <v>58.6</v>
      </c>
      <c r="G28" s="27">
        <v>18</v>
      </c>
      <c r="H28" s="28">
        <v>150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1</v>
      </c>
      <c r="S28" s="113" t="s">
        <v>64</v>
      </c>
      <c r="T28" s="8">
        <v>76</v>
      </c>
      <c r="U28" s="13"/>
      <c r="W28" s="25">
        <f>D28</f>
        <v>76.099999999999994</v>
      </c>
      <c r="X28" s="106">
        <f>E28</f>
        <v>23</v>
      </c>
      <c r="Y28" s="32">
        <f>H28</f>
        <v>150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3/1</v>
      </c>
      <c r="AH28" s="36" t="str">
        <f>IF(A28="","",A28)</f>
        <v>선우</v>
      </c>
      <c r="AI28" s="106">
        <f>IF(E28="","",E28)</f>
        <v>23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작전동 도두리마을동보('96.12.,1276^)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1500</v>
      </c>
      <c r="B30" s="16" t="s">
        <v>1501</v>
      </c>
      <c r="C30" s="28">
        <v>1276</v>
      </c>
      <c r="D30" s="25">
        <v>35.6</v>
      </c>
      <c r="E30" s="106">
        <v>11</v>
      </c>
      <c r="F30" s="25">
        <v>23.9</v>
      </c>
      <c r="G30" s="27">
        <v>7</v>
      </c>
      <c r="H30" s="28">
        <v>208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1</v>
      </c>
      <c r="R30" s="15">
        <v>1</v>
      </c>
      <c r="S30" s="113" t="s">
        <v>1384</v>
      </c>
      <c r="T30" s="8">
        <v>35</v>
      </c>
      <c r="U30" s="13"/>
      <c r="W30" s="25">
        <f>D30</f>
        <v>35.6</v>
      </c>
      <c r="X30" s="106">
        <f>E30</f>
        <v>11</v>
      </c>
      <c r="Y30" s="32">
        <f>H30</f>
        <v>208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1/1</v>
      </c>
      <c r="AH30" s="36" t="str">
        <f>IF(A30="","",A30)</f>
        <v>도두리마을동보</v>
      </c>
      <c r="AI30" s="106">
        <f>IF(E30="","",E30)</f>
        <v>11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1500</v>
      </c>
      <c r="B31" s="16" t="s">
        <v>1501</v>
      </c>
      <c r="C31" s="28">
        <v>1276</v>
      </c>
      <c r="D31" s="25">
        <v>79.7</v>
      </c>
      <c r="E31" s="106">
        <v>24</v>
      </c>
      <c r="F31" s="25">
        <v>59.9</v>
      </c>
      <c r="G31" s="27">
        <v>18</v>
      </c>
      <c r="H31" s="28">
        <v>1068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64</v>
      </c>
      <c r="T31" s="8">
        <v>79</v>
      </c>
      <c r="U31" s="13"/>
      <c r="W31" s="25">
        <f>D31</f>
        <v>79.7</v>
      </c>
      <c r="X31" s="106">
        <f>E31</f>
        <v>24</v>
      </c>
      <c r="Y31" s="32">
        <f>H31</f>
        <v>1068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도두리마을동보</v>
      </c>
      <c r="AI31" s="106">
        <f>IF(E31="","",E31)</f>
        <v>24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작전동 유호('95.03.,299^)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1502</v>
      </c>
      <c r="B33" s="16" t="s">
        <v>1503</v>
      </c>
      <c r="C33" s="28">
        <v>299</v>
      </c>
      <c r="D33" s="25">
        <v>80.099999999999994</v>
      </c>
      <c r="E33" s="106">
        <v>24</v>
      </c>
      <c r="F33" s="25">
        <v>59.6</v>
      </c>
      <c r="G33" s="27">
        <v>18</v>
      </c>
      <c r="H33" s="28">
        <v>125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1384</v>
      </c>
      <c r="T33" s="8">
        <v>80</v>
      </c>
      <c r="U33" s="13"/>
      <c r="W33" s="25">
        <f>D33</f>
        <v>80.099999999999994</v>
      </c>
      <c r="X33" s="106">
        <f>E33</f>
        <v>24</v>
      </c>
      <c r="Y33" s="32">
        <f>H33</f>
        <v>125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3/1</v>
      </c>
      <c r="AH33" s="36" t="str">
        <f>IF(A33="","",A33)</f>
        <v>유호</v>
      </c>
      <c r="AI33" s="106">
        <f>IF(E33="","",E33)</f>
        <v>24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1502</v>
      </c>
      <c r="B34" s="16" t="s">
        <v>1503</v>
      </c>
      <c r="C34" s="28">
        <v>299</v>
      </c>
      <c r="D34" s="25">
        <v>105.6</v>
      </c>
      <c r="E34" s="106">
        <v>32</v>
      </c>
      <c r="F34" s="25">
        <v>84.9</v>
      </c>
      <c r="G34" s="27">
        <v>26</v>
      </c>
      <c r="H34" s="28">
        <v>174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64</v>
      </c>
      <c r="T34" s="8">
        <v>105</v>
      </c>
      <c r="U34" s="13"/>
      <c r="W34" s="25">
        <f>D34</f>
        <v>105.6</v>
      </c>
      <c r="X34" s="106">
        <f>E34</f>
        <v>32</v>
      </c>
      <c r="Y34" s="32">
        <f>H34</f>
        <v>174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유호</v>
      </c>
      <c r="AI34" s="106">
        <f>IF(E34="","",E34)</f>
        <v>32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작전동 도두리마을대동('97.09.,1299^)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1504</v>
      </c>
      <c r="B36" s="16" t="s">
        <v>1505</v>
      </c>
      <c r="C36" s="28">
        <v>1299</v>
      </c>
      <c r="D36" s="25">
        <v>56.3</v>
      </c>
      <c r="E36" s="106">
        <v>17</v>
      </c>
      <c r="F36" s="25">
        <v>40.1</v>
      </c>
      <c r="G36" s="27">
        <v>12</v>
      </c>
      <c r="H36" s="28">
        <v>597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1</v>
      </c>
      <c r="S36" s="113" t="s">
        <v>1384</v>
      </c>
      <c r="T36" s="8">
        <v>56</v>
      </c>
      <c r="U36" s="13"/>
      <c r="W36" s="25">
        <f>D36</f>
        <v>56.3</v>
      </c>
      <c r="X36" s="106">
        <f>E36</f>
        <v>17</v>
      </c>
      <c r="Y36" s="32">
        <f>H36</f>
        <v>597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복</v>
      </c>
      <c r="AF36" s="15" t="str">
        <f>Q36&amp;"/"&amp;R36</f>
        <v>2/1</v>
      </c>
      <c r="AH36" s="36" t="str">
        <f>IF(A36="","",A36)</f>
        <v>도두리마을대동</v>
      </c>
      <c r="AI36" s="106">
        <f>IF(E36="","",E36)</f>
        <v>17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1504</v>
      </c>
      <c r="B37" s="16" t="s">
        <v>1505</v>
      </c>
      <c r="C37" s="28">
        <v>1299</v>
      </c>
      <c r="D37" s="25">
        <v>80.900000000000006</v>
      </c>
      <c r="E37" s="106">
        <v>24</v>
      </c>
      <c r="F37" s="25">
        <v>59.8</v>
      </c>
      <c r="G37" s="27">
        <v>18</v>
      </c>
      <c r="H37" s="28">
        <v>702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1</v>
      </c>
      <c r="S37" s="113" t="s">
        <v>64</v>
      </c>
      <c r="T37" s="8">
        <v>80</v>
      </c>
      <c r="U37" s="13"/>
      <c r="W37" s="25">
        <f>D37</f>
        <v>80.900000000000006</v>
      </c>
      <c r="X37" s="106">
        <f>E37</f>
        <v>24</v>
      </c>
      <c r="Y37" s="32">
        <f>H37</f>
        <v>702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3/1</v>
      </c>
      <c r="AH37" s="36" t="str">
        <f>IF(A37="","",A37)</f>
        <v>도두리마을대동</v>
      </c>
      <c r="AI37" s="106">
        <f>IF(E37="","",E37)</f>
        <v>24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작전동 작전동보2차('00.05.,502^)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1506</v>
      </c>
      <c r="B39" s="16" t="s">
        <v>1507</v>
      </c>
      <c r="C39" s="28">
        <v>502</v>
      </c>
      <c r="D39" s="25">
        <v>112.3</v>
      </c>
      <c r="E39" s="106">
        <v>34</v>
      </c>
      <c r="F39" s="25">
        <v>84.9</v>
      </c>
      <c r="G39" s="27">
        <v>26</v>
      </c>
      <c r="H39" s="28">
        <v>468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64</v>
      </c>
      <c r="T39" s="8">
        <v>112</v>
      </c>
      <c r="U39" s="13"/>
      <c r="W39" s="25">
        <f>D39</f>
        <v>112.3</v>
      </c>
      <c r="X39" s="106">
        <f>E39</f>
        <v>34</v>
      </c>
      <c r="Y39" s="32">
        <f>H39</f>
        <v>468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작전동보2차</v>
      </c>
      <c r="AI39" s="106">
        <f>IF(E39="","",E39)</f>
        <v>34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1506</v>
      </c>
      <c r="B40" s="16" t="s">
        <v>1507</v>
      </c>
      <c r="C40" s="28">
        <v>502</v>
      </c>
      <c r="D40" s="25">
        <v>275.7</v>
      </c>
      <c r="E40" s="106">
        <v>83</v>
      </c>
      <c r="F40" s="25">
        <v>234</v>
      </c>
      <c r="G40" s="27">
        <v>71</v>
      </c>
      <c r="H40" s="28">
        <v>34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5</v>
      </c>
      <c r="R40" s="15">
        <v>2</v>
      </c>
      <c r="S40" s="113" t="s">
        <v>64</v>
      </c>
      <c r="T40" s="8">
        <v>275</v>
      </c>
      <c r="U40" s="13"/>
      <c r="W40" s="25">
        <f>D40</f>
        <v>275.7</v>
      </c>
      <c r="X40" s="106">
        <f>E40</f>
        <v>83</v>
      </c>
      <c r="Y40" s="32">
        <f>H40</f>
        <v>34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5/2</v>
      </c>
      <c r="AH40" s="36" t="str">
        <f>IF(A40="","",A40)</f>
        <v>작전동보2차</v>
      </c>
      <c r="AI40" s="106">
        <f>IF(E40="","",E40)</f>
        <v>83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작전동 동보1차('95.04.,1187^)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1508</v>
      </c>
      <c r="B42" s="16" t="s">
        <v>1509</v>
      </c>
      <c r="C42" s="28">
        <v>1187</v>
      </c>
      <c r="D42" s="25">
        <v>82.2</v>
      </c>
      <c r="E42" s="106">
        <v>25</v>
      </c>
      <c r="F42" s="25">
        <v>60</v>
      </c>
      <c r="G42" s="27">
        <v>18</v>
      </c>
      <c r="H42" s="28">
        <v>475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1384</v>
      </c>
      <c r="T42" s="8">
        <v>82</v>
      </c>
      <c r="U42" s="13"/>
      <c r="W42" s="25">
        <f>D42</f>
        <v>82.2</v>
      </c>
      <c r="X42" s="106">
        <f>E42</f>
        <v>25</v>
      </c>
      <c r="Y42" s="32">
        <f>H42</f>
        <v>475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복</v>
      </c>
      <c r="AF42" s="15" t="str">
        <f>Q42&amp;"/"&amp;R42</f>
        <v>3/1</v>
      </c>
      <c r="AH42" s="36" t="str">
        <f>IF(A42="","",A42)</f>
        <v>동보1차</v>
      </c>
      <c r="AI42" s="106">
        <f>IF(E42="","",E42)</f>
        <v>25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1508</v>
      </c>
      <c r="B43" s="16" t="s">
        <v>1509</v>
      </c>
      <c r="C43" s="28">
        <v>1187</v>
      </c>
      <c r="D43" s="25">
        <v>102.3</v>
      </c>
      <c r="E43" s="106">
        <v>31</v>
      </c>
      <c r="F43" s="25">
        <v>84.6</v>
      </c>
      <c r="G43" s="27">
        <v>26</v>
      </c>
      <c r="H43" s="28">
        <v>632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64</v>
      </c>
      <c r="T43" s="8">
        <v>102</v>
      </c>
      <c r="U43" s="13"/>
      <c r="W43" s="25">
        <f>D43</f>
        <v>102.3</v>
      </c>
      <c r="X43" s="106">
        <f>E43</f>
        <v>31</v>
      </c>
      <c r="Y43" s="32">
        <f>H43</f>
        <v>632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동보1차</v>
      </c>
      <c r="AI43" s="106">
        <f>IF(E43="","",E43)</f>
        <v>31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1508</v>
      </c>
      <c r="B44" s="16" t="s">
        <v>1509</v>
      </c>
      <c r="C44" s="28">
        <v>1187</v>
      </c>
      <c r="D44" s="25">
        <v>137.69999999999999</v>
      </c>
      <c r="E44" s="106">
        <v>42</v>
      </c>
      <c r="F44" s="25">
        <v>118.4</v>
      </c>
      <c r="G44" s="27">
        <v>36</v>
      </c>
      <c r="H44" s="28">
        <v>80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64</v>
      </c>
      <c r="T44" s="8">
        <v>137</v>
      </c>
      <c r="U44" s="13"/>
      <c r="W44" s="25">
        <f>D44</f>
        <v>137.69999999999999</v>
      </c>
      <c r="X44" s="106">
        <f>E44</f>
        <v>42</v>
      </c>
      <c r="Y44" s="32">
        <f>H44</f>
        <v>80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동보1차</v>
      </c>
      <c r="AI44" s="106">
        <f>IF(E44="","",E44)</f>
        <v>42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작전동 신진('87.12.,410^)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1510</v>
      </c>
      <c r="B46" s="16" t="s">
        <v>1511</v>
      </c>
      <c r="C46" s="28">
        <v>410</v>
      </c>
      <c r="D46" s="25">
        <v>52.4</v>
      </c>
      <c r="E46" s="106">
        <v>16</v>
      </c>
      <c r="F46" s="25">
        <v>40.700000000000003</v>
      </c>
      <c r="G46" s="27">
        <v>12</v>
      </c>
      <c r="H46" s="28">
        <v>220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64</v>
      </c>
      <c r="T46" s="8">
        <v>52</v>
      </c>
      <c r="U46" s="13"/>
      <c r="W46" s="25">
        <f>D46</f>
        <v>52.4</v>
      </c>
      <c r="X46" s="106">
        <f>E46</f>
        <v>16</v>
      </c>
      <c r="Y46" s="32">
        <f>H46</f>
        <v>220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2/1</v>
      </c>
      <c r="AH46" s="36" t="str">
        <f>IF(A46="","",A46)</f>
        <v>신진</v>
      </c>
      <c r="AI46" s="106">
        <f>IF(E46="","",E46)</f>
        <v>16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1510</v>
      </c>
      <c r="B47" s="16" t="s">
        <v>1511</v>
      </c>
      <c r="C47" s="28">
        <v>410</v>
      </c>
      <c r="D47" s="25">
        <v>55.6</v>
      </c>
      <c r="E47" s="106">
        <v>17</v>
      </c>
      <c r="F47" s="25">
        <v>43.2</v>
      </c>
      <c r="G47" s="27">
        <v>13</v>
      </c>
      <c r="H47" s="28">
        <v>100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64</v>
      </c>
      <c r="T47" s="8" t="s">
        <v>210</v>
      </c>
      <c r="U47" s="13"/>
      <c r="W47" s="25">
        <f>D47</f>
        <v>55.6</v>
      </c>
      <c r="X47" s="106">
        <f>E47</f>
        <v>17</v>
      </c>
      <c r="Y47" s="32">
        <f>H47</f>
        <v>100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2/1</v>
      </c>
      <c r="AH47" s="36" t="str">
        <f>IF(A47="","",A47)</f>
        <v>신진</v>
      </c>
      <c r="AI47" s="106">
        <f>IF(E47="","",E47)</f>
        <v>17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1510</v>
      </c>
      <c r="B48" s="16" t="s">
        <v>1511</v>
      </c>
      <c r="C48" s="28">
        <v>410</v>
      </c>
      <c r="D48" s="25">
        <v>55.2</v>
      </c>
      <c r="E48" s="106">
        <v>17</v>
      </c>
      <c r="F48" s="25">
        <v>43.4</v>
      </c>
      <c r="G48" s="27">
        <v>13</v>
      </c>
      <c r="H48" s="28">
        <v>90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2</v>
      </c>
      <c r="R48" s="15">
        <v>1</v>
      </c>
      <c r="S48" s="113" t="s">
        <v>64</v>
      </c>
      <c r="T48" s="8" t="s">
        <v>206</v>
      </c>
      <c r="U48" s="13"/>
      <c r="W48" s="25">
        <f>D48</f>
        <v>55.2</v>
      </c>
      <c r="X48" s="106">
        <f>E48</f>
        <v>17</v>
      </c>
      <c r="Y48" s="32">
        <f>H48</f>
        <v>90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2/1</v>
      </c>
      <c r="AH48" s="36" t="str">
        <f>IF(A48="","",A48)</f>
        <v>신진</v>
      </c>
      <c r="AI48" s="106">
        <f>IF(E48="","",E48)</f>
        <v>17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작전동 작전풍림아이원('03.01.,468^)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1512</v>
      </c>
      <c r="B50" s="16" t="s">
        <v>1513</v>
      </c>
      <c r="C50" s="28">
        <v>468</v>
      </c>
      <c r="D50" s="25">
        <v>89.6</v>
      </c>
      <c r="E50" s="106">
        <v>27</v>
      </c>
      <c r="F50" s="25">
        <v>68.3</v>
      </c>
      <c r="G50" s="27">
        <v>21</v>
      </c>
      <c r="H50" s="28">
        <v>164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>
        <v>89</v>
      </c>
      <c r="U50" s="13"/>
      <c r="W50" s="25">
        <f>D50</f>
        <v>89.6</v>
      </c>
      <c r="X50" s="106">
        <f>E50</f>
        <v>27</v>
      </c>
      <c r="Y50" s="32">
        <f>H50</f>
        <v>164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작전풍림아이원</v>
      </c>
      <c r="AI50" s="106">
        <f>IF(E50="","",E50)</f>
        <v>27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1512</v>
      </c>
      <c r="B51" s="16" t="s">
        <v>1513</v>
      </c>
      <c r="C51" s="28">
        <v>468</v>
      </c>
      <c r="D51" s="25">
        <v>109.6</v>
      </c>
      <c r="E51" s="106">
        <v>33</v>
      </c>
      <c r="F51" s="25">
        <v>84.9</v>
      </c>
      <c r="G51" s="27">
        <v>26</v>
      </c>
      <c r="H51" s="28">
        <v>304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>
        <v>109</v>
      </c>
      <c r="U51" s="13"/>
      <c r="W51" s="25">
        <f>D51</f>
        <v>109.6</v>
      </c>
      <c r="X51" s="106">
        <f>E51</f>
        <v>33</v>
      </c>
      <c r="Y51" s="32">
        <f>H51</f>
        <v>304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작전풍림아이원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작전동 한국('98.03.,250^)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1514</v>
      </c>
      <c r="B53" s="16" t="s">
        <v>1515</v>
      </c>
      <c r="C53" s="28">
        <v>250</v>
      </c>
      <c r="D53" s="25">
        <v>85.4</v>
      </c>
      <c r="E53" s="106">
        <v>26</v>
      </c>
      <c r="F53" s="25">
        <v>60</v>
      </c>
      <c r="G53" s="27">
        <v>18</v>
      </c>
      <c r="H53" s="28">
        <v>152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1384</v>
      </c>
      <c r="T53" s="8">
        <v>85</v>
      </c>
      <c r="U53" s="13"/>
      <c r="W53" s="25">
        <f>D53</f>
        <v>85.4</v>
      </c>
      <c r="X53" s="106">
        <f>E53</f>
        <v>26</v>
      </c>
      <c r="Y53" s="32">
        <f>H53</f>
        <v>152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복</v>
      </c>
      <c r="AF53" s="15" t="str">
        <f>Q53&amp;"/"&amp;R53</f>
        <v>3/1</v>
      </c>
      <c r="AH53" s="36" t="str">
        <f>IF(A53="","",A53)</f>
        <v>한국</v>
      </c>
      <c r="AI53" s="106">
        <f>IF(E53="","",E53)</f>
        <v>26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X</v>
      </c>
      <c r="AV53" s="113" t="str">
        <f>IF(AO53="","",IF(AND(AO53="O",AP53="O",AR53="O",AT53="O",AU53="O"),"후보","X"))</f>
        <v/>
      </c>
    </row>
    <row r="54" spans="1:48" x14ac:dyDescent="0.3">
      <c r="A54" s="5" t="s">
        <v>1514</v>
      </c>
      <c r="B54" s="16" t="s">
        <v>1515</v>
      </c>
      <c r="C54" s="28">
        <v>250</v>
      </c>
      <c r="D54" s="25">
        <v>108.7</v>
      </c>
      <c r="E54" s="106">
        <v>33</v>
      </c>
      <c r="F54" s="25">
        <v>84.9</v>
      </c>
      <c r="G54" s="27">
        <v>26</v>
      </c>
      <c r="H54" s="28">
        <v>98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>
        <v>108</v>
      </c>
      <c r="U54" s="13"/>
      <c r="W54" s="25">
        <f>D54</f>
        <v>108.7</v>
      </c>
      <c r="X54" s="106">
        <f>E54</f>
        <v>33</v>
      </c>
      <c r="Y54" s="32">
        <f>H54</f>
        <v>98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한국</v>
      </c>
      <c r="AI54" s="106">
        <f>IF(E54="","",E54)</f>
        <v>33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X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작전동 미도('90.11.,480^)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1516</v>
      </c>
      <c r="B56" s="16" t="s">
        <v>1517</v>
      </c>
      <c r="C56" s="28">
        <v>480</v>
      </c>
      <c r="D56" s="25">
        <v>80.3</v>
      </c>
      <c r="E56" s="106">
        <v>24</v>
      </c>
      <c r="F56" s="25">
        <v>59.9</v>
      </c>
      <c r="G56" s="27">
        <v>18</v>
      </c>
      <c r="H56" s="28">
        <v>90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1384</v>
      </c>
      <c r="T56" s="8">
        <v>80</v>
      </c>
      <c r="U56" s="13"/>
      <c r="W56" s="25">
        <f>D56</f>
        <v>80.3</v>
      </c>
      <c r="X56" s="106">
        <f>E56</f>
        <v>24</v>
      </c>
      <c r="Y56" s="32">
        <f>H56</f>
        <v>90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3/1</v>
      </c>
      <c r="AH56" s="36" t="str">
        <f>IF(A56="","",A56)</f>
        <v>미도</v>
      </c>
      <c r="AI56" s="106">
        <f>IF(E56="","",E56)</f>
        <v>24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1516</v>
      </c>
      <c r="B57" s="16" t="s">
        <v>1517</v>
      </c>
      <c r="C57" s="28">
        <v>480</v>
      </c>
      <c r="D57" s="25">
        <v>91.3</v>
      </c>
      <c r="E57" s="106">
        <v>28</v>
      </c>
      <c r="F57" s="25">
        <v>72.099999999999994</v>
      </c>
      <c r="G57" s="27">
        <v>22</v>
      </c>
      <c r="H57" s="28">
        <v>30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1384</v>
      </c>
      <c r="T57" s="8">
        <v>91</v>
      </c>
      <c r="U57" s="13"/>
      <c r="W57" s="25">
        <f>D57</f>
        <v>91.3</v>
      </c>
      <c r="X57" s="106">
        <f>E57</f>
        <v>28</v>
      </c>
      <c r="Y57" s="32">
        <f>H57</f>
        <v>30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복</v>
      </c>
      <c r="AF57" s="15" t="str">
        <f>Q57&amp;"/"&amp;R57</f>
        <v>3/1</v>
      </c>
      <c r="AH57" s="36" t="str">
        <f>IF(A57="","",A57)</f>
        <v>미도</v>
      </c>
      <c r="AI57" s="106">
        <f>IF(E57="","",E57)</f>
        <v>28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1516</v>
      </c>
      <c r="B58" s="16" t="s">
        <v>1517</v>
      </c>
      <c r="C58" s="28">
        <v>480</v>
      </c>
      <c r="D58" s="25">
        <v>97.9</v>
      </c>
      <c r="E58" s="106">
        <v>30</v>
      </c>
      <c r="F58" s="25">
        <v>81.5</v>
      </c>
      <c r="G58" s="27">
        <v>25</v>
      </c>
      <c r="H58" s="28">
        <v>180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64</v>
      </c>
      <c r="T58" s="8">
        <v>97</v>
      </c>
      <c r="U58" s="13"/>
      <c r="W58" s="25">
        <f>D58</f>
        <v>97.9</v>
      </c>
      <c r="X58" s="106">
        <f>E58</f>
        <v>30</v>
      </c>
      <c r="Y58" s="32">
        <f>H58</f>
        <v>180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3/1</v>
      </c>
      <c r="AH58" s="36" t="str">
        <f>IF(A58="","",A58)</f>
        <v>미도</v>
      </c>
      <c r="AI58" s="106">
        <f>IF(E58="","",E58)</f>
        <v>30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1516</v>
      </c>
      <c r="B59" s="16" t="s">
        <v>1517</v>
      </c>
      <c r="C59" s="28">
        <v>480</v>
      </c>
      <c r="D59" s="25">
        <v>101.2</v>
      </c>
      <c r="E59" s="106">
        <v>31</v>
      </c>
      <c r="F59" s="25">
        <v>85</v>
      </c>
      <c r="G59" s="27">
        <v>26</v>
      </c>
      <c r="H59" s="28">
        <v>150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3" t="s">
        <v>64</v>
      </c>
      <c r="T59" s="8" t="s">
        <v>370</v>
      </c>
      <c r="U59" s="13"/>
      <c r="W59" s="25">
        <f>D59</f>
        <v>101.2</v>
      </c>
      <c r="X59" s="106">
        <f>E59</f>
        <v>31</v>
      </c>
      <c r="Y59" s="32">
        <f>H59</f>
        <v>150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3/1</v>
      </c>
      <c r="AH59" s="36" t="str">
        <f>IF(A59="","",A59)</f>
        <v>미도</v>
      </c>
      <c r="AI59" s="106">
        <f>IF(E59="","",E59)</f>
        <v>31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1516</v>
      </c>
      <c r="B60" s="16" t="s">
        <v>1517</v>
      </c>
      <c r="C60" s="28">
        <v>480</v>
      </c>
      <c r="D60" s="25">
        <v>102.3</v>
      </c>
      <c r="E60" s="106">
        <v>31</v>
      </c>
      <c r="F60" s="25">
        <v>80.8</v>
      </c>
      <c r="G60" s="27">
        <v>24</v>
      </c>
      <c r="H60" s="28">
        <v>30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1</v>
      </c>
      <c r="S60" s="113" t="s">
        <v>1384</v>
      </c>
      <c r="T60" s="8" t="s">
        <v>372</v>
      </c>
      <c r="U60" s="13"/>
      <c r="W60" s="25">
        <f>D60</f>
        <v>102.3</v>
      </c>
      <c r="X60" s="106">
        <f>E60</f>
        <v>31</v>
      </c>
      <c r="Y60" s="32">
        <f>H60</f>
        <v>30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복</v>
      </c>
      <c r="AF60" s="15" t="str">
        <f>Q60&amp;"/"&amp;R60</f>
        <v>3/1</v>
      </c>
      <c r="AH60" s="36" t="str">
        <f>IF(A60="","",A60)</f>
        <v>미도</v>
      </c>
      <c r="AI60" s="106">
        <f>IF(E60="","",E60)</f>
        <v>31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작전동 작전뉴서울2차('92.11.,400^)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1518</v>
      </c>
      <c r="B62" s="16" t="s">
        <v>1497</v>
      </c>
      <c r="C62" s="28">
        <v>400</v>
      </c>
      <c r="D62" s="25">
        <v>90.3</v>
      </c>
      <c r="E62" s="106">
        <v>27</v>
      </c>
      <c r="F62" s="25">
        <v>74.3</v>
      </c>
      <c r="G62" s="27">
        <v>22</v>
      </c>
      <c r="H62" s="28">
        <v>80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64</v>
      </c>
      <c r="T62" s="8">
        <v>90</v>
      </c>
      <c r="U62" s="13"/>
      <c r="W62" s="25">
        <f>D62</f>
        <v>90.3</v>
      </c>
      <c r="X62" s="106">
        <f>E62</f>
        <v>27</v>
      </c>
      <c r="Y62" s="32">
        <f>H62</f>
        <v>80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3/1</v>
      </c>
      <c r="AH62" s="36" t="str">
        <f>IF(A62="","",A62)</f>
        <v>작전뉴서울2차</v>
      </c>
      <c r="AI62" s="106">
        <f>IF(E62="","",E62)</f>
        <v>27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1518</v>
      </c>
      <c r="B63" s="16" t="s">
        <v>1497</v>
      </c>
      <c r="C63" s="28">
        <v>400</v>
      </c>
      <c r="D63" s="25">
        <v>100.2</v>
      </c>
      <c r="E63" s="106">
        <v>30</v>
      </c>
      <c r="F63" s="25">
        <v>84.3</v>
      </c>
      <c r="G63" s="27">
        <v>25</v>
      </c>
      <c r="H63" s="28">
        <v>320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64</v>
      </c>
      <c r="T63" s="8">
        <v>100</v>
      </c>
      <c r="U63" s="13"/>
      <c r="W63" s="25">
        <f>D63</f>
        <v>100.2</v>
      </c>
      <c r="X63" s="106">
        <f>E63</f>
        <v>30</v>
      </c>
      <c r="Y63" s="32">
        <f>H63</f>
        <v>320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작전뉴서울2차</v>
      </c>
      <c r="AI63" s="106">
        <f>IF(E63="","",E63)</f>
        <v>30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작전동 현대2-1차('91.10.,840^)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1519</v>
      </c>
      <c r="B65" s="16" t="s">
        <v>1520</v>
      </c>
      <c r="C65" s="28">
        <v>840</v>
      </c>
      <c r="D65" s="25">
        <v>94.3</v>
      </c>
      <c r="E65" s="106">
        <v>29</v>
      </c>
      <c r="F65" s="25">
        <v>78</v>
      </c>
      <c r="G65" s="27">
        <v>24</v>
      </c>
      <c r="H65" s="28">
        <v>240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>
        <v>94</v>
      </c>
      <c r="U65" s="13"/>
      <c r="W65" s="25">
        <f>D65</f>
        <v>94.3</v>
      </c>
      <c r="X65" s="106">
        <f>E65</f>
        <v>29</v>
      </c>
      <c r="Y65" s="32">
        <f>H65</f>
        <v>240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현대2-1차</v>
      </c>
      <c r="AI65" s="106">
        <f>IF(E65="","",E65)</f>
        <v>29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1519</v>
      </c>
      <c r="B66" s="16" t="s">
        <v>1520</v>
      </c>
      <c r="C66" s="28">
        <v>840</v>
      </c>
      <c r="D66" s="25">
        <v>101.7</v>
      </c>
      <c r="E66" s="106">
        <v>31</v>
      </c>
      <c r="F66" s="25">
        <v>84.9</v>
      </c>
      <c r="G66" s="27">
        <v>26</v>
      </c>
      <c r="H66" s="28">
        <v>120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 t="s">
        <v>370</v>
      </c>
      <c r="U66" s="13"/>
      <c r="W66" s="25">
        <f>D66</f>
        <v>101.7</v>
      </c>
      <c r="X66" s="106">
        <f>E66</f>
        <v>31</v>
      </c>
      <c r="Y66" s="32">
        <f>H66</f>
        <v>120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현대2-1차</v>
      </c>
      <c r="AI66" s="106">
        <f>IF(E66="","",E66)</f>
        <v>31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1519</v>
      </c>
      <c r="B67" s="16" t="s">
        <v>1520</v>
      </c>
      <c r="C67" s="28">
        <v>840</v>
      </c>
      <c r="D67" s="25">
        <v>102.2</v>
      </c>
      <c r="E67" s="106">
        <v>31</v>
      </c>
      <c r="F67" s="25">
        <v>85</v>
      </c>
      <c r="G67" s="27">
        <v>26</v>
      </c>
      <c r="H67" s="28">
        <v>480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 t="s">
        <v>372</v>
      </c>
      <c r="U67" s="13"/>
      <c r="W67" s="25">
        <f>D67</f>
        <v>102.2</v>
      </c>
      <c r="X67" s="106">
        <f>E67</f>
        <v>31</v>
      </c>
      <c r="Y67" s="32">
        <f>H67</f>
        <v>480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현대2-1차</v>
      </c>
      <c r="AI67" s="106">
        <f>IF(E67="","",E67)</f>
        <v>31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작전동 삼보('94.02.,454^)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1521</v>
      </c>
      <c r="B69" s="16" t="s">
        <v>1522</v>
      </c>
      <c r="C69" s="28">
        <v>454</v>
      </c>
      <c r="D69" s="25">
        <v>84.1</v>
      </c>
      <c r="E69" s="106">
        <v>25</v>
      </c>
      <c r="F69" s="25">
        <v>59.9</v>
      </c>
      <c r="G69" s="27">
        <v>18</v>
      </c>
      <c r="H69" s="28">
        <v>216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2</v>
      </c>
      <c r="R69" s="15">
        <v>1</v>
      </c>
      <c r="S69" s="113" t="s">
        <v>1384</v>
      </c>
      <c r="T69" s="8">
        <v>84</v>
      </c>
      <c r="U69" s="13"/>
      <c r="W69" s="25">
        <f>D69</f>
        <v>84.1</v>
      </c>
      <c r="X69" s="106">
        <f>E69</f>
        <v>25</v>
      </c>
      <c r="Y69" s="32">
        <f>H69</f>
        <v>216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복</v>
      </c>
      <c r="AF69" s="15" t="str">
        <f>Q69&amp;"/"&amp;R69</f>
        <v>2/1</v>
      </c>
      <c r="AH69" s="36" t="str">
        <f>IF(A69="","",A69)</f>
        <v>삼보</v>
      </c>
      <c r="AI69" s="106">
        <f>IF(E69="","",E69)</f>
        <v>25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1521</v>
      </c>
      <c r="B70" s="16" t="s">
        <v>1522</v>
      </c>
      <c r="C70" s="28">
        <v>454</v>
      </c>
      <c r="D70" s="25">
        <v>102.4</v>
      </c>
      <c r="E70" s="106">
        <v>31</v>
      </c>
      <c r="F70" s="25">
        <v>84.8</v>
      </c>
      <c r="G70" s="27">
        <v>26</v>
      </c>
      <c r="H70" s="28">
        <v>30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>
        <v>102</v>
      </c>
      <c r="U70" s="13"/>
      <c r="W70" s="25">
        <f>D70</f>
        <v>102.4</v>
      </c>
      <c r="X70" s="106">
        <f>E70</f>
        <v>31</v>
      </c>
      <c r="Y70" s="32">
        <f>H70</f>
        <v>30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삼보</v>
      </c>
      <c r="AI70" s="106">
        <f>IF(E70="","",E70)</f>
        <v>31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1521</v>
      </c>
      <c r="B71" s="16" t="s">
        <v>1522</v>
      </c>
      <c r="C71" s="28">
        <v>454</v>
      </c>
      <c r="D71" s="25">
        <v>105</v>
      </c>
      <c r="E71" s="106">
        <v>32</v>
      </c>
      <c r="F71" s="25">
        <v>84.8</v>
      </c>
      <c r="G71" s="27">
        <v>26</v>
      </c>
      <c r="H71" s="28">
        <v>182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 t="s">
        <v>939</v>
      </c>
      <c r="U71" s="13"/>
      <c r="W71" s="25">
        <f>D71</f>
        <v>105</v>
      </c>
      <c r="X71" s="106">
        <f>E71</f>
        <v>32</v>
      </c>
      <c r="Y71" s="32">
        <f>H71</f>
        <v>182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삼보</v>
      </c>
      <c r="AI71" s="106">
        <f>IF(E71="","",E71)</f>
        <v>32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1521</v>
      </c>
      <c r="B72" s="16" t="s">
        <v>1522</v>
      </c>
      <c r="C72" s="28">
        <v>454</v>
      </c>
      <c r="D72" s="25">
        <v>105.3</v>
      </c>
      <c r="E72" s="106">
        <v>32</v>
      </c>
      <c r="F72" s="25">
        <v>85</v>
      </c>
      <c r="G72" s="27">
        <v>26</v>
      </c>
      <c r="H72" s="28">
        <v>26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64</v>
      </c>
      <c r="T72" s="8" t="s">
        <v>862</v>
      </c>
      <c r="U72" s="13"/>
      <c r="W72" s="25">
        <f>D72</f>
        <v>105.3</v>
      </c>
      <c r="X72" s="106">
        <f>E72</f>
        <v>32</v>
      </c>
      <c r="Y72" s="32">
        <f>H72</f>
        <v>26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삼보</v>
      </c>
      <c r="AI72" s="106">
        <f>IF(E72="","",E72)</f>
        <v>32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작전동 무지개('89.06.,240^)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1523</v>
      </c>
      <c r="B74" s="16" t="s">
        <v>1524</v>
      </c>
      <c r="C74" s="28">
        <v>240</v>
      </c>
      <c r="D74" s="25">
        <v>52</v>
      </c>
      <c r="E74" s="106">
        <v>16</v>
      </c>
      <c r="F74" s="25">
        <v>39.200000000000003</v>
      </c>
      <c r="G74" s="27">
        <v>12</v>
      </c>
      <c r="H74" s="28">
        <v>60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2</v>
      </c>
      <c r="R74" s="15">
        <v>1</v>
      </c>
      <c r="S74" s="113" t="s">
        <v>1384</v>
      </c>
      <c r="T74" s="8">
        <v>51</v>
      </c>
      <c r="U74" s="13"/>
      <c r="W74" s="25">
        <f>D74</f>
        <v>52</v>
      </c>
      <c r="X74" s="106">
        <f>E74</f>
        <v>16</v>
      </c>
      <c r="Y74" s="32">
        <f>H74</f>
        <v>60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복</v>
      </c>
      <c r="AF74" s="15" t="str">
        <f>Q74&amp;"/"&amp;R74</f>
        <v>2/1</v>
      </c>
      <c r="AH74" s="36" t="str">
        <f>IF(A74="","",A74)</f>
        <v>무지개</v>
      </c>
      <c r="AI74" s="106">
        <f>IF(E74="","",E74)</f>
        <v>16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X</v>
      </c>
      <c r="AV74" s="113" t="str">
        <f>IF(AO74="","",IF(AND(AO74="O",AP74="O",AR74="O",AT74="O",AU74="O"),"후보","X"))</f>
        <v/>
      </c>
    </row>
    <row r="75" spans="1:48" x14ac:dyDescent="0.3">
      <c r="A75" s="5" t="s">
        <v>1523</v>
      </c>
      <c r="B75" s="16" t="s">
        <v>1524</v>
      </c>
      <c r="C75" s="28">
        <v>240</v>
      </c>
      <c r="D75" s="25">
        <v>56.5</v>
      </c>
      <c r="E75" s="106">
        <v>17</v>
      </c>
      <c r="F75" s="25">
        <v>43.2</v>
      </c>
      <c r="G75" s="27">
        <v>13</v>
      </c>
      <c r="H75" s="28">
        <v>135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2</v>
      </c>
      <c r="R75" s="15">
        <v>1</v>
      </c>
      <c r="S75" s="113" t="s">
        <v>1384</v>
      </c>
      <c r="T75" s="8">
        <v>56</v>
      </c>
      <c r="U75" s="13"/>
      <c r="W75" s="25">
        <f>D75</f>
        <v>56.5</v>
      </c>
      <c r="X75" s="106">
        <f>E75</f>
        <v>17</v>
      </c>
      <c r="Y75" s="32">
        <f>H75</f>
        <v>135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복</v>
      </c>
      <c r="AF75" s="15" t="str">
        <f>Q75&amp;"/"&amp;R75</f>
        <v>2/1</v>
      </c>
      <c r="AH75" s="36" t="str">
        <f>IF(A75="","",A75)</f>
        <v>무지개</v>
      </c>
      <c r="AI75" s="106">
        <f>IF(E75="","",E75)</f>
        <v>17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X</v>
      </c>
      <c r="AV75" s="113" t="str">
        <f>IF(AO75="","",IF(AND(AO75="O",AP75="O",AR75="O",AT75="O",AU75="O"),"후보","X"))</f>
        <v/>
      </c>
    </row>
    <row r="76" spans="1:48" x14ac:dyDescent="0.3">
      <c r="A76" s="5" t="s">
        <v>1523</v>
      </c>
      <c r="B76" s="16" t="s">
        <v>1524</v>
      </c>
      <c r="C76" s="28">
        <v>240</v>
      </c>
      <c r="D76" s="25">
        <v>78.599999999999994</v>
      </c>
      <c r="E76" s="106">
        <v>24</v>
      </c>
      <c r="F76" s="25">
        <v>59.6</v>
      </c>
      <c r="G76" s="27">
        <v>18</v>
      </c>
      <c r="H76" s="28">
        <v>45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1384</v>
      </c>
      <c r="T76" s="8">
        <v>78</v>
      </c>
      <c r="U76" s="13"/>
      <c r="W76" s="25">
        <f>D76</f>
        <v>78.599999999999994</v>
      </c>
      <c r="X76" s="106">
        <f>E76</f>
        <v>24</v>
      </c>
      <c r="Y76" s="32">
        <f>H76</f>
        <v>45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복</v>
      </c>
      <c r="AF76" s="15" t="str">
        <f>Q76&amp;"/"&amp;R76</f>
        <v>3/1</v>
      </c>
      <c r="AH76" s="36" t="str">
        <f>IF(A76="","",A76)</f>
        <v>무지개</v>
      </c>
      <c r="AI76" s="106">
        <f>IF(E76="","",E76)</f>
        <v>24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X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작전동 삼우('89.04.,264^)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1525</v>
      </c>
      <c r="B78" s="16" t="s">
        <v>1526</v>
      </c>
      <c r="C78" s="28">
        <v>264</v>
      </c>
      <c r="D78" s="25">
        <v>51.2</v>
      </c>
      <c r="E78" s="106">
        <v>15</v>
      </c>
      <c r="F78" s="25">
        <v>38.9</v>
      </c>
      <c r="G78" s="27">
        <v>12</v>
      </c>
      <c r="H78" s="28">
        <v>156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64</v>
      </c>
      <c r="T78" s="8" t="s">
        <v>959</v>
      </c>
      <c r="U78" s="13"/>
      <c r="W78" s="25">
        <f>D78</f>
        <v>51.2</v>
      </c>
      <c r="X78" s="106">
        <f>E78</f>
        <v>15</v>
      </c>
      <c r="Y78" s="32">
        <f>H78</f>
        <v>156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2/1</v>
      </c>
      <c r="AH78" s="36" t="str">
        <f>IF(A78="","",A78)</f>
        <v>삼우</v>
      </c>
      <c r="AI78" s="106">
        <f>IF(E78="","",E78)</f>
        <v>15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X</v>
      </c>
      <c r="AV78" s="113" t="str">
        <f>IF(AO78="","",IF(AND(AO78="O",AP78="O",AR78="O",AT78="O",AU78="O"),"후보","X"))</f>
        <v/>
      </c>
    </row>
    <row r="79" spans="1:48" x14ac:dyDescent="0.3">
      <c r="A79" s="5" t="s">
        <v>1527</v>
      </c>
      <c r="B79" s="16" t="s">
        <v>1526</v>
      </c>
      <c r="C79" s="28">
        <v>264</v>
      </c>
      <c r="D79" s="25">
        <v>52.3</v>
      </c>
      <c r="E79" s="106">
        <v>16</v>
      </c>
      <c r="F79" s="25">
        <v>39.799999999999997</v>
      </c>
      <c r="G79" s="27">
        <v>12</v>
      </c>
      <c r="H79" s="28">
        <v>12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2</v>
      </c>
      <c r="R79" s="15">
        <v>1</v>
      </c>
      <c r="S79" s="113" t="s">
        <v>64</v>
      </c>
      <c r="T79" s="8" t="s">
        <v>400</v>
      </c>
      <c r="U79" s="13"/>
      <c r="W79" s="25">
        <f>D79</f>
        <v>52.3</v>
      </c>
      <c r="X79" s="106">
        <f>E79</f>
        <v>16</v>
      </c>
      <c r="Y79" s="32">
        <f>H79</f>
        <v>12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2/1</v>
      </c>
      <c r="AH79" s="36" t="str">
        <f>IF(A79="","",A79)</f>
        <v>삼우</v>
      </c>
      <c r="AI79" s="106">
        <f>IF(E79="","",E79)</f>
        <v>16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X</v>
      </c>
      <c r="AV79" s="113" t="str">
        <f>IF(AO79="","",IF(AND(AO79="O",AP79="O",AR79="O",AT79="O",AU79="O"),"후보","X"))</f>
        <v/>
      </c>
    </row>
    <row r="80" spans="1:48" x14ac:dyDescent="0.3">
      <c r="A80" s="5" t="s">
        <v>1527</v>
      </c>
      <c r="B80" s="16" t="s">
        <v>1526</v>
      </c>
      <c r="C80" s="28">
        <v>264</v>
      </c>
      <c r="D80" s="25">
        <v>58.3</v>
      </c>
      <c r="E80" s="106">
        <v>18</v>
      </c>
      <c r="F80" s="25">
        <v>45</v>
      </c>
      <c r="G80" s="27">
        <v>14</v>
      </c>
      <c r="H80" s="28">
        <v>96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64</v>
      </c>
      <c r="T80" s="8">
        <v>58</v>
      </c>
      <c r="U80" s="13"/>
      <c r="W80" s="25">
        <f>D80</f>
        <v>58.3</v>
      </c>
      <c r="X80" s="106">
        <f>E80</f>
        <v>18</v>
      </c>
      <c r="Y80" s="32">
        <f>H80</f>
        <v>96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삼우</v>
      </c>
      <c r="AI80" s="106">
        <f>IF(E80="","",E80)</f>
        <v>18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X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작전동 뉴서울1차('88.05.,791^)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1528</v>
      </c>
      <c r="B82" s="16" t="s">
        <v>1529</v>
      </c>
      <c r="C82" s="28">
        <v>791</v>
      </c>
      <c r="D82" s="25">
        <v>52.5</v>
      </c>
      <c r="E82" s="106">
        <v>16</v>
      </c>
      <c r="F82" s="25">
        <v>39.6</v>
      </c>
      <c r="G82" s="27">
        <v>12</v>
      </c>
      <c r="H82" s="28">
        <v>288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2</v>
      </c>
      <c r="R82" s="15">
        <v>1</v>
      </c>
      <c r="S82" s="113" t="s">
        <v>1384</v>
      </c>
      <c r="T82" s="8" t="s">
        <v>400</v>
      </c>
      <c r="U82" s="13"/>
      <c r="W82" s="25">
        <f>D82</f>
        <v>52.5</v>
      </c>
      <c r="X82" s="106">
        <f>E82</f>
        <v>16</v>
      </c>
      <c r="Y82" s="32">
        <f>H82</f>
        <v>288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복</v>
      </c>
      <c r="AF82" s="15" t="str">
        <f>Q82&amp;"/"&amp;R82</f>
        <v>2/1</v>
      </c>
      <c r="AH82" s="36" t="str">
        <f>IF(A82="","",A82)</f>
        <v>뉴서울1차</v>
      </c>
      <c r="AI82" s="106">
        <f>IF(E82="","",E82)</f>
        <v>16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1528</v>
      </c>
      <c r="B83" s="16" t="s">
        <v>1529</v>
      </c>
      <c r="C83" s="28">
        <v>791</v>
      </c>
      <c r="D83" s="25">
        <v>57.1</v>
      </c>
      <c r="E83" s="106">
        <v>17</v>
      </c>
      <c r="F83" s="25">
        <v>39.200000000000003</v>
      </c>
      <c r="G83" s="27">
        <v>12</v>
      </c>
      <c r="H83" s="28">
        <v>503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2</v>
      </c>
      <c r="R83" s="15">
        <v>1</v>
      </c>
      <c r="S83" s="113" t="s">
        <v>1384</v>
      </c>
      <c r="T83" s="8" t="s">
        <v>326</v>
      </c>
      <c r="U83" s="13"/>
      <c r="W83" s="25">
        <f>D83</f>
        <v>57.1</v>
      </c>
      <c r="X83" s="106">
        <f>E83</f>
        <v>17</v>
      </c>
      <c r="Y83" s="32">
        <f>H83</f>
        <v>503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복</v>
      </c>
      <c r="AF83" s="15" t="str">
        <f>Q83&amp;"/"&amp;R83</f>
        <v>2/1</v>
      </c>
      <c r="AH83" s="36" t="str">
        <f>IF(A83="","",A83)</f>
        <v>뉴서울1차</v>
      </c>
      <c r="AI83" s="106">
        <f>IF(E83="","",E83)</f>
        <v>17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작전동 작전현대2-2차('93.12.,904^)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1530</v>
      </c>
      <c r="B85" s="16" t="s">
        <v>1531</v>
      </c>
      <c r="C85" s="28">
        <v>904</v>
      </c>
      <c r="D85" s="25">
        <v>104.5</v>
      </c>
      <c r="E85" s="106">
        <v>32</v>
      </c>
      <c r="F85" s="25">
        <v>84.9</v>
      </c>
      <c r="G85" s="27">
        <v>26</v>
      </c>
      <c r="H85" s="28">
        <v>648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>
        <v>104</v>
      </c>
      <c r="U85" s="13"/>
      <c r="W85" s="25">
        <f>D85</f>
        <v>104.5</v>
      </c>
      <c r="X85" s="106">
        <f>E85</f>
        <v>32</v>
      </c>
      <c r="Y85" s="32">
        <f>H85</f>
        <v>648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작전현대2-2차</v>
      </c>
      <c r="AI85" s="106">
        <f>IF(E85="","",E85)</f>
        <v>32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1530</v>
      </c>
      <c r="B86" s="16" t="s">
        <v>1531</v>
      </c>
      <c r="C86" s="28">
        <v>904</v>
      </c>
      <c r="D86" s="25">
        <v>168.2</v>
      </c>
      <c r="E86" s="106">
        <v>51</v>
      </c>
      <c r="F86" s="25">
        <v>136.80000000000001</v>
      </c>
      <c r="G86" s="27">
        <v>41</v>
      </c>
      <c r="H86" s="28">
        <v>128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64</v>
      </c>
      <c r="T86" s="8">
        <v>168</v>
      </c>
      <c r="U86" s="13"/>
      <c r="W86" s="25">
        <f>D86</f>
        <v>168.2</v>
      </c>
      <c r="X86" s="106">
        <f>E86</f>
        <v>51</v>
      </c>
      <c r="Y86" s="32">
        <f>H86</f>
        <v>128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작전현대2-2차</v>
      </c>
      <c r="AI86" s="106">
        <f>IF(E86="","",E86)</f>
        <v>51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1530</v>
      </c>
      <c r="B87" s="16" t="s">
        <v>1531</v>
      </c>
      <c r="C87" s="28">
        <v>904</v>
      </c>
      <c r="D87" s="25">
        <v>183.3</v>
      </c>
      <c r="E87" s="106">
        <v>55</v>
      </c>
      <c r="F87" s="25">
        <v>149</v>
      </c>
      <c r="G87" s="27">
        <v>45</v>
      </c>
      <c r="H87" s="28">
        <v>128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64</v>
      </c>
      <c r="T87" s="8">
        <v>183</v>
      </c>
      <c r="U87" s="13"/>
      <c r="W87" s="25">
        <f>D87</f>
        <v>183.3</v>
      </c>
      <c r="X87" s="106">
        <f>E87</f>
        <v>55</v>
      </c>
      <c r="Y87" s="32">
        <f>H87</f>
        <v>128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작전현대2-2차</v>
      </c>
      <c r="AI87" s="106">
        <f>IF(E87="","",E87)</f>
        <v>55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9"/>
      <c r="B88" s="113"/>
      <c r="C88" s="10"/>
      <c r="D88" s="13"/>
      <c r="E88" s="20"/>
      <c r="F88" s="26"/>
      <c r="G88" s="13"/>
      <c r="H88" s="13"/>
      <c r="I88" s="13"/>
      <c r="J88" s="13"/>
      <c r="K88" s="13"/>
      <c r="L88" s="13"/>
      <c r="M88" s="13"/>
      <c r="N88" s="13"/>
      <c r="O88" s="29"/>
      <c r="P88" s="29"/>
      <c r="Q88" s="23"/>
      <c r="R88" s="23"/>
      <c r="S88" s="13"/>
      <c r="T88" s="70"/>
      <c r="U88" s="13"/>
      <c r="W88" s="107" t="str">
        <f>$A$4&amp;" "&amp;A89&amp;"("&amp;B89&amp;","&amp;C89&amp;"^)"</f>
        <v>작전동 작전역서해그랑블('20.09.,280^)</v>
      </c>
      <c r="X88" s="108"/>
      <c r="Y88" s="108"/>
      <c r="Z88" s="108"/>
      <c r="AA88" s="108"/>
      <c r="AB88" s="108"/>
      <c r="AC88" s="108"/>
      <c r="AD88" s="108"/>
      <c r="AE88" s="108"/>
      <c r="AF88" s="109"/>
      <c r="AH88" s="36" t="str">
        <f>IF(A88="","",A88)</f>
        <v/>
      </c>
      <c r="AI88" s="37" t="str">
        <f>IF(E88="","",E88)</f>
        <v/>
      </c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</row>
    <row r="89" spans="1:48" x14ac:dyDescent="0.3">
      <c r="A89" s="5" t="s">
        <v>1532</v>
      </c>
      <c r="B89" s="16" t="s">
        <v>1533</v>
      </c>
      <c r="C89" s="28">
        <v>280</v>
      </c>
      <c r="D89" s="25">
        <v>66</v>
      </c>
      <c r="E89" s="106">
        <v>20</v>
      </c>
      <c r="F89" s="25">
        <v>49.6</v>
      </c>
      <c r="G89" s="27">
        <v>15</v>
      </c>
      <c r="H89" s="28">
        <v>32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2</v>
      </c>
      <c r="R89" s="15">
        <v>1</v>
      </c>
      <c r="S89" s="113" t="s">
        <v>64</v>
      </c>
      <c r="T89" s="8">
        <v>65</v>
      </c>
      <c r="U89" s="13"/>
      <c r="W89" s="25">
        <f>D89</f>
        <v>66</v>
      </c>
      <c r="X89" s="106">
        <f>E89</f>
        <v>20</v>
      </c>
      <c r="Y89" s="32">
        <f>H89</f>
        <v>32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2/1</v>
      </c>
      <c r="AH89" s="36" t="str">
        <f>IF(A89="","",A89)</f>
        <v>작전역서해그랑블</v>
      </c>
      <c r="AI89" s="106">
        <f>IF(E89="","",E89)</f>
        <v>20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X</v>
      </c>
      <c r="AV89" s="113" t="str">
        <f>IF(AO89="","",IF(AND(AO89="O",AP89="O",AR89="O",AT89="O",AU89="O"),"후보","X"))</f>
        <v/>
      </c>
    </row>
    <row r="90" spans="1:48" x14ac:dyDescent="0.3">
      <c r="A90" s="5" t="s">
        <v>1532</v>
      </c>
      <c r="B90" s="16" t="s">
        <v>1533</v>
      </c>
      <c r="C90" s="28">
        <v>280</v>
      </c>
      <c r="D90" s="25">
        <v>80.099999999999994</v>
      </c>
      <c r="E90" s="106">
        <v>24</v>
      </c>
      <c r="F90" s="25">
        <v>60</v>
      </c>
      <c r="G90" s="27">
        <v>18</v>
      </c>
      <c r="H90" s="28">
        <v>180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511</v>
      </c>
      <c r="U90" s="13"/>
      <c r="W90" s="25">
        <f>D90</f>
        <v>80.099999999999994</v>
      </c>
      <c r="X90" s="106">
        <f>E90</f>
        <v>24</v>
      </c>
      <c r="Y90" s="32">
        <f>H90</f>
        <v>180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작전역서해그랑블</v>
      </c>
      <c r="AI90" s="106">
        <f>IF(E90="","",E90)</f>
        <v>24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X</v>
      </c>
      <c r="AV90" s="113" t="str">
        <f>IF(AO90="","",IF(AND(AO90="O",AP90="O",AR90="O",AT90="O",AU90="O"),"후보","X"))</f>
        <v/>
      </c>
    </row>
    <row r="91" spans="1:48" x14ac:dyDescent="0.3">
      <c r="A91" s="5" t="s">
        <v>1532</v>
      </c>
      <c r="B91" s="16" t="s">
        <v>1533</v>
      </c>
      <c r="C91" s="28">
        <v>280</v>
      </c>
      <c r="D91" s="25">
        <v>80.099999999999994</v>
      </c>
      <c r="E91" s="106">
        <v>24</v>
      </c>
      <c r="F91" s="25">
        <v>60</v>
      </c>
      <c r="G91" s="27">
        <v>18</v>
      </c>
      <c r="H91" s="28">
        <v>33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516</v>
      </c>
      <c r="U91" s="13"/>
      <c r="W91" s="25">
        <f>D91</f>
        <v>80.099999999999994</v>
      </c>
      <c r="X91" s="106">
        <f>E91</f>
        <v>24</v>
      </c>
      <c r="Y91" s="32">
        <f>H91</f>
        <v>33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작전역서해그랑블</v>
      </c>
      <c r="AI91" s="106">
        <f>IF(E91="","",E91)</f>
        <v>24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X</v>
      </c>
      <c r="AV91" s="113" t="str">
        <f>IF(AO91="","",IF(AND(AO91="O",AP91="O",AR91="O",AT91="O",AU91="O"),"후보","X"))</f>
        <v/>
      </c>
    </row>
    <row r="92" spans="1:48" x14ac:dyDescent="0.3">
      <c r="A92" s="5" t="s">
        <v>1532</v>
      </c>
      <c r="B92" s="16" t="s">
        <v>1533</v>
      </c>
      <c r="C92" s="28">
        <v>280</v>
      </c>
      <c r="D92" s="25">
        <v>99.1</v>
      </c>
      <c r="E92" s="106">
        <v>30</v>
      </c>
      <c r="F92" s="25">
        <v>75</v>
      </c>
      <c r="G92" s="27">
        <v>23</v>
      </c>
      <c r="H92" s="28">
        <v>31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>
        <v>99</v>
      </c>
      <c r="U92" s="13"/>
      <c r="W92" s="25">
        <f>D92</f>
        <v>99.1</v>
      </c>
      <c r="X92" s="106">
        <f>E92</f>
        <v>30</v>
      </c>
      <c r="Y92" s="32">
        <f>H92</f>
        <v>31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작전역서해그랑블</v>
      </c>
      <c r="AI92" s="106">
        <f>IF(E92="","",E92)</f>
        <v>30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X</v>
      </c>
      <c r="AV92" s="113" t="str">
        <f>IF(AO92="","",IF(AND(AO92="O",AP92="O",AR92="O",AT92="O",AU92="O"),"후보","X"))</f>
        <v/>
      </c>
    </row>
    <row r="93" spans="1:48" x14ac:dyDescent="0.3">
      <c r="A93" s="5" t="s">
        <v>1532</v>
      </c>
      <c r="B93" s="16" t="s">
        <v>1533</v>
      </c>
      <c r="C93" s="28">
        <v>280</v>
      </c>
      <c r="D93" s="25">
        <v>115.9</v>
      </c>
      <c r="E93" s="106">
        <v>35</v>
      </c>
      <c r="F93" s="25">
        <v>85</v>
      </c>
      <c r="G93" s="27">
        <v>26</v>
      </c>
      <c r="H93" s="28">
        <v>3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64</v>
      </c>
      <c r="T93" s="8" t="s">
        <v>601</v>
      </c>
      <c r="U93" s="13"/>
      <c r="W93" s="25">
        <f>D93</f>
        <v>115.9</v>
      </c>
      <c r="X93" s="106">
        <f>E93</f>
        <v>35</v>
      </c>
      <c r="Y93" s="32">
        <f>H93</f>
        <v>3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작전역서해그랑블</v>
      </c>
      <c r="AI93" s="106">
        <f>IF(E93="","",E93)</f>
        <v>35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X</v>
      </c>
      <c r="AV93" s="113" t="str">
        <f>IF(AO93="","",IF(AND(AO93="O",AP93="O",AR93="O",AT93="O",AU93="O"),"후보","X"))</f>
        <v/>
      </c>
    </row>
    <row r="94" spans="1:48" x14ac:dyDescent="0.3">
      <c r="A94" s="5" t="s">
        <v>1532</v>
      </c>
      <c r="B94" s="16" t="s">
        <v>1533</v>
      </c>
      <c r="C94" s="28">
        <v>280</v>
      </c>
      <c r="D94" s="25">
        <v>115.2</v>
      </c>
      <c r="E94" s="106">
        <v>35</v>
      </c>
      <c r="F94" s="25">
        <v>85</v>
      </c>
      <c r="G94" s="27">
        <v>26</v>
      </c>
      <c r="H94" s="28">
        <v>1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2</v>
      </c>
      <c r="S94" s="113" t="s">
        <v>64</v>
      </c>
      <c r="T94" s="8" t="s">
        <v>993</v>
      </c>
      <c r="U94" s="13"/>
      <c r="W94" s="25">
        <f>D94</f>
        <v>115.2</v>
      </c>
      <c r="X94" s="106">
        <f>E94</f>
        <v>35</v>
      </c>
      <c r="Y94" s="32">
        <f>H94</f>
        <v>1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4/2</v>
      </c>
      <c r="AH94" s="36" t="str">
        <f>IF(A94="","",A94)</f>
        <v>작전역서해그랑블</v>
      </c>
      <c r="AI94" s="106">
        <f>IF(E94="","",E94)</f>
        <v>35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X</v>
      </c>
      <c r="AV94" s="113" t="str">
        <f>IF(AO94="","",IF(AND(AO94="O",AP94="O",AR94="O",AT94="O",AU94="O"),"후보","X"))</f>
        <v/>
      </c>
    </row>
    <row r="95" spans="1:48" x14ac:dyDescent="0.3">
      <c r="A95" s="9"/>
      <c r="B95" s="113"/>
      <c r="C95" s="10"/>
      <c r="D95" s="13"/>
      <c r="E95" s="20"/>
      <c r="F95" s="26"/>
      <c r="G95" s="13"/>
      <c r="H95" s="13"/>
      <c r="I95" s="13"/>
      <c r="J95" s="13"/>
      <c r="K95" s="13"/>
      <c r="L95" s="13"/>
      <c r="M95" s="13"/>
      <c r="N95" s="13"/>
      <c r="O95" s="29"/>
      <c r="P95" s="29"/>
      <c r="Q95" s="23"/>
      <c r="R95" s="23"/>
      <c r="S95" s="13"/>
      <c r="T95" s="70"/>
      <c r="U95" s="13"/>
      <c r="W95" s="107" t="str">
        <f>$A$4&amp;" "&amp;A96&amp;"("&amp;B96&amp;","&amp;C96&amp;"^)"</f>
        <v>작전동 브라운스톤계양스카이('20.10.,282^)</v>
      </c>
      <c r="X95" s="108"/>
      <c r="Y95" s="108"/>
      <c r="Z95" s="108"/>
      <c r="AA95" s="108"/>
      <c r="AB95" s="108"/>
      <c r="AC95" s="108"/>
      <c r="AD95" s="108"/>
      <c r="AE95" s="108"/>
      <c r="AF95" s="109"/>
      <c r="AH95" s="36" t="str">
        <f>IF(A95="","",A95)</f>
        <v/>
      </c>
      <c r="AI95" s="37" t="str">
        <f>IF(E95="","",E95)</f>
        <v/>
      </c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</row>
    <row r="96" spans="1:48" x14ac:dyDescent="0.3">
      <c r="A96" s="5" t="s">
        <v>1534</v>
      </c>
      <c r="B96" s="16" t="s">
        <v>1535</v>
      </c>
      <c r="C96" s="28">
        <v>282</v>
      </c>
      <c r="D96" s="25">
        <v>85.8</v>
      </c>
      <c r="E96" s="106">
        <v>26</v>
      </c>
      <c r="F96" s="25">
        <v>59.9</v>
      </c>
      <c r="G96" s="27">
        <v>18</v>
      </c>
      <c r="H96" s="28">
        <v>61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996</v>
      </c>
      <c r="U96" s="13"/>
      <c r="W96" s="25">
        <f>D96</f>
        <v>85.8</v>
      </c>
      <c r="X96" s="106">
        <f>E96</f>
        <v>26</v>
      </c>
      <c r="Y96" s="32">
        <f>H96</f>
        <v>61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브라운스톤계양스카이</v>
      </c>
      <c r="AI96" s="106">
        <f>IF(E96="","",E96)</f>
        <v>26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X</v>
      </c>
      <c r="AV96" s="113" t="str">
        <f>IF(AO96="","",IF(AND(AO96="O",AP96="O",AR96="O",AT96="O",AU96="O"),"후보","X"))</f>
        <v/>
      </c>
    </row>
    <row r="97" spans="1:48" x14ac:dyDescent="0.3">
      <c r="A97" s="5" t="s">
        <v>1534</v>
      </c>
      <c r="B97" s="16" t="s">
        <v>1535</v>
      </c>
      <c r="C97" s="28">
        <v>282</v>
      </c>
      <c r="D97" s="25">
        <v>85.3</v>
      </c>
      <c r="E97" s="106">
        <v>26</v>
      </c>
      <c r="F97" s="25">
        <v>59.9</v>
      </c>
      <c r="G97" s="27">
        <v>18</v>
      </c>
      <c r="H97" s="28">
        <v>36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1000</v>
      </c>
      <c r="U97" s="13"/>
      <c r="W97" s="25">
        <f>D97</f>
        <v>85.3</v>
      </c>
      <c r="X97" s="106">
        <f>E97</f>
        <v>26</v>
      </c>
      <c r="Y97" s="32">
        <f>H97</f>
        <v>36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브라운스톤계양스카이</v>
      </c>
      <c r="AI97" s="106">
        <f>IF(E97="","",E97)</f>
        <v>26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X</v>
      </c>
      <c r="AV97" s="113" t="str">
        <f>IF(AO97="","",IF(AND(AO97="O",AP97="O",AR97="O",AT97="O",AU97="O"),"후보","X"))</f>
        <v/>
      </c>
    </row>
    <row r="98" spans="1:48" x14ac:dyDescent="0.3">
      <c r="A98" s="5" t="s">
        <v>1534</v>
      </c>
      <c r="B98" s="16" t="s">
        <v>1535</v>
      </c>
      <c r="C98" s="28">
        <v>282</v>
      </c>
      <c r="D98" s="25">
        <v>85.5</v>
      </c>
      <c r="E98" s="106">
        <v>26</v>
      </c>
      <c r="F98" s="25">
        <v>59.9</v>
      </c>
      <c r="G98" s="27">
        <v>18</v>
      </c>
      <c r="H98" s="28">
        <v>10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1001</v>
      </c>
      <c r="U98" s="13"/>
      <c r="W98" s="25">
        <f>D98</f>
        <v>85.5</v>
      </c>
      <c r="X98" s="106">
        <f>E98</f>
        <v>26</v>
      </c>
      <c r="Y98" s="32">
        <f>H98</f>
        <v>10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브라운스톤계양스카이</v>
      </c>
      <c r="AI98" s="106">
        <f>IF(E98="","",E98)</f>
        <v>26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X</v>
      </c>
      <c r="AV98" s="113" t="str">
        <f>IF(AO98="","",IF(AND(AO98="O",AP98="O",AR98="O",AT98="O",AU98="O"),"후보","X"))</f>
        <v/>
      </c>
    </row>
    <row r="99" spans="1:48" x14ac:dyDescent="0.3">
      <c r="A99" s="5" t="s">
        <v>1534</v>
      </c>
      <c r="B99" s="16" t="s">
        <v>1535</v>
      </c>
      <c r="C99" s="28">
        <v>282</v>
      </c>
      <c r="D99" s="25">
        <v>100.5</v>
      </c>
      <c r="E99" s="106">
        <v>30</v>
      </c>
      <c r="F99" s="25">
        <v>75.7</v>
      </c>
      <c r="G99" s="27">
        <v>23</v>
      </c>
      <c r="H99" s="28">
        <v>54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1002</v>
      </c>
      <c r="U99" s="13"/>
      <c r="W99" s="25">
        <f>D99</f>
        <v>100.5</v>
      </c>
      <c r="X99" s="106">
        <f>E99</f>
        <v>30</v>
      </c>
      <c r="Y99" s="32">
        <f>H99</f>
        <v>54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브라운스톤계양스카이</v>
      </c>
      <c r="AI99" s="106">
        <f>IF(E99="","",E99)</f>
        <v>30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X</v>
      </c>
      <c r="AV99" s="113" t="str">
        <f>IF(AO99="","",IF(AND(AO99="O",AP99="O",AR99="O",AT99="O",AU99="O"),"후보","X"))</f>
        <v/>
      </c>
    </row>
    <row r="100" spans="1:48" x14ac:dyDescent="0.3">
      <c r="A100" s="5" t="s">
        <v>1534</v>
      </c>
      <c r="B100" s="16" t="s">
        <v>1535</v>
      </c>
      <c r="C100" s="28">
        <v>282</v>
      </c>
      <c r="D100" s="25">
        <v>101.3</v>
      </c>
      <c r="E100" s="106">
        <v>31</v>
      </c>
      <c r="F100" s="25">
        <v>75.5</v>
      </c>
      <c r="G100" s="27">
        <v>23</v>
      </c>
      <c r="H100" s="28">
        <v>57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1003</v>
      </c>
      <c r="U100" s="13"/>
      <c r="W100" s="25">
        <f>D100</f>
        <v>101.3</v>
      </c>
      <c r="X100" s="106">
        <f>E100</f>
        <v>31</v>
      </c>
      <c r="Y100" s="32">
        <f>H100</f>
        <v>57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브라운스톤계양스카이</v>
      </c>
      <c r="AI100" s="106">
        <f>IF(E100="","",E100)</f>
        <v>31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X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1534</v>
      </c>
      <c r="B101" s="16" t="s">
        <v>1535</v>
      </c>
      <c r="C101" s="28">
        <v>282</v>
      </c>
      <c r="D101" s="25">
        <v>113.7</v>
      </c>
      <c r="E101" s="106">
        <v>34</v>
      </c>
      <c r="F101" s="25">
        <v>85</v>
      </c>
      <c r="G101" s="27">
        <v>26</v>
      </c>
      <c r="H101" s="28">
        <v>64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64</v>
      </c>
      <c r="T101" s="8">
        <v>113</v>
      </c>
      <c r="U101" s="13"/>
      <c r="W101" s="25">
        <f>D101</f>
        <v>113.7</v>
      </c>
      <c r="X101" s="106">
        <f>E101</f>
        <v>34</v>
      </c>
      <c r="Y101" s="32">
        <f>H101</f>
        <v>64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브라운스톤계양스카이</v>
      </c>
      <c r="AI101" s="106">
        <f>IF(E101="","",E101)</f>
        <v>34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X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작전동 현광('92.08.,392^)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1536</v>
      </c>
      <c r="B103" s="16" t="s">
        <v>1537</v>
      </c>
      <c r="C103" s="28">
        <v>392</v>
      </c>
      <c r="D103" s="25">
        <v>73.900000000000006</v>
      </c>
      <c r="E103" s="106">
        <v>22</v>
      </c>
      <c r="F103" s="25">
        <v>56.9</v>
      </c>
      <c r="G103" s="27">
        <v>17</v>
      </c>
      <c r="H103" s="28">
        <v>140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1384</v>
      </c>
      <c r="T103" s="8">
        <v>73</v>
      </c>
      <c r="U103" s="13"/>
      <c r="W103" s="25">
        <f>D103</f>
        <v>73.900000000000006</v>
      </c>
      <c r="X103" s="106">
        <f>E103</f>
        <v>22</v>
      </c>
      <c r="Y103" s="32">
        <f>H103</f>
        <v>140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복</v>
      </c>
      <c r="AF103" s="15" t="str">
        <f>Q103&amp;"/"&amp;R103</f>
        <v>3/1</v>
      </c>
      <c r="AH103" s="36" t="str">
        <f>IF(A103="","",A103)</f>
        <v>현광</v>
      </c>
      <c r="AI103" s="106">
        <f>IF(E103="","",E103)</f>
        <v>22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1536</v>
      </c>
      <c r="B104" s="16" t="s">
        <v>1537</v>
      </c>
      <c r="C104" s="28">
        <v>392</v>
      </c>
      <c r="D104" s="25">
        <v>77.8</v>
      </c>
      <c r="E104" s="106">
        <v>24</v>
      </c>
      <c r="F104" s="25">
        <v>59.7</v>
      </c>
      <c r="G104" s="27">
        <v>18</v>
      </c>
      <c r="H104" s="28">
        <v>203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1384</v>
      </c>
      <c r="T104" s="8">
        <v>77</v>
      </c>
      <c r="U104" s="13"/>
      <c r="W104" s="25">
        <f>D104</f>
        <v>77.8</v>
      </c>
      <c r="X104" s="106">
        <f>E104</f>
        <v>24</v>
      </c>
      <c r="Y104" s="32">
        <f>H104</f>
        <v>203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복</v>
      </c>
      <c r="AF104" s="15" t="str">
        <f>Q104&amp;"/"&amp;R104</f>
        <v>3/1</v>
      </c>
      <c r="AH104" s="36" t="str">
        <f>IF(A104="","",A104)</f>
        <v>현광</v>
      </c>
      <c r="AI104" s="106">
        <f>IF(E104="","",E104)</f>
        <v>24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1536</v>
      </c>
      <c r="B105" s="16" t="s">
        <v>1537</v>
      </c>
      <c r="C105" s="28">
        <v>392</v>
      </c>
      <c r="D105" s="25">
        <v>85.8</v>
      </c>
      <c r="E105" s="106">
        <v>26</v>
      </c>
      <c r="F105" s="25">
        <v>65.3</v>
      </c>
      <c r="G105" s="27">
        <v>20</v>
      </c>
      <c r="H105" s="28">
        <v>49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1</v>
      </c>
      <c r="S105" s="113" t="s">
        <v>1384</v>
      </c>
      <c r="T105" s="8">
        <v>85</v>
      </c>
      <c r="U105" s="13"/>
      <c r="W105" s="25">
        <f>D105</f>
        <v>85.8</v>
      </c>
      <c r="X105" s="106">
        <f>E105</f>
        <v>26</v>
      </c>
      <c r="Y105" s="32">
        <f>H105</f>
        <v>49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복</v>
      </c>
      <c r="AF105" s="15" t="str">
        <f>Q105&amp;"/"&amp;R105</f>
        <v>3/1</v>
      </c>
      <c r="AH105" s="36" t="str">
        <f>IF(A105="","",A105)</f>
        <v>현광</v>
      </c>
      <c r="AI105" s="106">
        <f>IF(E105="","",E105)</f>
        <v>26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작전동 까치마을태화,한진('97.11.,1674^)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1538</v>
      </c>
      <c r="B107" s="16" t="s">
        <v>1539</v>
      </c>
      <c r="C107" s="28">
        <v>1674</v>
      </c>
      <c r="D107" s="25">
        <v>54.3</v>
      </c>
      <c r="E107" s="106">
        <v>16</v>
      </c>
      <c r="F107" s="25">
        <v>37.4</v>
      </c>
      <c r="G107" s="27">
        <v>11</v>
      </c>
      <c r="H107" s="28">
        <v>712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2</v>
      </c>
      <c r="R107" s="15">
        <v>1</v>
      </c>
      <c r="S107" s="113" t="s">
        <v>1384</v>
      </c>
      <c r="T107" s="8">
        <v>54</v>
      </c>
      <c r="U107" s="13"/>
      <c r="W107" s="25">
        <f>D107</f>
        <v>54.3</v>
      </c>
      <c r="X107" s="106">
        <f>E107</f>
        <v>16</v>
      </c>
      <c r="Y107" s="32">
        <f>H107</f>
        <v>712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복</v>
      </c>
      <c r="AF107" s="15" t="str">
        <f>Q107&amp;"/"&amp;R107</f>
        <v>2/1</v>
      </c>
      <c r="AH107" s="36" t="str">
        <f>IF(A107="","",A107)</f>
        <v>까치마을태화,한진</v>
      </c>
      <c r="AI107" s="106">
        <f>IF(E107="","",E107)</f>
        <v>16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1538</v>
      </c>
      <c r="B108" s="16" t="s">
        <v>1539</v>
      </c>
      <c r="C108" s="28">
        <v>1674</v>
      </c>
      <c r="D108" s="25">
        <v>54.7</v>
      </c>
      <c r="E108" s="106">
        <v>17</v>
      </c>
      <c r="F108" s="25">
        <v>37.799999999999997</v>
      </c>
      <c r="G108" s="27">
        <v>11</v>
      </c>
      <c r="H108" s="28">
        <v>2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2</v>
      </c>
      <c r="R108" s="15">
        <v>1</v>
      </c>
      <c r="S108" s="113" t="s">
        <v>1384</v>
      </c>
      <c r="T108" s="8">
        <v>54</v>
      </c>
      <c r="U108" s="13"/>
      <c r="W108" s="25">
        <f>D108</f>
        <v>54.7</v>
      </c>
      <c r="X108" s="106">
        <f>E108</f>
        <v>17</v>
      </c>
      <c r="Y108" s="32">
        <f>H108</f>
        <v>2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복</v>
      </c>
      <c r="AF108" s="15" t="str">
        <f>Q108&amp;"/"&amp;R108</f>
        <v>2/1</v>
      </c>
      <c r="AH108" s="36" t="str">
        <f>IF(A108="","",A108)</f>
        <v>까치마을태화,한진</v>
      </c>
      <c r="AI108" s="106">
        <f>IF(E108="","",E108)</f>
        <v>17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1538</v>
      </c>
      <c r="B109" s="16" t="s">
        <v>1539</v>
      </c>
      <c r="C109" s="28">
        <v>1674</v>
      </c>
      <c r="D109" s="25">
        <v>81.2</v>
      </c>
      <c r="E109" s="106">
        <v>25</v>
      </c>
      <c r="F109" s="25">
        <v>59.9</v>
      </c>
      <c r="G109" s="27">
        <v>18</v>
      </c>
      <c r="H109" s="28">
        <v>960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1</v>
      </c>
      <c r="S109" s="113" t="s">
        <v>64</v>
      </c>
      <c r="T109" s="8">
        <v>81</v>
      </c>
      <c r="U109" s="13"/>
      <c r="W109" s="25">
        <f>D109</f>
        <v>81.2</v>
      </c>
      <c r="X109" s="106">
        <f>E109</f>
        <v>25</v>
      </c>
      <c r="Y109" s="32">
        <f>H109</f>
        <v>960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3/1</v>
      </c>
      <c r="AH109" s="36" t="str">
        <f>IF(A109="","",A109)</f>
        <v>까치마을태화,한진</v>
      </c>
      <c r="AI109" s="106">
        <f>IF(E109="","",E109)</f>
        <v>25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작전동 코오롱('89.10.,480^)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1540</v>
      </c>
      <c r="B111" s="16" t="s">
        <v>1541</v>
      </c>
      <c r="C111" s="28">
        <v>480</v>
      </c>
      <c r="D111" s="25">
        <v>64.900000000000006</v>
      </c>
      <c r="E111" s="106">
        <v>20</v>
      </c>
      <c r="F111" s="25">
        <v>53.1</v>
      </c>
      <c r="G111" s="27">
        <v>16</v>
      </c>
      <c r="H111" s="28">
        <v>180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2</v>
      </c>
      <c r="R111" s="15">
        <v>1</v>
      </c>
      <c r="S111" s="113" t="s">
        <v>64</v>
      </c>
      <c r="T111" s="8">
        <v>64</v>
      </c>
      <c r="U111" s="13"/>
      <c r="W111" s="25">
        <f>D111</f>
        <v>64.900000000000006</v>
      </c>
      <c r="X111" s="106">
        <f>E111</f>
        <v>20</v>
      </c>
      <c r="Y111" s="32">
        <f>H111</f>
        <v>180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2/1</v>
      </c>
      <c r="AH111" s="36" t="str">
        <f>IF(A111="","",A111)</f>
        <v>코오롱</v>
      </c>
      <c r="AI111" s="106">
        <f>IF(E111="","",E111)</f>
        <v>20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1540</v>
      </c>
      <c r="B112" s="16" t="s">
        <v>1541</v>
      </c>
      <c r="C112" s="28">
        <v>480</v>
      </c>
      <c r="D112" s="25">
        <v>75.400000000000006</v>
      </c>
      <c r="E112" s="106">
        <v>23</v>
      </c>
      <c r="F112" s="25">
        <v>61.6</v>
      </c>
      <c r="G112" s="27">
        <v>19</v>
      </c>
      <c r="H112" s="28">
        <v>90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2</v>
      </c>
      <c r="R112" s="15">
        <v>1</v>
      </c>
      <c r="S112" s="113" t="s">
        <v>64</v>
      </c>
      <c r="T112" s="8">
        <v>75</v>
      </c>
      <c r="U112" s="13"/>
      <c r="W112" s="25">
        <f>D112</f>
        <v>75.400000000000006</v>
      </c>
      <c r="X112" s="106">
        <f>E112</f>
        <v>23</v>
      </c>
      <c r="Y112" s="32">
        <f>H112</f>
        <v>90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2/1</v>
      </c>
      <c r="AH112" s="36" t="str">
        <f>IF(A112="","",A112)</f>
        <v>코오롱</v>
      </c>
      <c r="AI112" s="106">
        <f>IF(E112="","",E112)</f>
        <v>23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1540</v>
      </c>
      <c r="B113" s="16" t="s">
        <v>1541</v>
      </c>
      <c r="C113" s="28">
        <v>480</v>
      </c>
      <c r="D113" s="25">
        <v>80.900000000000006</v>
      </c>
      <c r="E113" s="106">
        <v>24</v>
      </c>
      <c r="F113" s="25">
        <v>66.900000000000006</v>
      </c>
      <c r="G113" s="27">
        <v>20</v>
      </c>
      <c r="H113" s="28">
        <v>60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1</v>
      </c>
      <c r="S113" s="113" t="s">
        <v>64</v>
      </c>
      <c r="T113" s="8">
        <v>80</v>
      </c>
      <c r="U113" s="13"/>
      <c r="W113" s="25">
        <f>D113</f>
        <v>80.900000000000006</v>
      </c>
      <c r="X113" s="106">
        <f>E113</f>
        <v>24</v>
      </c>
      <c r="Y113" s="32">
        <f>H113</f>
        <v>60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3/1</v>
      </c>
      <c r="AH113" s="36" t="str">
        <f>IF(A113="","",A113)</f>
        <v>코오롱</v>
      </c>
      <c r="AI113" s="106">
        <f>IF(E113="","",E113)</f>
        <v>24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1540</v>
      </c>
      <c r="B114" s="16" t="s">
        <v>1541</v>
      </c>
      <c r="C114" s="28">
        <v>480</v>
      </c>
      <c r="D114" s="25">
        <v>83.1</v>
      </c>
      <c r="E114" s="106">
        <v>25</v>
      </c>
      <c r="F114" s="25">
        <v>68.7</v>
      </c>
      <c r="G114" s="27">
        <v>21</v>
      </c>
      <c r="H114" s="28">
        <v>90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1</v>
      </c>
      <c r="S114" s="113" t="s">
        <v>64</v>
      </c>
      <c r="T114" s="8">
        <v>83</v>
      </c>
      <c r="U114" s="13"/>
      <c r="W114" s="25">
        <f>D114</f>
        <v>83.1</v>
      </c>
      <c r="X114" s="106">
        <f>E114</f>
        <v>25</v>
      </c>
      <c r="Y114" s="32">
        <f>H114</f>
        <v>90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3/1</v>
      </c>
      <c r="AH114" s="36" t="str">
        <f>IF(A114="","",A114)</f>
        <v>코오롱</v>
      </c>
      <c r="AI114" s="106">
        <f>IF(E114="","",E114)</f>
        <v>25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1540</v>
      </c>
      <c r="B115" s="16" t="s">
        <v>1541</v>
      </c>
      <c r="C115" s="28">
        <v>480</v>
      </c>
      <c r="D115" s="25">
        <v>90.6</v>
      </c>
      <c r="E115" s="106">
        <v>27</v>
      </c>
      <c r="F115" s="25">
        <v>74.900000000000006</v>
      </c>
      <c r="G115" s="27">
        <v>23</v>
      </c>
      <c r="H115" s="28">
        <v>60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1</v>
      </c>
      <c r="S115" s="113" t="s">
        <v>64</v>
      </c>
      <c r="T115" s="8">
        <v>90</v>
      </c>
      <c r="U115" s="13"/>
      <c r="W115" s="25">
        <f>D115</f>
        <v>90.6</v>
      </c>
      <c r="X115" s="106">
        <f>E115</f>
        <v>27</v>
      </c>
      <c r="Y115" s="32">
        <f>H115</f>
        <v>60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3/1</v>
      </c>
      <c r="AH115" s="36" t="str">
        <f>IF(A115="","",A115)</f>
        <v>코오롱</v>
      </c>
      <c r="AI115" s="106">
        <f>IF(E115="","",E115)</f>
        <v>27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9"/>
      <c r="B116" s="113"/>
      <c r="C116" s="10"/>
      <c r="D116" s="13"/>
      <c r="E116" s="20"/>
      <c r="F116" s="26"/>
      <c r="G116" s="13"/>
      <c r="H116" s="13"/>
      <c r="I116" s="13"/>
      <c r="J116" s="13"/>
      <c r="K116" s="13"/>
      <c r="L116" s="13"/>
      <c r="M116" s="13"/>
      <c r="N116" s="13"/>
      <c r="O116" s="29"/>
      <c r="P116" s="29"/>
      <c r="Q116" s="23"/>
      <c r="R116" s="23"/>
      <c r="S116" s="13"/>
      <c r="T116" s="70"/>
      <c r="U116" s="13"/>
      <c r="W116" s="107" t="str">
        <f>$A$4&amp;" "&amp;A117&amp;"("&amp;B117&amp;","&amp;C117&amp;"^)"</f>
        <v>작전동 힐스테이트자이계양('24.03.,2371^)</v>
      </c>
      <c r="X116" s="108"/>
      <c r="Y116" s="108"/>
      <c r="Z116" s="108"/>
      <c r="AA116" s="108"/>
      <c r="AB116" s="108"/>
      <c r="AC116" s="108"/>
      <c r="AD116" s="108"/>
      <c r="AE116" s="108"/>
      <c r="AF116" s="109"/>
      <c r="AH116" s="36" t="str">
        <f>IF(A116="","",A116)</f>
        <v/>
      </c>
      <c r="AI116" s="37" t="str">
        <f>IF(E116="","",E116)</f>
        <v/>
      </c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</row>
    <row r="117" spans="1:48" x14ac:dyDescent="0.3">
      <c r="A117" s="5" t="s">
        <v>1542</v>
      </c>
      <c r="B117" s="16" t="s">
        <v>1543</v>
      </c>
      <c r="C117" s="28">
        <v>2371</v>
      </c>
      <c r="D117" s="25">
        <v>76.3</v>
      </c>
      <c r="E117" s="106">
        <v>23</v>
      </c>
      <c r="F117" s="25">
        <v>53.9</v>
      </c>
      <c r="G117" s="27">
        <v>16</v>
      </c>
      <c r="H117" s="28">
        <v>256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2</v>
      </c>
      <c r="R117" s="15">
        <v>1</v>
      </c>
      <c r="S117" s="113" t="s">
        <v>64</v>
      </c>
      <c r="T117" s="8" t="s">
        <v>1033</v>
      </c>
      <c r="U117" s="13"/>
      <c r="W117" s="25">
        <f>D117</f>
        <v>76.3</v>
      </c>
      <c r="X117" s="106">
        <f>E117</f>
        <v>23</v>
      </c>
      <c r="Y117" s="32">
        <f>H117</f>
        <v>256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2/1</v>
      </c>
      <c r="AH117" s="36" t="str">
        <f>IF(A117="","",A117)</f>
        <v>힐스테이트자이계양</v>
      </c>
      <c r="AI117" s="106">
        <f>IF(E117="","",E117)</f>
        <v>23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1542</v>
      </c>
      <c r="B118" s="16" t="s">
        <v>1543</v>
      </c>
      <c r="C118" s="28">
        <v>2371</v>
      </c>
      <c r="D118" s="25">
        <v>77</v>
      </c>
      <c r="E118" s="106">
        <v>23</v>
      </c>
      <c r="F118" s="25">
        <v>53.8</v>
      </c>
      <c r="G118" s="27">
        <v>16</v>
      </c>
      <c r="H118" s="28">
        <v>99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2</v>
      </c>
      <c r="R118" s="15">
        <v>1</v>
      </c>
      <c r="S118" s="113" t="s">
        <v>64</v>
      </c>
      <c r="T118" s="8" t="s">
        <v>1036</v>
      </c>
      <c r="U118" s="13"/>
      <c r="W118" s="25">
        <f>D118</f>
        <v>77</v>
      </c>
      <c r="X118" s="106">
        <f>E118</f>
        <v>23</v>
      </c>
      <c r="Y118" s="32">
        <f>H118</f>
        <v>99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2/1</v>
      </c>
      <c r="AH118" s="36" t="str">
        <f>IF(A118="","",A118)</f>
        <v>힐스테이트자이계양</v>
      </c>
      <c r="AI118" s="106">
        <f>IF(E118="","",E118)</f>
        <v>23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1542</v>
      </c>
      <c r="B119" s="16" t="s">
        <v>1543</v>
      </c>
      <c r="C119" s="28">
        <v>2371</v>
      </c>
      <c r="D119" s="25">
        <v>77.099999999999994</v>
      </c>
      <c r="E119" s="106">
        <v>23</v>
      </c>
      <c r="F119" s="25">
        <v>53.8</v>
      </c>
      <c r="G119" s="27">
        <v>16</v>
      </c>
      <c r="H119" s="28">
        <v>95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2</v>
      </c>
      <c r="R119" s="15">
        <v>1</v>
      </c>
      <c r="S119" s="113" t="s">
        <v>64</v>
      </c>
      <c r="T119" s="8" t="s">
        <v>1037</v>
      </c>
      <c r="U119" s="13"/>
      <c r="W119" s="25">
        <f>D119</f>
        <v>77.099999999999994</v>
      </c>
      <c r="X119" s="106">
        <f>E119</f>
        <v>23</v>
      </c>
      <c r="Y119" s="32">
        <f>H119</f>
        <v>95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2/1</v>
      </c>
      <c r="AH119" s="36" t="str">
        <f>IF(A119="","",A119)</f>
        <v>힐스테이트자이계양</v>
      </c>
      <c r="AI119" s="106">
        <f>IF(E119="","",E119)</f>
        <v>23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1542</v>
      </c>
      <c r="B120" s="16" t="s">
        <v>1543</v>
      </c>
      <c r="C120" s="28">
        <v>2371</v>
      </c>
      <c r="D120" s="25">
        <v>86.4</v>
      </c>
      <c r="E120" s="106">
        <v>26</v>
      </c>
      <c r="F120" s="25">
        <v>59.8</v>
      </c>
      <c r="G120" s="27">
        <v>18</v>
      </c>
      <c r="H120" s="28">
        <v>625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64</v>
      </c>
      <c r="T120" s="8" t="s">
        <v>1038</v>
      </c>
      <c r="U120" s="13"/>
      <c r="W120" s="25">
        <f>D120</f>
        <v>86.4</v>
      </c>
      <c r="X120" s="106">
        <f>E120</f>
        <v>26</v>
      </c>
      <c r="Y120" s="32">
        <f>H120</f>
        <v>625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힐스테이트자이계양</v>
      </c>
      <c r="AI120" s="106">
        <f>IF(E120="","",E120)</f>
        <v>26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1542</v>
      </c>
      <c r="B121" s="16" t="s">
        <v>1543</v>
      </c>
      <c r="C121" s="28">
        <v>2371</v>
      </c>
      <c r="D121" s="25">
        <v>88.1</v>
      </c>
      <c r="E121" s="106">
        <v>27</v>
      </c>
      <c r="F121" s="25">
        <v>59.9</v>
      </c>
      <c r="G121" s="27">
        <v>18</v>
      </c>
      <c r="H121" s="28">
        <v>276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64</v>
      </c>
      <c r="T121" s="8" t="s">
        <v>1039</v>
      </c>
      <c r="U121" s="13"/>
      <c r="W121" s="25">
        <f>D121</f>
        <v>88.1</v>
      </c>
      <c r="X121" s="106">
        <f>E121</f>
        <v>27</v>
      </c>
      <c r="Y121" s="32">
        <f>H121</f>
        <v>276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힐스테이트자이계양</v>
      </c>
      <c r="AI121" s="106">
        <f>IF(E121="","",E121)</f>
        <v>27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1542</v>
      </c>
      <c r="B122" s="16" t="s">
        <v>1543</v>
      </c>
      <c r="C122" s="28">
        <v>2371</v>
      </c>
      <c r="D122" s="25">
        <v>114.2</v>
      </c>
      <c r="E122" s="106">
        <v>35</v>
      </c>
      <c r="F122" s="25">
        <v>84.5</v>
      </c>
      <c r="G122" s="27">
        <v>26</v>
      </c>
      <c r="H122" s="28">
        <v>366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64</v>
      </c>
      <c r="T122" s="8" t="s">
        <v>1040</v>
      </c>
      <c r="U122" s="13"/>
      <c r="W122" s="25">
        <f>D122</f>
        <v>114.2</v>
      </c>
      <c r="X122" s="106">
        <f>E122</f>
        <v>35</v>
      </c>
      <c r="Y122" s="32">
        <f>H122</f>
        <v>366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힐스테이트자이계양</v>
      </c>
      <c r="AI122" s="106">
        <f>IF(E122="","",E122)</f>
        <v>35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1542</v>
      </c>
      <c r="B123" s="16" t="s">
        <v>1543</v>
      </c>
      <c r="C123" s="28">
        <v>2371</v>
      </c>
      <c r="D123" s="25">
        <v>114.2</v>
      </c>
      <c r="E123" s="106">
        <v>35</v>
      </c>
      <c r="F123" s="25">
        <v>84.5</v>
      </c>
      <c r="G123" s="27">
        <v>26</v>
      </c>
      <c r="H123" s="28">
        <v>128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64</v>
      </c>
      <c r="T123" s="8" t="s">
        <v>507</v>
      </c>
      <c r="U123" s="13"/>
      <c r="W123" s="25">
        <f>D123</f>
        <v>114.2</v>
      </c>
      <c r="X123" s="106">
        <f>E123</f>
        <v>35</v>
      </c>
      <c r="Y123" s="32">
        <f>H123</f>
        <v>128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힐스테이트자이계양</v>
      </c>
      <c r="AI123" s="106">
        <f>IF(E123="","",E123)</f>
        <v>35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1542</v>
      </c>
      <c r="B124" s="16" t="s">
        <v>1543</v>
      </c>
      <c r="C124" s="28">
        <v>2371</v>
      </c>
      <c r="D124" s="25">
        <v>115.5</v>
      </c>
      <c r="E124" s="106">
        <v>35</v>
      </c>
      <c r="F124" s="25">
        <v>84.8</v>
      </c>
      <c r="G124" s="27">
        <v>26</v>
      </c>
      <c r="H124" s="28">
        <v>393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64</v>
      </c>
      <c r="T124" s="8" t="s">
        <v>1041</v>
      </c>
      <c r="U124" s="13"/>
      <c r="W124" s="25">
        <f>D124</f>
        <v>115.5</v>
      </c>
      <c r="X124" s="106">
        <f>E124</f>
        <v>35</v>
      </c>
      <c r="Y124" s="32">
        <f>H124</f>
        <v>393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힐스테이트자이계양</v>
      </c>
      <c r="AI124" s="106">
        <f>IF(E124="","",E124)</f>
        <v>35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9"/>
      <c r="B125" s="113"/>
      <c r="C125" s="10"/>
      <c r="D125" s="13"/>
      <c r="E125" s="20"/>
      <c r="F125" s="26"/>
      <c r="G125" s="13"/>
      <c r="H125" s="13"/>
      <c r="I125" s="13"/>
      <c r="J125" s="13"/>
      <c r="K125" s="13"/>
      <c r="L125" s="13"/>
      <c r="M125" s="13"/>
      <c r="N125" s="13"/>
      <c r="O125" s="29"/>
      <c r="P125" s="29"/>
      <c r="Q125" s="23"/>
      <c r="R125" s="23"/>
      <c r="S125" s="13"/>
      <c r="T125" s="70"/>
      <c r="U125" s="13"/>
      <c r="W125" s="107" t="str">
        <f>$A$4&amp;" "&amp;A126&amp;"("&amp;B126&amp;","&amp;C126&amp;"^)"</f>
        <v>작전동 한양('85.10.,280^)</v>
      </c>
      <c r="X125" s="108"/>
      <c r="Y125" s="108"/>
      <c r="Z125" s="108"/>
      <c r="AA125" s="108"/>
      <c r="AB125" s="108"/>
      <c r="AC125" s="108"/>
      <c r="AD125" s="108"/>
      <c r="AE125" s="108"/>
      <c r="AF125" s="109"/>
      <c r="AH125" s="36" t="str">
        <f>IF(A125="","",A125)</f>
        <v/>
      </c>
      <c r="AI125" s="37" t="str">
        <f>IF(E125="","",E125)</f>
        <v/>
      </c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</row>
    <row r="126" spans="1:48" x14ac:dyDescent="0.3">
      <c r="A126" s="5" t="s">
        <v>1544</v>
      </c>
      <c r="B126" s="16" t="s">
        <v>1545</v>
      </c>
      <c r="C126" s="28">
        <v>280</v>
      </c>
      <c r="D126" s="25">
        <v>78.400000000000006</v>
      </c>
      <c r="E126" s="106">
        <v>24</v>
      </c>
      <c r="F126" s="25">
        <v>58.5</v>
      </c>
      <c r="G126" s="27">
        <v>18</v>
      </c>
      <c r="H126" s="28">
        <v>196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2</v>
      </c>
      <c r="R126" s="15">
        <v>1</v>
      </c>
      <c r="S126" s="113" t="s">
        <v>1384</v>
      </c>
      <c r="T126" s="8">
        <v>78</v>
      </c>
      <c r="U126" s="13"/>
      <c r="W126" s="25">
        <f>D126</f>
        <v>78.400000000000006</v>
      </c>
      <c r="X126" s="106">
        <f>E126</f>
        <v>24</v>
      </c>
      <c r="Y126" s="32">
        <f>H126</f>
        <v>196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복</v>
      </c>
      <c r="AF126" s="15" t="str">
        <f>Q126&amp;"/"&amp;R126</f>
        <v>2/1</v>
      </c>
      <c r="AH126" s="36" t="str">
        <f>IF(A126="","",A126)</f>
        <v>한양</v>
      </c>
      <c r="AI126" s="106">
        <f>IF(E126="","",E126)</f>
        <v>24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X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1544</v>
      </c>
      <c r="B127" s="16" t="s">
        <v>1545</v>
      </c>
      <c r="C127" s="28">
        <v>280</v>
      </c>
      <c r="D127" s="25">
        <v>106.9</v>
      </c>
      <c r="E127" s="106">
        <v>32</v>
      </c>
      <c r="F127" s="25">
        <v>76.7</v>
      </c>
      <c r="G127" s="27">
        <v>23</v>
      </c>
      <c r="H127" s="28">
        <v>84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1</v>
      </c>
      <c r="S127" s="113" t="s">
        <v>1384</v>
      </c>
      <c r="T127" s="8">
        <v>106</v>
      </c>
      <c r="U127" s="13"/>
      <c r="W127" s="25">
        <f>D127</f>
        <v>106.9</v>
      </c>
      <c r="X127" s="106">
        <f>E127</f>
        <v>32</v>
      </c>
      <c r="Y127" s="32">
        <f>H127</f>
        <v>84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복</v>
      </c>
      <c r="AF127" s="15" t="str">
        <f>Q127&amp;"/"&amp;R127</f>
        <v>3/1</v>
      </c>
      <c r="AH127" s="36" t="str">
        <f>IF(A127="","",A127)</f>
        <v>한양</v>
      </c>
      <c r="AI127" s="106">
        <f>IF(E127="","",E127)</f>
        <v>32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X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작전동 한신('91.10.,259^)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1546</v>
      </c>
      <c r="B129" s="16" t="s">
        <v>1520</v>
      </c>
      <c r="C129" s="28">
        <v>259</v>
      </c>
      <c r="D129" s="25">
        <v>82.7</v>
      </c>
      <c r="E129" s="106">
        <v>25</v>
      </c>
      <c r="F129" s="25">
        <v>60.5</v>
      </c>
      <c r="G129" s="27">
        <v>18</v>
      </c>
      <c r="H129" s="28">
        <v>88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1</v>
      </c>
      <c r="S129" s="113" t="s">
        <v>1384</v>
      </c>
      <c r="T129" s="8">
        <v>82</v>
      </c>
      <c r="U129" s="13"/>
      <c r="W129" s="25">
        <f>D129</f>
        <v>82.7</v>
      </c>
      <c r="X129" s="106">
        <f>E129</f>
        <v>25</v>
      </c>
      <c r="Y129" s="32">
        <f>H129</f>
        <v>88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복</v>
      </c>
      <c r="AF129" s="15" t="str">
        <f>Q129&amp;"/"&amp;R129</f>
        <v>3/1</v>
      </c>
      <c r="AH129" s="36" t="str">
        <f>IF(A129="","",A129)</f>
        <v>한신</v>
      </c>
      <c r="AI129" s="106">
        <f>IF(E129="","",E129)</f>
        <v>25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X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1546</v>
      </c>
      <c r="B130" s="16" t="s">
        <v>1520</v>
      </c>
      <c r="C130" s="28">
        <v>259</v>
      </c>
      <c r="D130" s="25">
        <v>103.2</v>
      </c>
      <c r="E130" s="106">
        <v>31</v>
      </c>
      <c r="F130" s="25">
        <v>85</v>
      </c>
      <c r="G130" s="27">
        <v>26</v>
      </c>
      <c r="H130" s="28">
        <v>171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1384</v>
      </c>
      <c r="T130" s="8">
        <v>103</v>
      </c>
      <c r="U130" s="13"/>
      <c r="W130" s="25">
        <f>D130</f>
        <v>103.2</v>
      </c>
      <c r="X130" s="106">
        <f>E130</f>
        <v>31</v>
      </c>
      <c r="Y130" s="32">
        <f>H130</f>
        <v>171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복</v>
      </c>
      <c r="AF130" s="15" t="str">
        <f>Q130&amp;"/"&amp;R130</f>
        <v>3/2</v>
      </c>
      <c r="AH130" s="36" t="str">
        <f>IF(A130="","",A130)</f>
        <v>한신</v>
      </c>
      <c r="AI130" s="106">
        <f>IF(E130="","",E130)</f>
        <v>31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X</v>
      </c>
      <c r="AV130" s="113" t="str">
        <f>IF(AO130="","",IF(AND(AO130="O",AP130="O",AR130="O",AT130="O",AU130="O"),"후보","X"))</f>
        <v/>
      </c>
    </row>
  </sheetData>
  <mergeCells count="1">
    <mergeCell ref="AJ1:AN1"/>
  </mergeCells>
  <phoneticPr fontId="2" type="noConversion"/>
  <conditionalFormatting sqref="AV4:AV6">
    <cfRule type="expression" dxfId="3585" priority="1970">
      <formula>AV4="X"</formula>
    </cfRule>
    <cfRule type="expression" dxfId="3584" priority="1971">
      <formula>AV4="후보"</formula>
    </cfRule>
  </conditionalFormatting>
  <conditionalFormatting sqref="Z2:Z6">
    <cfRule type="colorScale" priority="1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583" priority="1967" operator="greaterThan">
      <formula>0.9</formula>
    </cfRule>
    <cfRule type="cellIs" dxfId="3582" priority="1968" operator="greaterThan">
      <formula>0.85</formula>
    </cfRule>
  </conditionalFormatting>
  <conditionalFormatting sqref="N1:N2">
    <cfRule type="cellIs" dxfId="3581" priority="1965" operator="greaterThan">
      <formula>0.9</formula>
    </cfRule>
    <cfRule type="cellIs" dxfId="3580" priority="1966" operator="greaterThan">
      <formula>0.85</formula>
    </cfRule>
  </conditionalFormatting>
  <conditionalFormatting sqref="N6">
    <cfRule type="cellIs" dxfId="3579" priority="1963" operator="greaterThan">
      <formula>0.9</formula>
    </cfRule>
    <cfRule type="cellIs" dxfId="3578" priority="1964" operator="greaterThan">
      <formula>0.85</formula>
    </cfRule>
  </conditionalFormatting>
  <conditionalFormatting sqref="E6">
    <cfRule type="expression" dxfId="3577" priority="1959">
      <formula>AND(IF(OR($Q6=1,$Q6=2),1,0),IF($X6&lt;=20,1,0))</formula>
    </cfRule>
    <cfRule type="expression" dxfId="3576" priority="1960">
      <formula>AND(IF($Q6=2,1,0),IF($X6&lt;30,1,0))</formula>
    </cfRule>
    <cfRule type="expression" dxfId="3575" priority="1961">
      <formula>AND(IF($Q6=3,1,0),IF($X6&lt;30,1,0))</formula>
    </cfRule>
    <cfRule type="expression" dxfId="3574" priority="1962">
      <formula>AND(IF($Q6=3,1,IF($Q6=4,1,0)),IF($F6&lt;=85,1,0))</formula>
    </cfRule>
  </conditionalFormatting>
  <conditionalFormatting sqref="X6">
    <cfRule type="expression" dxfId="3573" priority="1955">
      <formula>AND(IF(OR($Q6=1,$Q6=2),1,0),IF($X6&lt;=20,1,0))</formula>
    </cfRule>
    <cfRule type="expression" dxfId="3572" priority="1956">
      <formula>AND(IF($Q6=2,1,0),IF($X6&lt;30,1,0))</formula>
    </cfRule>
    <cfRule type="expression" dxfId="3571" priority="1957">
      <formula>AND(IF($Q6=3,1,0),IF($X6&lt;30,1,0))</formula>
    </cfRule>
    <cfRule type="expression" dxfId="3570" priority="1958">
      <formula>AND(IF($Q6=3,1,IF($Q6=4,1,0)),IF($F6&lt;=85,1,0))</formula>
    </cfRule>
  </conditionalFormatting>
  <conditionalFormatting sqref="AI6">
    <cfRule type="expression" dxfId="3569" priority="1951">
      <formula>AND(IF(OR($Q6=1,$Q6=2),1,0),IF($X6&lt;=20,1,0))</formula>
    </cfRule>
    <cfRule type="expression" dxfId="3568" priority="1952">
      <formula>AND(IF($Q6=2,1,0),IF($X6&lt;30,1,0))</formula>
    </cfRule>
    <cfRule type="expression" dxfId="3567" priority="1953">
      <formula>AND(IF($Q6=3,1,0),IF($X6&lt;30,1,0))</formula>
    </cfRule>
    <cfRule type="expression" dxfId="3566" priority="1954">
      <formula>AND(IF($Q6=3,1,IF($Q6=4,1,0)),IF($F6&lt;=85,1,0))</formula>
    </cfRule>
  </conditionalFormatting>
  <conditionalFormatting sqref="AV7">
    <cfRule type="expression" dxfId="3565" priority="1949">
      <formula>AV7="X"</formula>
    </cfRule>
    <cfRule type="expression" dxfId="3564" priority="1950">
      <formula>AV7="후보"</formula>
    </cfRule>
  </conditionalFormatting>
  <conditionalFormatting sqref="Z7">
    <cfRule type="colorScale" priority="19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563" priority="1946" operator="greaterThan">
      <formula>0.9</formula>
    </cfRule>
    <cfRule type="cellIs" dxfId="3562" priority="1947" operator="greaterThan">
      <formula>0.85</formula>
    </cfRule>
  </conditionalFormatting>
  <conditionalFormatting sqref="N7">
    <cfRule type="cellIs" dxfId="3561" priority="1944" operator="greaterThan">
      <formula>0.9</formula>
    </cfRule>
    <cfRule type="cellIs" dxfId="3560" priority="1945" operator="greaterThan">
      <formula>0.85</formula>
    </cfRule>
  </conditionalFormatting>
  <conditionalFormatting sqref="E7">
    <cfRule type="expression" dxfId="3559" priority="1940">
      <formula>AND(IF(OR($Q7=1,$Q7=2),1,0),IF($X7&lt;=20,1,0))</formula>
    </cfRule>
    <cfRule type="expression" dxfId="3558" priority="1941">
      <formula>AND(IF($Q7=2,1,0),IF($X7&lt;30,1,0))</formula>
    </cfRule>
    <cfRule type="expression" dxfId="3557" priority="1942">
      <formula>AND(IF($Q7=3,1,0),IF($X7&lt;30,1,0))</formula>
    </cfRule>
    <cfRule type="expression" dxfId="3556" priority="1943">
      <formula>AND(IF($Q7=3,1,IF($Q7=4,1,0)),IF($F7&lt;=85,1,0))</formula>
    </cfRule>
  </conditionalFormatting>
  <conditionalFormatting sqref="X7">
    <cfRule type="expression" dxfId="3555" priority="1936">
      <formula>AND(IF(OR($Q7=1,$Q7=2),1,0),IF($X7&lt;=20,1,0))</formula>
    </cfRule>
    <cfRule type="expression" dxfId="3554" priority="1937">
      <formula>AND(IF($Q7=2,1,0),IF($X7&lt;30,1,0))</formula>
    </cfRule>
    <cfRule type="expression" dxfId="3553" priority="1938">
      <formula>AND(IF($Q7=3,1,0),IF($X7&lt;30,1,0))</formula>
    </cfRule>
    <cfRule type="expression" dxfId="3552" priority="1939">
      <formula>AND(IF($Q7=3,1,IF($Q7=4,1,0)),IF($F7&lt;=85,1,0))</formula>
    </cfRule>
  </conditionalFormatting>
  <conditionalFormatting sqref="AI7">
    <cfRule type="expression" dxfId="3551" priority="1932">
      <formula>AND(IF(OR($Q7=1,$Q7=2),1,0),IF($X7&lt;=20,1,0))</formula>
    </cfRule>
    <cfRule type="expression" dxfId="3550" priority="1933">
      <formula>AND(IF($Q7=2,1,0),IF($X7&lt;30,1,0))</formula>
    </cfRule>
    <cfRule type="expression" dxfId="3549" priority="1934">
      <formula>AND(IF($Q7=3,1,0),IF($X7&lt;30,1,0))</formula>
    </cfRule>
    <cfRule type="expression" dxfId="3548" priority="1935">
      <formula>AND(IF($Q7=3,1,IF($Q7=4,1,0)),IF($F7&lt;=85,1,0))</formula>
    </cfRule>
  </conditionalFormatting>
  <conditionalFormatting sqref="AV8">
    <cfRule type="expression" dxfId="3547" priority="1930">
      <formula>AV8="X"</formula>
    </cfRule>
    <cfRule type="expression" dxfId="3546" priority="1931">
      <formula>AV8="후보"</formula>
    </cfRule>
  </conditionalFormatting>
  <conditionalFormatting sqref="Z8">
    <cfRule type="colorScale" priority="19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3545" priority="1927" operator="greaterThan">
      <formula>0.9</formula>
    </cfRule>
    <cfRule type="cellIs" dxfId="3544" priority="1928" operator="greaterThan">
      <formula>0.85</formula>
    </cfRule>
  </conditionalFormatting>
  <conditionalFormatting sqref="AV9">
    <cfRule type="expression" dxfId="3543" priority="1925">
      <formula>AV9="X"</formula>
    </cfRule>
    <cfRule type="expression" dxfId="3542" priority="1926">
      <formula>AV9="후보"</formula>
    </cfRule>
  </conditionalFormatting>
  <conditionalFormatting sqref="Z9">
    <cfRule type="colorScale" priority="19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541" priority="1922" operator="greaterThan">
      <formula>0.9</formula>
    </cfRule>
    <cfRule type="cellIs" dxfId="3540" priority="1923" operator="greaterThan">
      <formula>0.85</formula>
    </cfRule>
  </conditionalFormatting>
  <conditionalFormatting sqref="N9">
    <cfRule type="cellIs" dxfId="3539" priority="1920" operator="greaterThan">
      <formula>0.9</formula>
    </cfRule>
    <cfRule type="cellIs" dxfId="3538" priority="1921" operator="greaterThan">
      <formula>0.85</formula>
    </cfRule>
  </conditionalFormatting>
  <conditionalFormatting sqref="E9">
    <cfRule type="expression" dxfId="3537" priority="1916">
      <formula>AND(IF(OR($Q9=1,$Q9=2),1,0),IF($X9&lt;=20,1,0))</formula>
    </cfRule>
    <cfRule type="expression" dxfId="3536" priority="1917">
      <formula>AND(IF($Q9=2,1,0),IF($X9&lt;30,1,0))</formula>
    </cfRule>
    <cfRule type="expression" dxfId="3535" priority="1918">
      <formula>AND(IF($Q9=3,1,0),IF($X9&lt;30,1,0))</formula>
    </cfRule>
    <cfRule type="expression" dxfId="3534" priority="1919">
      <formula>AND(IF($Q9=3,1,IF($Q9=4,1,0)),IF($F9&lt;=85,1,0))</formula>
    </cfRule>
  </conditionalFormatting>
  <conditionalFormatting sqref="X9">
    <cfRule type="expression" dxfId="3533" priority="1912">
      <formula>AND(IF(OR($Q9=1,$Q9=2),1,0),IF($X9&lt;=20,1,0))</formula>
    </cfRule>
    <cfRule type="expression" dxfId="3532" priority="1913">
      <formula>AND(IF($Q9=2,1,0),IF($X9&lt;30,1,0))</formula>
    </cfRule>
    <cfRule type="expression" dxfId="3531" priority="1914">
      <formula>AND(IF($Q9=3,1,0),IF($X9&lt;30,1,0))</formula>
    </cfRule>
    <cfRule type="expression" dxfId="3530" priority="1915">
      <formula>AND(IF($Q9=3,1,IF($Q9=4,1,0)),IF($F9&lt;=85,1,0))</formula>
    </cfRule>
  </conditionalFormatting>
  <conditionalFormatting sqref="AI9">
    <cfRule type="expression" dxfId="3529" priority="1908">
      <formula>AND(IF(OR($Q9=1,$Q9=2),1,0),IF($X9&lt;=20,1,0))</formula>
    </cfRule>
    <cfRule type="expression" dxfId="3528" priority="1909">
      <formula>AND(IF($Q9=2,1,0),IF($X9&lt;30,1,0))</formula>
    </cfRule>
    <cfRule type="expression" dxfId="3527" priority="1910">
      <formula>AND(IF($Q9=3,1,0),IF($X9&lt;30,1,0))</formula>
    </cfRule>
    <cfRule type="expression" dxfId="3526" priority="1911">
      <formula>AND(IF($Q9=3,1,IF($Q9=4,1,0)),IF($F9&lt;=85,1,0))</formula>
    </cfRule>
  </conditionalFormatting>
  <conditionalFormatting sqref="AV10">
    <cfRule type="expression" dxfId="3525" priority="1906">
      <formula>AV10="X"</formula>
    </cfRule>
    <cfRule type="expression" dxfId="3524" priority="1907">
      <formula>AV10="후보"</formula>
    </cfRule>
  </conditionalFormatting>
  <conditionalFormatting sqref="Z10">
    <cfRule type="colorScale" priority="19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523" priority="1903" operator="greaterThan">
      <formula>0.9</formula>
    </cfRule>
    <cfRule type="cellIs" dxfId="3522" priority="1904" operator="greaterThan">
      <formula>0.85</formula>
    </cfRule>
  </conditionalFormatting>
  <conditionalFormatting sqref="N10">
    <cfRule type="cellIs" dxfId="3521" priority="1901" operator="greaterThan">
      <formula>0.9</formula>
    </cfRule>
    <cfRule type="cellIs" dxfId="3520" priority="1902" operator="greaterThan">
      <formula>0.85</formula>
    </cfRule>
  </conditionalFormatting>
  <conditionalFormatting sqref="E10">
    <cfRule type="expression" dxfId="3519" priority="1897">
      <formula>AND(IF(OR($Q10=1,$Q10=2),1,0),IF($X10&lt;=20,1,0))</formula>
    </cfRule>
    <cfRule type="expression" dxfId="3518" priority="1898">
      <formula>AND(IF($Q10=2,1,0),IF($X10&lt;30,1,0))</formula>
    </cfRule>
    <cfRule type="expression" dxfId="3517" priority="1899">
      <formula>AND(IF($Q10=3,1,0),IF($X10&lt;30,1,0))</formula>
    </cfRule>
    <cfRule type="expression" dxfId="3516" priority="1900">
      <formula>AND(IF($Q10=3,1,IF($Q10=4,1,0)),IF($F10&lt;=85,1,0))</formula>
    </cfRule>
  </conditionalFormatting>
  <conditionalFormatting sqref="X10">
    <cfRule type="expression" dxfId="3515" priority="1893">
      <formula>AND(IF(OR($Q10=1,$Q10=2),1,0),IF($X10&lt;=20,1,0))</formula>
    </cfRule>
    <cfRule type="expression" dxfId="3514" priority="1894">
      <formula>AND(IF($Q10=2,1,0),IF($X10&lt;30,1,0))</formula>
    </cfRule>
    <cfRule type="expression" dxfId="3513" priority="1895">
      <formula>AND(IF($Q10=3,1,0),IF($X10&lt;30,1,0))</formula>
    </cfRule>
    <cfRule type="expression" dxfId="3512" priority="1896">
      <formula>AND(IF($Q10=3,1,IF($Q10=4,1,0)),IF($F10&lt;=85,1,0))</formula>
    </cfRule>
  </conditionalFormatting>
  <conditionalFormatting sqref="AI10">
    <cfRule type="expression" dxfId="3511" priority="1889">
      <formula>AND(IF(OR($Q10=1,$Q10=2),1,0),IF($X10&lt;=20,1,0))</formula>
    </cfRule>
    <cfRule type="expression" dxfId="3510" priority="1890">
      <formula>AND(IF($Q10=2,1,0),IF($X10&lt;30,1,0))</formula>
    </cfRule>
    <cfRule type="expression" dxfId="3509" priority="1891">
      <formula>AND(IF($Q10=3,1,0),IF($X10&lt;30,1,0))</formula>
    </cfRule>
    <cfRule type="expression" dxfId="3508" priority="1892">
      <formula>AND(IF($Q10=3,1,IF($Q10=4,1,0)),IF($F10&lt;=85,1,0))</formula>
    </cfRule>
  </conditionalFormatting>
  <conditionalFormatting sqref="AV11">
    <cfRule type="expression" dxfId="3507" priority="1887">
      <formula>AV11="X"</formula>
    </cfRule>
    <cfRule type="expression" dxfId="3506" priority="1888">
      <formula>AV11="후보"</formula>
    </cfRule>
  </conditionalFormatting>
  <conditionalFormatting sqref="Z11">
    <cfRule type="colorScale" priority="18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505" priority="1884" operator="greaterThan">
      <formula>0.9</formula>
    </cfRule>
    <cfRule type="cellIs" dxfId="3504" priority="1885" operator="greaterThan">
      <formula>0.85</formula>
    </cfRule>
  </conditionalFormatting>
  <conditionalFormatting sqref="N11">
    <cfRule type="cellIs" dxfId="3503" priority="1882" operator="greaterThan">
      <formula>0.9</formula>
    </cfRule>
    <cfRule type="cellIs" dxfId="3502" priority="1883" operator="greaterThan">
      <formula>0.85</formula>
    </cfRule>
  </conditionalFormatting>
  <conditionalFormatting sqref="E11">
    <cfRule type="expression" dxfId="3501" priority="1878">
      <formula>AND(IF(OR($Q11=1,$Q11=2),1,0),IF($X11&lt;=20,1,0))</formula>
    </cfRule>
    <cfRule type="expression" dxfId="3500" priority="1879">
      <formula>AND(IF($Q11=2,1,0),IF($X11&lt;30,1,0))</formula>
    </cfRule>
    <cfRule type="expression" dxfId="3499" priority="1880">
      <formula>AND(IF($Q11=3,1,0),IF($X11&lt;30,1,0))</formula>
    </cfRule>
    <cfRule type="expression" dxfId="3498" priority="1881">
      <formula>AND(IF($Q11=3,1,IF($Q11=4,1,0)),IF($F11&lt;=85,1,0))</formula>
    </cfRule>
  </conditionalFormatting>
  <conditionalFormatting sqref="X11">
    <cfRule type="expression" dxfId="3497" priority="1874">
      <formula>AND(IF(OR($Q11=1,$Q11=2),1,0),IF($X11&lt;=20,1,0))</formula>
    </cfRule>
    <cfRule type="expression" dxfId="3496" priority="1875">
      <formula>AND(IF($Q11=2,1,0),IF($X11&lt;30,1,0))</formula>
    </cfRule>
    <cfRule type="expression" dxfId="3495" priority="1876">
      <formula>AND(IF($Q11=3,1,0),IF($X11&lt;30,1,0))</formula>
    </cfRule>
    <cfRule type="expression" dxfId="3494" priority="1877">
      <formula>AND(IF($Q11=3,1,IF($Q11=4,1,0)),IF($F11&lt;=85,1,0))</formula>
    </cfRule>
  </conditionalFormatting>
  <conditionalFormatting sqref="AI11">
    <cfRule type="expression" dxfId="3493" priority="1870">
      <formula>AND(IF(OR($Q11=1,$Q11=2),1,0),IF($X11&lt;=20,1,0))</formula>
    </cfRule>
    <cfRule type="expression" dxfId="3492" priority="1871">
      <formula>AND(IF($Q11=2,1,0),IF($X11&lt;30,1,0))</formula>
    </cfRule>
    <cfRule type="expression" dxfId="3491" priority="1872">
      <formula>AND(IF($Q11=3,1,0),IF($X11&lt;30,1,0))</formula>
    </cfRule>
    <cfRule type="expression" dxfId="3490" priority="1873">
      <formula>AND(IF($Q11=3,1,IF($Q11=4,1,0)),IF($F11&lt;=85,1,0))</formula>
    </cfRule>
  </conditionalFormatting>
  <conditionalFormatting sqref="AV12">
    <cfRule type="expression" dxfId="3489" priority="1868">
      <formula>AV12="X"</formula>
    </cfRule>
    <cfRule type="expression" dxfId="3488" priority="1869">
      <formula>AV12="후보"</formula>
    </cfRule>
  </conditionalFormatting>
  <conditionalFormatting sqref="Z12">
    <cfRule type="colorScale" priority="18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487" priority="1865" operator="greaterThan">
      <formula>0.9</formula>
    </cfRule>
    <cfRule type="cellIs" dxfId="3486" priority="1866" operator="greaterThan">
      <formula>0.85</formula>
    </cfRule>
  </conditionalFormatting>
  <conditionalFormatting sqref="N12">
    <cfRule type="cellIs" dxfId="3485" priority="1863" operator="greaterThan">
      <formula>0.9</formula>
    </cfRule>
    <cfRule type="cellIs" dxfId="3484" priority="1864" operator="greaterThan">
      <formula>0.85</formula>
    </cfRule>
  </conditionalFormatting>
  <conditionalFormatting sqref="E12">
    <cfRule type="expression" dxfId="3483" priority="1859">
      <formula>AND(IF(OR($Q12=1,$Q12=2),1,0),IF($X12&lt;=20,1,0))</formula>
    </cfRule>
    <cfRule type="expression" dxfId="3482" priority="1860">
      <formula>AND(IF($Q12=2,1,0),IF($X12&lt;30,1,0))</formula>
    </cfRule>
    <cfRule type="expression" dxfId="3481" priority="1861">
      <formula>AND(IF($Q12=3,1,0),IF($X12&lt;30,1,0))</formula>
    </cfRule>
    <cfRule type="expression" dxfId="3480" priority="1862">
      <formula>AND(IF($Q12=3,1,IF($Q12=4,1,0)),IF($F12&lt;=85,1,0))</formula>
    </cfRule>
  </conditionalFormatting>
  <conditionalFormatting sqref="X12">
    <cfRule type="expression" dxfId="3479" priority="1855">
      <formula>AND(IF(OR($Q12=1,$Q12=2),1,0),IF($X12&lt;=20,1,0))</formula>
    </cfRule>
    <cfRule type="expression" dxfId="3478" priority="1856">
      <formula>AND(IF($Q12=2,1,0),IF($X12&lt;30,1,0))</formula>
    </cfRule>
    <cfRule type="expression" dxfId="3477" priority="1857">
      <formula>AND(IF($Q12=3,1,0),IF($X12&lt;30,1,0))</formula>
    </cfRule>
    <cfRule type="expression" dxfId="3476" priority="1858">
      <formula>AND(IF($Q12=3,1,IF($Q12=4,1,0)),IF($F12&lt;=85,1,0))</formula>
    </cfRule>
  </conditionalFormatting>
  <conditionalFormatting sqref="AI12">
    <cfRule type="expression" dxfId="3475" priority="1851">
      <formula>AND(IF(OR($Q12=1,$Q12=2),1,0),IF($X12&lt;=20,1,0))</formula>
    </cfRule>
    <cfRule type="expression" dxfId="3474" priority="1852">
      <formula>AND(IF($Q12=2,1,0),IF($X12&lt;30,1,0))</formula>
    </cfRule>
    <cfRule type="expression" dxfId="3473" priority="1853">
      <formula>AND(IF($Q12=3,1,0),IF($X12&lt;30,1,0))</formula>
    </cfRule>
    <cfRule type="expression" dxfId="3472" priority="1854">
      <formula>AND(IF($Q12=3,1,IF($Q12=4,1,0)),IF($F12&lt;=85,1,0))</formula>
    </cfRule>
  </conditionalFormatting>
  <conditionalFormatting sqref="AV13">
    <cfRule type="expression" dxfId="3471" priority="1849">
      <formula>AV13="X"</formula>
    </cfRule>
    <cfRule type="expression" dxfId="3470" priority="1850">
      <formula>AV13="후보"</formula>
    </cfRule>
  </conditionalFormatting>
  <conditionalFormatting sqref="Z13">
    <cfRule type="colorScale" priority="18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3469" priority="1846" operator="greaterThan">
      <formula>0.9</formula>
    </cfRule>
    <cfRule type="cellIs" dxfId="3468" priority="1847" operator="greaterThan">
      <formula>0.85</formula>
    </cfRule>
  </conditionalFormatting>
  <conditionalFormatting sqref="AV14">
    <cfRule type="expression" dxfId="3467" priority="1844">
      <formula>AV14="X"</formula>
    </cfRule>
    <cfRule type="expression" dxfId="3466" priority="1845">
      <formula>AV14="후보"</formula>
    </cfRule>
  </conditionalFormatting>
  <conditionalFormatting sqref="Z14">
    <cfRule type="colorScale" priority="18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465" priority="1841" operator="greaterThan">
      <formula>0.9</formula>
    </cfRule>
    <cfRule type="cellIs" dxfId="3464" priority="1842" operator="greaterThan">
      <formula>0.85</formula>
    </cfRule>
  </conditionalFormatting>
  <conditionalFormatting sqref="N14">
    <cfRule type="cellIs" dxfId="3463" priority="1839" operator="greaterThan">
      <formula>0.9</formula>
    </cfRule>
    <cfRule type="cellIs" dxfId="3462" priority="1840" operator="greaterThan">
      <formula>0.85</formula>
    </cfRule>
  </conditionalFormatting>
  <conditionalFormatting sqref="E14">
    <cfRule type="expression" dxfId="3461" priority="1835">
      <formula>AND(IF(OR($Q14=1,$Q14=2),1,0),IF($X14&lt;=20,1,0))</formula>
    </cfRule>
    <cfRule type="expression" dxfId="3460" priority="1836">
      <formula>AND(IF($Q14=2,1,0),IF($X14&lt;30,1,0))</formula>
    </cfRule>
    <cfRule type="expression" dxfId="3459" priority="1837">
      <formula>AND(IF($Q14=3,1,0),IF($X14&lt;30,1,0))</formula>
    </cfRule>
    <cfRule type="expression" dxfId="3458" priority="1838">
      <formula>AND(IF($Q14=3,1,IF($Q14=4,1,0)),IF($F14&lt;=85,1,0))</formula>
    </cfRule>
  </conditionalFormatting>
  <conditionalFormatting sqref="X14">
    <cfRule type="expression" dxfId="3457" priority="1831">
      <formula>AND(IF(OR($Q14=1,$Q14=2),1,0),IF($X14&lt;=20,1,0))</formula>
    </cfRule>
    <cfRule type="expression" dxfId="3456" priority="1832">
      <formula>AND(IF($Q14=2,1,0),IF($X14&lt;30,1,0))</formula>
    </cfRule>
    <cfRule type="expression" dxfId="3455" priority="1833">
      <formula>AND(IF($Q14=3,1,0),IF($X14&lt;30,1,0))</formula>
    </cfRule>
    <cfRule type="expression" dxfId="3454" priority="1834">
      <formula>AND(IF($Q14=3,1,IF($Q14=4,1,0)),IF($F14&lt;=85,1,0))</formula>
    </cfRule>
  </conditionalFormatting>
  <conditionalFormatting sqref="AI14">
    <cfRule type="expression" dxfId="3453" priority="1827">
      <formula>AND(IF(OR($Q14=1,$Q14=2),1,0),IF($X14&lt;=20,1,0))</formula>
    </cfRule>
    <cfRule type="expression" dxfId="3452" priority="1828">
      <formula>AND(IF($Q14=2,1,0),IF($X14&lt;30,1,0))</formula>
    </cfRule>
    <cfRule type="expression" dxfId="3451" priority="1829">
      <formula>AND(IF($Q14=3,1,0),IF($X14&lt;30,1,0))</formula>
    </cfRule>
    <cfRule type="expression" dxfId="3450" priority="1830">
      <formula>AND(IF($Q14=3,1,IF($Q14=4,1,0)),IF($F14&lt;=85,1,0))</formula>
    </cfRule>
  </conditionalFormatting>
  <conditionalFormatting sqref="AV15">
    <cfRule type="expression" dxfId="3449" priority="1825">
      <formula>AV15="X"</formula>
    </cfRule>
    <cfRule type="expression" dxfId="3448" priority="1826">
      <formula>AV15="후보"</formula>
    </cfRule>
  </conditionalFormatting>
  <conditionalFormatting sqref="Z15">
    <cfRule type="colorScale" priority="18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3447" priority="1822" operator="greaterThan">
      <formula>0.9</formula>
    </cfRule>
    <cfRule type="cellIs" dxfId="3446" priority="1823" operator="greaterThan">
      <formula>0.85</formula>
    </cfRule>
  </conditionalFormatting>
  <conditionalFormatting sqref="N15">
    <cfRule type="cellIs" dxfId="3445" priority="1820" operator="greaterThan">
      <formula>0.9</formula>
    </cfRule>
    <cfRule type="cellIs" dxfId="3444" priority="1821" operator="greaterThan">
      <formula>0.85</formula>
    </cfRule>
  </conditionalFormatting>
  <conditionalFormatting sqref="E15">
    <cfRule type="expression" dxfId="3443" priority="1816">
      <formula>AND(IF(OR($Q15=1,$Q15=2),1,0),IF($X15&lt;=20,1,0))</formula>
    </cfRule>
    <cfRule type="expression" dxfId="3442" priority="1817">
      <formula>AND(IF($Q15=2,1,0),IF($X15&lt;30,1,0))</formula>
    </cfRule>
    <cfRule type="expression" dxfId="3441" priority="1818">
      <formula>AND(IF($Q15=3,1,0),IF($X15&lt;30,1,0))</formula>
    </cfRule>
    <cfRule type="expression" dxfId="3440" priority="1819">
      <formula>AND(IF($Q15=3,1,IF($Q15=4,1,0)),IF($F15&lt;=85,1,0))</formula>
    </cfRule>
  </conditionalFormatting>
  <conditionalFormatting sqref="X15">
    <cfRule type="expression" dxfId="3439" priority="1812">
      <formula>AND(IF(OR($Q15=1,$Q15=2),1,0),IF($X15&lt;=20,1,0))</formula>
    </cfRule>
    <cfRule type="expression" dxfId="3438" priority="1813">
      <formula>AND(IF($Q15=2,1,0),IF($X15&lt;30,1,0))</formula>
    </cfRule>
    <cfRule type="expression" dxfId="3437" priority="1814">
      <formula>AND(IF($Q15=3,1,0),IF($X15&lt;30,1,0))</formula>
    </cfRule>
    <cfRule type="expression" dxfId="3436" priority="1815">
      <formula>AND(IF($Q15=3,1,IF($Q15=4,1,0)),IF($F15&lt;=85,1,0))</formula>
    </cfRule>
  </conditionalFormatting>
  <conditionalFormatting sqref="AI15">
    <cfRule type="expression" dxfId="3435" priority="1808">
      <formula>AND(IF(OR($Q15=1,$Q15=2),1,0),IF($X15&lt;=20,1,0))</formula>
    </cfRule>
    <cfRule type="expression" dxfId="3434" priority="1809">
      <formula>AND(IF($Q15=2,1,0),IF($X15&lt;30,1,0))</formula>
    </cfRule>
    <cfRule type="expression" dxfId="3433" priority="1810">
      <formula>AND(IF($Q15=3,1,0),IF($X15&lt;30,1,0))</formula>
    </cfRule>
    <cfRule type="expression" dxfId="3432" priority="1811">
      <formula>AND(IF($Q15=3,1,IF($Q15=4,1,0)),IF($F15&lt;=85,1,0))</formula>
    </cfRule>
  </conditionalFormatting>
  <conditionalFormatting sqref="AV16">
    <cfRule type="expression" dxfId="3431" priority="1806">
      <formula>AV16="X"</formula>
    </cfRule>
    <cfRule type="expression" dxfId="3430" priority="1807">
      <formula>AV16="후보"</formula>
    </cfRule>
  </conditionalFormatting>
  <conditionalFormatting sqref="Z16">
    <cfRule type="colorScale" priority="18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3429" priority="1803" operator="greaterThan">
      <formula>0.9</formula>
    </cfRule>
    <cfRule type="cellIs" dxfId="3428" priority="1804" operator="greaterThan">
      <formula>0.85</formula>
    </cfRule>
  </conditionalFormatting>
  <conditionalFormatting sqref="N16">
    <cfRule type="cellIs" dxfId="3427" priority="1801" operator="greaterThan">
      <formula>0.9</formula>
    </cfRule>
    <cfRule type="cellIs" dxfId="3426" priority="1802" operator="greaterThan">
      <formula>0.85</formula>
    </cfRule>
  </conditionalFormatting>
  <conditionalFormatting sqref="E16">
    <cfRule type="expression" dxfId="3425" priority="1797">
      <formula>AND(IF(OR($Q16=1,$Q16=2),1,0),IF($X16&lt;=20,1,0))</formula>
    </cfRule>
    <cfRule type="expression" dxfId="3424" priority="1798">
      <formula>AND(IF($Q16=2,1,0),IF($X16&lt;30,1,0))</formula>
    </cfRule>
    <cfRule type="expression" dxfId="3423" priority="1799">
      <formula>AND(IF($Q16=3,1,0),IF($X16&lt;30,1,0))</formula>
    </cfRule>
    <cfRule type="expression" dxfId="3422" priority="1800">
      <formula>AND(IF($Q16=3,1,IF($Q16=4,1,0)),IF($F16&lt;=85,1,0))</formula>
    </cfRule>
  </conditionalFormatting>
  <conditionalFormatting sqref="X16">
    <cfRule type="expression" dxfId="3421" priority="1793">
      <formula>AND(IF(OR($Q16=1,$Q16=2),1,0),IF($X16&lt;=20,1,0))</formula>
    </cfRule>
    <cfRule type="expression" dxfId="3420" priority="1794">
      <formula>AND(IF($Q16=2,1,0),IF($X16&lt;30,1,0))</formula>
    </cfRule>
    <cfRule type="expression" dxfId="3419" priority="1795">
      <formula>AND(IF($Q16=3,1,0),IF($X16&lt;30,1,0))</formula>
    </cfRule>
    <cfRule type="expression" dxfId="3418" priority="1796">
      <formula>AND(IF($Q16=3,1,IF($Q16=4,1,0)),IF($F16&lt;=85,1,0))</formula>
    </cfRule>
  </conditionalFormatting>
  <conditionalFormatting sqref="AI16">
    <cfRule type="expression" dxfId="3417" priority="1789">
      <formula>AND(IF(OR($Q16=1,$Q16=2),1,0),IF($X16&lt;=20,1,0))</formula>
    </cfRule>
    <cfRule type="expression" dxfId="3416" priority="1790">
      <formula>AND(IF($Q16=2,1,0),IF($X16&lt;30,1,0))</formula>
    </cfRule>
    <cfRule type="expression" dxfId="3415" priority="1791">
      <formula>AND(IF($Q16=3,1,0),IF($X16&lt;30,1,0))</formula>
    </cfRule>
    <cfRule type="expression" dxfId="3414" priority="1792">
      <formula>AND(IF($Q16=3,1,IF($Q16=4,1,0)),IF($F16&lt;=85,1,0))</formula>
    </cfRule>
  </conditionalFormatting>
  <conditionalFormatting sqref="AV17">
    <cfRule type="expression" dxfId="3413" priority="1787">
      <formula>AV17="X"</formula>
    </cfRule>
    <cfRule type="expression" dxfId="3412" priority="1788">
      <formula>AV17="후보"</formula>
    </cfRule>
  </conditionalFormatting>
  <conditionalFormatting sqref="Z17">
    <cfRule type="colorScale" priority="17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3411" priority="1784" operator="greaterThan">
      <formula>0.9</formula>
    </cfRule>
    <cfRule type="cellIs" dxfId="3410" priority="1785" operator="greaterThan">
      <formula>0.85</formula>
    </cfRule>
  </conditionalFormatting>
  <conditionalFormatting sqref="N17">
    <cfRule type="cellIs" dxfId="3409" priority="1782" operator="greaterThan">
      <formula>0.9</formula>
    </cfRule>
    <cfRule type="cellIs" dxfId="3408" priority="1783" operator="greaterThan">
      <formula>0.85</formula>
    </cfRule>
  </conditionalFormatting>
  <conditionalFormatting sqref="E17">
    <cfRule type="expression" dxfId="3407" priority="1778">
      <formula>AND(IF(OR($Q17=1,$Q17=2),1,0),IF($X17&lt;=20,1,0))</formula>
    </cfRule>
    <cfRule type="expression" dxfId="3406" priority="1779">
      <formula>AND(IF($Q17=2,1,0),IF($X17&lt;30,1,0))</formula>
    </cfRule>
    <cfRule type="expression" dxfId="3405" priority="1780">
      <formula>AND(IF($Q17=3,1,0),IF($X17&lt;30,1,0))</formula>
    </cfRule>
    <cfRule type="expression" dxfId="3404" priority="1781">
      <formula>AND(IF($Q17=3,1,IF($Q17=4,1,0)),IF($F17&lt;=85,1,0))</formula>
    </cfRule>
  </conditionalFormatting>
  <conditionalFormatting sqref="X17">
    <cfRule type="expression" dxfId="3403" priority="1774">
      <formula>AND(IF(OR($Q17=1,$Q17=2),1,0),IF($X17&lt;=20,1,0))</formula>
    </cfRule>
    <cfRule type="expression" dxfId="3402" priority="1775">
      <formula>AND(IF($Q17=2,1,0),IF($X17&lt;30,1,0))</formula>
    </cfRule>
    <cfRule type="expression" dxfId="3401" priority="1776">
      <formula>AND(IF($Q17=3,1,0),IF($X17&lt;30,1,0))</formula>
    </cfRule>
    <cfRule type="expression" dxfId="3400" priority="1777">
      <formula>AND(IF($Q17=3,1,IF($Q17=4,1,0)),IF($F17&lt;=85,1,0))</formula>
    </cfRule>
  </conditionalFormatting>
  <conditionalFormatting sqref="AI17">
    <cfRule type="expression" dxfId="3399" priority="1770">
      <formula>AND(IF(OR($Q17=1,$Q17=2),1,0),IF($X17&lt;=20,1,0))</formula>
    </cfRule>
    <cfRule type="expression" dxfId="3398" priority="1771">
      <formula>AND(IF($Q17=2,1,0),IF($X17&lt;30,1,0))</formula>
    </cfRule>
    <cfRule type="expression" dxfId="3397" priority="1772">
      <formula>AND(IF($Q17=3,1,0),IF($X17&lt;30,1,0))</formula>
    </cfRule>
    <cfRule type="expression" dxfId="3396" priority="1773">
      <formula>AND(IF($Q17=3,1,IF($Q17=4,1,0)),IF($F17&lt;=85,1,0))</formula>
    </cfRule>
  </conditionalFormatting>
  <conditionalFormatting sqref="AV18">
    <cfRule type="expression" dxfId="3395" priority="1768">
      <formula>AV18="X"</formula>
    </cfRule>
    <cfRule type="expression" dxfId="3394" priority="1769">
      <formula>AV18="후보"</formula>
    </cfRule>
  </conditionalFormatting>
  <conditionalFormatting sqref="Z18">
    <cfRule type="colorScale" priority="17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3393" priority="1765" operator="greaterThan">
      <formula>0.9</formula>
    </cfRule>
    <cfRule type="cellIs" dxfId="3392" priority="1766" operator="greaterThan">
      <formula>0.85</formula>
    </cfRule>
  </conditionalFormatting>
  <conditionalFormatting sqref="AV19">
    <cfRule type="expression" dxfId="3391" priority="1763">
      <formula>AV19="X"</formula>
    </cfRule>
    <cfRule type="expression" dxfId="3390" priority="1764">
      <formula>AV19="후보"</formula>
    </cfRule>
  </conditionalFormatting>
  <conditionalFormatting sqref="Z19">
    <cfRule type="colorScale" priority="17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3389" priority="1760" operator="greaterThan">
      <formula>0.9</formula>
    </cfRule>
    <cfRule type="cellIs" dxfId="3388" priority="1761" operator="greaterThan">
      <formula>0.85</formula>
    </cfRule>
  </conditionalFormatting>
  <conditionalFormatting sqref="N19">
    <cfRule type="cellIs" dxfId="3387" priority="1758" operator="greaterThan">
      <formula>0.9</formula>
    </cfRule>
    <cfRule type="cellIs" dxfId="3386" priority="1759" operator="greaterThan">
      <formula>0.85</formula>
    </cfRule>
  </conditionalFormatting>
  <conditionalFormatting sqref="E19">
    <cfRule type="expression" dxfId="3385" priority="1754">
      <formula>AND(IF(OR($Q19=1,$Q19=2),1,0),IF($X19&lt;=20,1,0))</formula>
    </cfRule>
    <cfRule type="expression" dxfId="3384" priority="1755">
      <formula>AND(IF($Q19=2,1,0),IF($X19&lt;30,1,0))</formula>
    </cfRule>
    <cfRule type="expression" dxfId="3383" priority="1756">
      <formula>AND(IF($Q19=3,1,0),IF($X19&lt;30,1,0))</formula>
    </cfRule>
    <cfRule type="expression" dxfId="3382" priority="1757">
      <formula>AND(IF($Q19=3,1,IF($Q19=4,1,0)),IF($F19&lt;=85,1,0))</formula>
    </cfRule>
  </conditionalFormatting>
  <conditionalFormatting sqref="X19">
    <cfRule type="expression" dxfId="3381" priority="1750">
      <formula>AND(IF(OR($Q19=1,$Q19=2),1,0),IF($X19&lt;=20,1,0))</formula>
    </cfRule>
    <cfRule type="expression" dxfId="3380" priority="1751">
      <formula>AND(IF($Q19=2,1,0),IF($X19&lt;30,1,0))</formula>
    </cfRule>
    <cfRule type="expression" dxfId="3379" priority="1752">
      <formula>AND(IF($Q19=3,1,0),IF($X19&lt;30,1,0))</formula>
    </cfRule>
    <cfRule type="expression" dxfId="3378" priority="1753">
      <formula>AND(IF($Q19=3,1,IF($Q19=4,1,0)),IF($F19&lt;=85,1,0))</formula>
    </cfRule>
  </conditionalFormatting>
  <conditionalFormatting sqref="AI19">
    <cfRule type="expression" dxfId="3377" priority="1746">
      <formula>AND(IF(OR($Q19=1,$Q19=2),1,0),IF($X19&lt;=20,1,0))</formula>
    </cfRule>
    <cfRule type="expression" dxfId="3376" priority="1747">
      <formula>AND(IF($Q19=2,1,0),IF($X19&lt;30,1,0))</formula>
    </cfRule>
    <cfRule type="expression" dxfId="3375" priority="1748">
      <formula>AND(IF($Q19=3,1,0),IF($X19&lt;30,1,0))</formula>
    </cfRule>
    <cfRule type="expression" dxfId="3374" priority="1749">
      <formula>AND(IF($Q19=3,1,IF($Q19=4,1,0)),IF($F19&lt;=85,1,0))</formula>
    </cfRule>
  </conditionalFormatting>
  <conditionalFormatting sqref="AV20">
    <cfRule type="expression" dxfId="3373" priority="1744">
      <formula>AV20="X"</formula>
    </cfRule>
    <cfRule type="expression" dxfId="3372" priority="1745">
      <formula>AV20="후보"</formula>
    </cfRule>
  </conditionalFormatting>
  <conditionalFormatting sqref="Z20">
    <cfRule type="colorScale" priority="17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371" priority="1741" operator="greaterThan">
      <formula>0.9</formula>
    </cfRule>
    <cfRule type="cellIs" dxfId="3370" priority="1742" operator="greaterThan">
      <formula>0.85</formula>
    </cfRule>
  </conditionalFormatting>
  <conditionalFormatting sqref="N20">
    <cfRule type="cellIs" dxfId="3369" priority="1739" operator="greaterThan">
      <formula>0.9</formula>
    </cfRule>
    <cfRule type="cellIs" dxfId="3368" priority="1740" operator="greaterThan">
      <formula>0.85</formula>
    </cfRule>
  </conditionalFormatting>
  <conditionalFormatting sqref="E20">
    <cfRule type="expression" dxfId="3367" priority="1735">
      <formula>AND(IF(OR($Q20=1,$Q20=2),1,0),IF($X20&lt;=20,1,0))</formula>
    </cfRule>
    <cfRule type="expression" dxfId="3366" priority="1736">
      <formula>AND(IF($Q20=2,1,0),IF($X20&lt;30,1,0))</formula>
    </cfRule>
    <cfRule type="expression" dxfId="3365" priority="1737">
      <formula>AND(IF($Q20=3,1,0),IF($X20&lt;30,1,0))</formula>
    </cfRule>
    <cfRule type="expression" dxfId="3364" priority="1738">
      <formula>AND(IF($Q20=3,1,IF($Q20=4,1,0)),IF($F20&lt;=85,1,0))</formula>
    </cfRule>
  </conditionalFormatting>
  <conditionalFormatting sqref="X20">
    <cfRule type="expression" dxfId="3363" priority="1731">
      <formula>AND(IF(OR($Q20=1,$Q20=2),1,0),IF($X20&lt;=20,1,0))</formula>
    </cfRule>
    <cfRule type="expression" dxfId="3362" priority="1732">
      <formula>AND(IF($Q20=2,1,0),IF($X20&lt;30,1,0))</formula>
    </cfRule>
    <cfRule type="expression" dxfId="3361" priority="1733">
      <formula>AND(IF($Q20=3,1,0),IF($X20&lt;30,1,0))</formula>
    </cfRule>
    <cfRule type="expression" dxfId="3360" priority="1734">
      <formula>AND(IF($Q20=3,1,IF($Q20=4,1,0)),IF($F20&lt;=85,1,0))</formula>
    </cfRule>
  </conditionalFormatting>
  <conditionalFormatting sqref="AI20">
    <cfRule type="expression" dxfId="3359" priority="1727">
      <formula>AND(IF(OR($Q20=1,$Q20=2),1,0),IF($X20&lt;=20,1,0))</formula>
    </cfRule>
    <cfRule type="expression" dxfId="3358" priority="1728">
      <formula>AND(IF($Q20=2,1,0),IF($X20&lt;30,1,0))</formula>
    </cfRule>
    <cfRule type="expression" dxfId="3357" priority="1729">
      <formula>AND(IF($Q20=3,1,0),IF($X20&lt;30,1,0))</formula>
    </cfRule>
    <cfRule type="expression" dxfId="3356" priority="1730">
      <formula>AND(IF($Q20=3,1,IF($Q20=4,1,0)),IF($F20&lt;=85,1,0))</formula>
    </cfRule>
  </conditionalFormatting>
  <conditionalFormatting sqref="AV21">
    <cfRule type="expression" dxfId="3355" priority="1725">
      <formula>AV21="X"</formula>
    </cfRule>
    <cfRule type="expression" dxfId="3354" priority="1726">
      <formula>AV21="후보"</formula>
    </cfRule>
  </conditionalFormatting>
  <conditionalFormatting sqref="Z21">
    <cfRule type="colorScale" priority="17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3353" priority="1722" operator="greaterThan">
      <formula>0.9</formula>
    </cfRule>
    <cfRule type="cellIs" dxfId="3352" priority="1723" operator="greaterThan">
      <formula>0.85</formula>
    </cfRule>
  </conditionalFormatting>
  <conditionalFormatting sqref="AV22">
    <cfRule type="expression" dxfId="3351" priority="1720">
      <formula>AV22="X"</formula>
    </cfRule>
    <cfRule type="expression" dxfId="3350" priority="1721">
      <formula>AV22="후보"</formula>
    </cfRule>
  </conditionalFormatting>
  <conditionalFormatting sqref="Z22">
    <cfRule type="colorScale" priority="17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349" priority="1717" operator="greaterThan">
      <formula>0.9</formula>
    </cfRule>
    <cfRule type="cellIs" dxfId="3348" priority="1718" operator="greaterThan">
      <formula>0.85</formula>
    </cfRule>
  </conditionalFormatting>
  <conditionalFormatting sqref="N22">
    <cfRule type="cellIs" dxfId="3347" priority="1715" operator="greaterThan">
      <formula>0.9</formula>
    </cfRule>
    <cfRule type="cellIs" dxfId="3346" priority="1716" operator="greaterThan">
      <formula>0.85</formula>
    </cfRule>
  </conditionalFormatting>
  <conditionalFormatting sqref="E22">
    <cfRule type="expression" dxfId="3345" priority="1711">
      <formula>AND(IF(OR($Q22=1,$Q22=2),1,0),IF($X22&lt;=20,1,0))</formula>
    </cfRule>
    <cfRule type="expression" dxfId="3344" priority="1712">
      <formula>AND(IF($Q22=2,1,0),IF($X22&lt;30,1,0))</formula>
    </cfRule>
    <cfRule type="expression" dxfId="3343" priority="1713">
      <formula>AND(IF($Q22=3,1,0),IF($X22&lt;30,1,0))</formula>
    </cfRule>
    <cfRule type="expression" dxfId="3342" priority="1714">
      <formula>AND(IF($Q22=3,1,IF($Q22=4,1,0)),IF($F22&lt;=85,1,0))</formula>
    </cfRule>
  </conditionalFormatting>
  <conditionalFormatting sqref="X22">
    <cfRule type="expression" dxfId="3341" priority="1707">
      <formula>AND(IF(OR($Q22=1,$Q22=2),1,0),IF($X22&lt;=20,1,0))</formula>
    </cfRule>
    <cfRule type="expression" dxfId="3340" priority="1708">
      <formula>AND(IF($Q22=2,1,0),IF($X22&lt;30,1,0))</formula>
    </cfRule>
    <cfRule type="expression" dxfId="3339" priority="1709">
      <formula>AND(IF($Q22=3,1,0),IF($X22&lt;30,1,0))</formula>
    </cfRule>
    <cfRule type="expression" dxfId="3338" priority="1710">
      <formula>AND(IF($Q22=3,1,IF($Q22=4,1,0)),IF($F22&lt;=85,1,0))</formula>
    </cfRule>
  </conditionalFormatting>
  <conditionalFormatting sqref="AI22">
    <cfRule type="expression" dxfId="3337" priority="1703">
      <formula>AND(IF(OR($Q22=1,$Q22=2),1,0),IF($X22&lt;=20,1,0))</formula>
    </cfRule>
    <cfRule type="expression" dxfId="3336" priority="1704">
      <formula>AND(IF($Q22=2,1,0),IF($X22&lt;30,1,0))</formula>
    </cfRule>
    <cfRule type="expression" dxfId="3335" priority="1705">
      <formula>AND(IF($Q22=3,1,0),IF($X22&lt;30,1,0))</formula>
    </cfRule>
    <cfRule type="expression" dxfId="3334" priority="1706">
      <formula>AND(IF($Q22=3,1,IF($Q22=4,1,0)),IF($F22&lt;=85,1,0))</formula>
    </cfRule>
  </conditionalFormatting>
  <conditionalFormatting sqref="AV23">
    <cfRule type="expression" dxfId="3333" priority="1701">
      <formula>AV23="X"</formula>
    </cfRule>
    <cfRule type="expression" dxfId="3332" priority="1702">
      <formula>AV23="후보"</formula>
    </cfRule>
  </conditionalFormatting>
  <conditionalFormatting sqref="Z23">
    <cfRule type="colorScale" priority="17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3331" priority="1698" operator="greaterThan">
      <formula>0.9</formula>
    </cfRule>
    <cfRule type="cellIs" dxfId="3330" priority="1699" operator="greaterThan">
      <formula>0.85</formula>
    </cfRule>
  </conditionalFormatting>
  <conditionalFormatting sqref="N23">
    <cfRule type="cellIs" dxfId="3329" priority="1696" operator="greaterThan">
      <formula>0.9</formula>
    </cfRule>
    <cfRule type="cellIs" dxfId="3328" priority="1697" operator="greaterThan">
      <formula>0.85</formula>
    </cfRule>
  </conditionalFormatting>
  <conditionalFormatting sqref="E23">
    <cfRule type="expression" dxfId="3327" priority="1692">
      <formula>AND(IF(OR($Q23=1,$Q23=2),1,0),IF($X23&lt;=20,1,0))</formula>
    </cfRule>
    <cfRule type="expression" dxfId="3326" priority="1693">
      <formula>AND(IF($Q23=2,1,0),IF($X23&lt;30,1,0))</formula>
    </cfRule>
    <cfRule type="expression" dxfId="3325" priority="1694">
      <formula>AND(IF($Q23=3,1,0),IF($X23&lt;30,1,0))</formula>
    </cfRule>
    <cfRule type="expression" dxfId="3324" priority="1695">
      <formula>AND(IF($Q23=3,1,IF($Q23=4,1,0)),IF($F23&lt;=85,1,0))</formula>
    </cfRule>
  </conditionalFormatting>
  <conditionalFormatting sqref="X23">
    <cfRule type="expression" dxfId="3323" priority="1688">
      <formula>AND(IF(OR($Q23=1,$Q23=2),1,0),IF($X23&lt;=20,1,0))</formula>
    </cfRule>
    <cfRule type="expression" dxfId="3322" priority="1689">
      <formula>AND(IF($Q23=2,1,0),IF($X23&lt;30,1,0))</formula>
    </cfRule>
    <cfRule type="expression" dxfId="3321" priority="1690">
      <formula>AND(IF($Q23=3,1,0),IF($X23&lt;30,1,0))</formula>
    </cfRule>
    <cfRule type="expression" dxfId="3320" priority="1691">
      <formula>AND(IF($Q23=3,1,IF($Q23=4,1,0)),IF($F23&lt;=85,1,0))</formula>
    </cfRule>
  </conditionalFormatting>
  <conditionalFormatting sqref="AI23">
    <cfRule type="expression" dxfId="3319" priority="1684">
      <formula>AND(IF(OR($Q23=1,$Q23=2),1,0),IF($X23&lt;=20,1,0))</formula>
    </cfRule>
    <cfRule type="expression" dxfId="3318" priority="1685">
      <formula>AND(IF($Q23=2,1,0),IF($X23&lt;30,1,0))</formula>
    </cfRule>
    <cfRule type="expression" dxfId="3317" priority="1686">
      <formula>AND(IF($Q23=3,1,0),IF($X23&lt;30,1,0))</formula>
    </cfRule>
    <cfRule type="expression" dxfId="3316" priority="1687">
      <formula>AND(IF($Q23=3,1,IF($Q23=4,1,0)),IF($F23&lt;=85,1,0))</formula>
    </cfRule>
  </conditionalFormatting>
  <conditionalFormatting sqref="AV24">
    <cfRule type="expression" dxfId="3315" priority="1682">
      <formula>AV24="X"</formula>
    </cfRule>
    <cfRule type="expression" dxfId="3314" priority="1683">
      <formula>AV24="후보"</formula>
    </cfRule>
  </conditionalFormatting>
  <conditionalFormatting sqref="Z24">
    <cfRule type="colorScale" priority="16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3313" priority="1679" operator="greaterThan">
      <formula>0.9</formula>
    </cfRule>
    <cfRule type="cellIs" dxfId="3312" priority="1680" operator="greaterThan">
      <formula>0.85</formula>
    </cfRule>
  </conditionalFormatting>
  <conditionalFormatting sqref="N24">
    <cfRule type="cellIs" dxfId="3311" priority="1677" operator="greaterThan">
      <formula>0.9</formula>
    </cfRule>
    <cfRule type="cellIs" dxfId="3310" priority="1678" operator="greaterThan">
      <formula>0.85</formula>
    </cfRule>
  </conditionalFormatting>
  <conditionalFormatting sqref="E24">
    <cfRule type="expression" dxfId="3309" priority="1673">
      <formula>AND(IF(OR($Q24=1,$Q24=2),1,0),IF($X24&lt;=20,1,0))</formula>
    </cfRule>
    <cfRule type="expression" dxfId="3308" priority="1674">
      <formula>AND(IF($Q24=2,1,0),IF($X24&lt;30,1,0))</formula>
    </cfRule>
    <cfRule type="expression" dxfId="3307" priority="1675">
      <formula>AND(IF($Q24=3,1,0),IF($X24&lt;30,1,0))</formula>
    </cfRule>
    <cfRule type="expression" dxfId="3306" priority="1676">
      <formula>AND(IF($Q24=3,1,IF($Q24=4,1,0)),IF($F24&lt;=85,1,0))</formula>
    </cfRule>
  </conditionalFormatting>
  <conditionalFormatting sqref="X24">
    <cfRule type="expression" dxfId="3305" priority="1669">
      <formula>AND(IF(OR($Q24=1,$Q24=2),1,0),IF($X24&lt;=20,1,0))</formula>
    </cfRule>
    <cfRule type="expression" dxfId="3304" priority="1670">
      <formula>AND(IF($Q24=2,1,0),IF($X24&lt;30,1,0))</formula>
    </cfRule>
    <cfRule type="expression" dxfId="3303" priority="1671">
      <formula>AND(IF($Q24=3,1,0),IF($X24&lt;30,1,0))</formula>
    </cfRule>
    <cfRule type="expression" dxfId="3302" priority="1672">
      <formula>AND(IF($Q24=3,1,IF($Q24=4,1,0)),IF($F24&lt;=85,1,0))</formula>
    </cfRule>
  </conditionalFormatting>
  <conditionalFormatting sqref="AI24">
    <cfRule type="expression" dxfId="3301" priority="1665">
      <formula>AND(IF(OR($Q24=1,$Q24=2),1,0),IF($X24&lt;=20,1,0))</formula>
    </cfRule>
    <cfRule type="expression" dxfId="3300" priority="1666">
      <formula>AND(IF($Q24=2,1,0),IF($X24&lt;30,1,0))</formula>
    </cfRule>
    <cfRule type="expression" dxfId="3299" priority="1667">
      <formula>AND(IF($Q24=3,1,0),IF($X24&lt;30,1,0))</formula>
    </cfRule>
    <cfRule type="expression" dxfId="3298" priority="1668">
      <formula>AND(IF($Q24=3,1,IF($Q24=4,1,0)),IF($F24&lt;=85,1,0))</formula>
    </cfRule>
  </conditionalFormatting>
  <conditionalFormatting sqref="AV25">
    <cfRule type="expression" dxfId="3297" priority="1663">
      <formula>AV25="X"</formula>
    </cfRule>
    <cfRule type="expression" dxfId="3296" priority="1664">
      <formula>AV25="후보"</formula>
    </cfRule>
  </conditionalFormatting>
  <conditionalFormatting sqref="Z25">
    <cfRule type="colorScale" priority="16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3295" priority="1660" operator="greaterThan">
      <formula>0.9</formula>
    </cfRule>
    <cfRule type="cellIs" dxfId="3294" priority="1661" operator="greaterThan">
      <formula>0.85</formula>
    </cfRule>
  </conditionalFormatting>
  <conditionalFormatting sqref="N25">
    <cfRule type="cellIs" dxfId="3293" priority="1658" operator="greaterThan">
      <formula>0.9</formula>
    </cfRule>
    <cfRule type="cellIs" dxfId="3292" priority="1659" operator="greaterThan">
      <formula>0.85</formula>
    </cfRule>
  </conditionalFormatting>
  <conditionalFormatting sqref="E25">
    <cfRule type="expression" dxfId="3291" priority="1654">
      <formula>AND(IF(OR($Q25=1,$Q25=2),1,0),IF($X25&lt;=20,1,0))</formula>
    </cfRule>
    <cfRule type="expression" dxfId="3290" priority="1655">
      <formula>AND(IF($Q25=2,1,0),IF($X25&lt;30,1,0))</formula>
    </cfRule>
    <cfRule type="expression" dxfId="3289" priority="1656">
      <formula>AND(IF($Q25=3,1,0),IF($X25&lt;30,1,0))</formula>
    </cfRule>
    <cfRule type="expression" dxfId="3288" priority="1657">
      <formula>AND(IF($Q25=3,1,IF($Q25=4,1,0)),IF($F25&lt;=85,1,0))</formula>
    </cfRule>
  </conditionalFormatting>
  <conditionalFormatting sqref="X25">
    <cfRule type="expression" dxfId="3287" priority="1650">
      <formula>AND(IF(OR($Q25=1,$Q25=2),1,0),IF($X25&lt;=20,1,0))</formula>
    </cfRule>
    <cfRule type="expression" dxfId="3286" priority="1651">
      <formula>AND(IF($Q25=2,1,0),IF($X25&lt;30,1,0))</formula>
    </cfRule>
    <cfRule type="expression" dxfId="3285" priority="1652">
      <formula>AND(IF($Q25=3,1,0),IF($X25&lt;30,1,0))</formula>
    </cfRule>
    <cfRule type="expression" dxfId="3284" priority="1653">
      <formula>AND(IF($Q25=3,1,IF($Q25=4,1,0)),IF($F25&lt;=85,1,0))</formula>
    </cfRule>
  </conditionalFormatting>
  <conditionalFormatting sqref="AI25">
    <cfRule type="expression" dxfId="3283" priority="1646">
      <formula>AND(IF(OR($Q25=1,$Q25=2),1,0),IF($X25&lt;=20,1,0))</formula>
    </cfRule>
    <cfRule type="expression" dxfId="3282" priority="1647">
      <formula>AND(IF($Q25=2,1,0),IF($X25&lt;30,1,0))</formula>
    </cfRule>
    <cfRule type="expression" dxfId="3281" priority="1648">
      <formula>AND(IF($Q25=3,1,0),IF($X25&lt;30,1,0))</formula>
    </cfRule>
    <cfRule type="expression" dxfId="3280" priority="1649">
      <formula>AND(IF($Q25=3,1,IF($Q25=4,1,0)),IF($F25&lt;=85,1,0))</formula>
    </cfRule>
  </conditionalFormatting>
  <conditionalFormatting sqref="AV26">
    <cfRule type="expression" dxfId="3279" priority="1644">
      <formula>AV26="X"</formula>
    </cfRule>
    <cfRule type="expression" dxfId="3278" priority="1645">
      <formula>AV26="후보"</formula>
    </cfRule>
  </conditionalFormatting>
  <conditionalFormatting sqref="Z26">
    <cfRule type="colorScale" priority="16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3277" priority="1641" operator="greaterThan">
      <formula>0.9</formula>
    </cfRule>
    <cfRule type="cellIs" dxfId="3276" priority="1642" operator="greaterThan">
      <formula>0.85</formula>
    </cfRule>
  </conditionalFormatting>
  <conditionalFormatting sqref="AV27">
    <cfRule type="expression" dxfId="3275" priority="1639">
      <formula>AV27="X"</formula>
    </cfRule>
    <cfRule type="expression" dxfId="3274" priority="1640">
      <formula>AV27="후보"</formula>
    </cfRule>
  </conditionalFormatting>
  <conditionalFormatting sqref="Z27">
    <cfRule type="colorScale" priority="16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273" priority="1636" operator="greaterThan">
      <formula>0.9</formula>
    </cfRule>
    <cfRule type="cellIs" dxfId="3272" priority="1637" operator="greaterThan">
      <formula>0.85</formula>
    </cfRule>
  </conditionalFormatting>
  <conditionalFormatting sqref="N27">
    <cfRule type="cellIs" dxfId="3271" priority="1634" operator="greaterThan">
      <formula>0.9</formula>
    </cfRule>
    <cfRule type="cellIs" dxfId="3270" priority="1635" operator="greaterThan">
      <formula>0.85</formula>
    </cfRule>
  </conditionalFormatting>
  <conditionalFormatting sqref="E27">
    <cfRule type="expression" dxfId="3269" priority="1630">
      <formula>AND(IF(OR($Q27=1,$Q27=2),1,0),IF($X27&lt;=20,1,0))</formula>
    </cfRule>
    <cfRule type="expression" dxfId="3268" priority="1631">
      <formula>AND(IF($Q27=2,1,0),IF($X27&lt;30,1,0))</formula>
    </cfRule>
    <cfRule type="expression" dxfId="3267" priority="1632">
      <formula>AND(IF($Q27=3,1,0),IF($X27&lt;30,1,0))</formula>
    </cfRule>
    <cfRule type="expression" dxfId="3266" priority="1633">
      <formula>AND(IF($Q27=3,1,IF($Q27=4,1,0)),IF($F27&lt;=85,1,0))</formula>
    </cfRule>
  </conditionalFormatting>
  <conditionalFormatting sqref="X27">
    <cfRule type="expression" dxfId="3265" priority="1626">
      <formula>AND(IF(OR($Q27=1,$Q27=2),1,0),IF($X27&lt;=20,1,0))</formula>
    </cfRule>
    <cfRule type="expression" dxfId="3264" priority="1627">
      <formula>AND(IF($Q27=2,1,0),IF($X27&lt;30,1,0))</formula>
    </cfRule>
    <cfRule type="expression" dxfId="3263" priority="1628">
      <formula>AND(IF($Q27=3,1,0),IF($X27&lt;30,1,0))</formula>
    </cfRule>
    <cfRule type="expression" dxfId="3262" priority="1629">
      <formula>AND(IF($Q27=3,1,IF($Q27=4,1,0)),IF($F27&lt;=85,1,0))</formula>
    </cfRule>
  </conditionalFormatting>
  <conditionalFormatting sqref="AI27">
    <cfRule type="expression" dxfId="3261" priority="1622">
      <formula>AND(IF(OR($Q27=1,$Q27=2),1,0),IF($X27&lt;=20,1,0))</formula>
    </cfRule>
    <cfRule type="expression" dxfId="3260" priority="1623">
      <formula>AND(IF($Q27=2,1,0),IF($X27&lt;30,1,0))</formula>
    </cfRule>
    <cfRule type="expression" dxfId="3259" priority="1624">
      <formula>AND(IF($Q27=3,1,0),IF($X27&lt;30,1,0))</formula>
    </cfRule>
    <cfRule type="expression" dxfId="3258" priority="1625">
      <formula>AND(IF($Q27=3,1,IF($Q27=4,1,0)),IF($F27&lt;=85,1,0))</formula>
    </cfRule>
  </conditionalFormatting>
  <conditionalFormatting sqref="AV28">
    <cfRule type="expression" dxfId="3257" priority="1620">
      <formula>AV28="X"</formula>
    </cfRule>
    <cfRule type="expression" dxfId="3256" priority="1621">
      <formula>AV28="후보"</formula>
    </cfRule>
  </conditionalFormatting>
  <conditionalFormatting sqref="Z28">
    <cfRule type="colorScale" priority="16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3255" priority="1617" operator="greaterThan">
      <formula>0.9</formula>
    </cfRule>
    <cfRule type="cellIs" dxfId="3254" priority="1618" operator="greaterThan">
      <formula>0.85</formula>
    </cfRule>
  </conditionalFormatting>
  <conditionalFormatting sqref="N28">
    <cfRule type="cellIs" dxfId="3253" priority="1615" operator="greaterThan">
      <formula>0.9</formula>
    </cfRule>
    <cfRule type="cellIs" dxfId="3252" priority="1616" operator="greaterThan">
      <formula>0.85</formula>
    </cfRule>
  </conditionalFormatting>
  <conditionalFormatting sqref="E28">
    <cfRule type="expression" dxfId="3251" priority="1611">
      <formula>AND(IF(OR($Q28=1,$Q28=2),1,0),IF($X28&lt;=20,1,0))</formula>
    </cfRule>
    <cfRule type="expression" dxfId="3250" priority="1612">
      <formula>AND(IF($Q28=2,1,0),IF($X28&lt;30,1,0))</formula>
    </cfRule>
    <cfRule type="expression" dxfId="3249" priority="1613">
      <formula>AND(IF($Q28=3,1,0),IF($X28&lt;30,1,0))</formula>
    </cfRule>
    <cfRule type="expression" dxfId="3248" priority="1614">
      <formula>AND(IF($Q28=3,1,IF($Q28=4,1,0)),IF($F28&lt;=85,1,0))</formula>
    </cfRule>
  </conditionalFormatting>
  <conditionalFormatting sqref="X28">
    <cfRule type="expression" dxfId="3247" priority="1607">
      <formula>AND(IF(OR($Q28=1,$Q28=2),1,0),IF($X28&lt;=20,1,0))</formula>
    </cfRule>
    <cfRule type="expression" dxfId="3246" priority="1608">
      <formula>AND(IF($Q28=2,1,0),IF($X28&lt;30,1,0))</formula>
    </cfRule>
    <cfRule type="expression" dxfId="3245" priority="1609">
      <formula>AND(IF($Q28=3,1,0),IF($X28&lt;30,1,0))</formula>
    </cfRule>
    <cfRule type="expression" dxfId="3244" priority="1610">
      <formula>AND(IF($Q28=3,1,IF($Q28=4,1,0)),IF($F28&lt;=85,1,0))</formula>
    </cfRule>
  </conditionalFormatting>
  <conditionalFormatting sqref="AI28">
    <cfRule type="expression" dxfId="3243" priority="1603">
      <formula>AND(IF(OR($Q28=1,$Q28=2),1,0),IF($X28&lt;=20,1,0))</formula>
    </cfRule>
    <cfRule type="expression" dxfId="3242" priority="1604">
      <formula>AND(IF($Q28=2,1,0),IF($X28&lt;30,1,0))</formula>
    </cfRule>
    <cfRule type="expression" dxfId="3241" priority="1605">
      <formula>AND(IF($Q28=3,1,0),IF($X28&lt;30,1,0))</formula>
    </cfRule>
    <cfRule type="expression" dxfId="3240" priority="1606">
      <formula>AND(IF($Q28=3,1,IF($Q28=4,1,0)),IF($F28&lt;=85,1,0))</formula>
    </cfRule>
  </conditionalFormatting>
  <conditionalFormatting sqref="AV29">
    <cfRule type="expression" dxfId="3239" priority="1601">
      <formula>AV29="X"</formula>
    </cfRule>
    <cfRule type="expression" dxfId="3238" priority="1602">
      <formula>AV29="후보"</formula>
    </cfRule>
  </conditionalFormatting>
  <conditionalFormatting sqref="Z29">
    <cfRule type="colorScale" priority="16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3237" priority="1598" operator="greaterThan">
      <formula>0.9</formula>
    </cfRule>
    <cfRule type="cellIs" dxfId="3236" priority="1599" operator="greaterThan">
      <formula>0.85</formula>
    </cfRule>
  </conditionalFormatting>
  <conditionalFormatting sqref="AV30">
    <cfRule type="expression" dxfId="3235" priority="1596">
      <formula>AV30="X"</formula>
    </cfRule>
    <cfRule type="expression" dxfId="3234" priority="1597">
      <formula>AV30="후보"</formula>
    </cfRule>
  </conditionalFormatting>
  <conditionalFormatting sqref="Z30">
    <cfRule type="colorScale" priority="15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233" priority="1593" operator="greaterThan">
      <formula>0.9</formula>
    </cfRule>
    <cfRule type="cellIs" dxfId="3232" priority="1594" operator="greaterThan">
      <formula>0.85</formula>
    </cfRule>
  </conditionalFormatting>
  <conditionalFormatting sqref="N30">
    <cfRule type="cellIs" dxfId="3231" priority="1591" operator="greaterThan">
      <formula>0.9</formula>
    </cfRule>
    <cfRule type="cellIs" dxfId="3230" priority="1592" operator="greaterThan">
      <formula>0.85</formula>
    </cfRule>
  </conditionalFormatting>
  <conditionalFormatting sqref="E30">
    <cfRule type="expression" dxfId="3229" priority="1587">
      <formula>AND(IF(OR($Q30=1,$Q30=2),1,0),IF($X30&lt;=20,1,0))</formula>
    </cfRule>
    <cfRule type="expression" dxfId="3228" priority="1588">
      <formula>AND(IF($Q30=2,1,0),IF($X30&lt;30,1,0))</formula>
    </cfRule>
    <cfRule type="expression" dxfId="3227" priority="1589">
      <formula>AND(IF($Q30=3,1,0),IF($X30&lt;30,1,0))</formula>
    </cfRule>
    <cfRule type="expression" dxfId="3226" priority="1590">
      <formula>AND(IF($Q30=3,1,IF($Q30=4,1,0)),IF($F30&lt;=85,1,0))</formula>
    </cfRule>
  </conditionalFormatting>
  <conditionalFormatting sqref="X30">
    <cfRule type="expression" dxfId="3225" priority="1583">
      <formula>AND(IF(OR($Q30=1,$Q30=2),1,0),IF($X30&lt;=20,1,0))</formula>
    </cfRule>
    <cfRule type="expression" dxfId="3224" priority="1584">
      <formula>AND(IF($Q30=2,1,0),IF($X30&lt;30,1,0))</formula>
    </cfRule>
    <cfRule type="expression" dxfId="3223" priority="1585">
      <formula>AND(IF($Q30=3,1,0),IF($X30&lt;30,1,0))</formula>
    </cfRule>
    <cfRule type="expression" dxfId="3222" priority="1586">
      <formula>AND(IF($Q30=3,1,IF($Q30=4,1,0)),IF($F30&lt;=85,1,0))</formula>
    </cfRule>
  </conditionalFormatting>
  <conditionalFormatting sqref="AI30">
    <cfRule type="expression" dxfId="3221" priority="1579">
      <formula>AND(IF(OR($Q30=1,$Q30=2),1,0),IF($X30&lt;=20,1,0))</formula>
    </cfRule>
    <cfRule type="expression" dxfId="3220" priority="1580">
      <formula>AND(IF($Q30=2,1,0),IF($X30&lt;30,1,0))</formula>
    </cfRule>
    <cfRule type="expression" dxfId="3219" priority="1581">
      <formula>AND(IF($Q30=3,1,0),IF($X30&lt;30,1,0))</formula>
    </cfRule>
    <cfRule type="expression" dxfId="3218" priority="1582">
      <formula>AND(IF($Q30=3,1,IF($Q30=4,1,0)),IF($F30&lt;=85,1,0))</formula>
    </cfRule>
  </conditionalFormatting>
  <conditionalFormatting sqref="AV31">
    <cfRule type="expression" dxfId="3217" priority="1577">
      <formula>AV31="X"</formula>
    </cfRule>
    <cfRule type="expression" dxfId="3216" priority="1578">
      <formula>AV31="후보"</formula>
    </cfRule>
  </conditionalFormatting>
  <conditionalFormatting sqref="Z31">
    <cfRule type="colorScale" priority="15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3215" priority="1574" operator="greaterThan">
      <formula>0.9</formula>
    </cfRule>
    <cfRule type="cellIs" dxfId="3214" priority="1575" operator="greaterThan">
      <formula>0.85</formula>
    </cfRule>
  </conditionalFormatting>
  <conditionalFormatting sqref="N31">
    <cfRule type="cellIs" dxfId="3213" priority="1572" operator="greaterThan">
      <formula>0.9</formula>
    </cfRule>
    <cfRule type="cellIs" dxfId="3212" priority="1573" operator="greaterThan">
      <formula>0.85</formula>
    </cfRule>
  </conditionalFormatting>
  <conditionalFormatting sqref="E31">
    <cfRule type="expression" dxfId="3211" priority="1568">
      <formula>AND(IF(OR($Q31=1,$Q31=2),1,0),IF($X31&lt;=20,1,0))</formula>
    </cfRule>
    <cfRule type="expression" dxfId="3210" priority="1569">
      <formula>AND(IF($Q31=2,1,0),IF($X31&lt;30,1,0))</formula>
    </cfRule>
    <cfRule type="expression" dxfId="3209" priority="1570">
      <formula>AND(IF($Q31=3,1,0),IF($X31&lt;30,1,0))</formula>
    </cfRule>
    <cfRule type="expression" dxfId="3208" priority="1571">
      <formula>AND(IF($Q31=3,1,IF($Q31=4,1,0)),IF($F31&lt;=85,1,0))</formula>
    </cfRule>
  </conditionalFormatting>
  <conditionalFormatting sqref="X31">
    <cfRule type="expression" dxfId="3207" priority="1564">
      <formula>AND(IF(OR($Q31=1,$Q31=2),1,0),IF($X31&lt;=20,1,0))</formula>
    </cfRule>
    <cfRule type="expression" dxfId="3206" priority="1565">
      <formula>AND(IF($Q31=2,1,0),IF($X31&lt;30,1,0))</formula>
    </cfRule>
    <cfRule type="expression" dxfId="3205" priority="1566">
      <formula>AND(IF($Q31=3,1,0),IF($X31&lt;30,1,0))</formula>
    </cfRule>
    <cfRule type="expression" dxfId="3204" priority="1567">
      <formula>AND(IF($Q31=3,1,IF($Q31=4,1,0)),IF($F31&lt;=85,1,0))</formula>
    </cfRule>
  </conditionalFormatting>
  <conditionalFormatting sqref="AI31">
    <cfRule type="expression" dxfId="3203" priority="1560">
      <formula>AND(IF(OR($Q31=1,$Q31=2),1,0),IF($X31&lt;=20,1,0))</formula>
    </cfRule>
    <cfRule type="expression" dxfId="3202" priority="1561">
      <formula>AND(IF($Q31=2,1,0),IF($X31&lt;30,1,0))</formula>
    </cfRule>
    <cfRule type="expression" dxfId="3201" priority="1562">
      <formula>AND(IF($Q31=3,1,0),IF($X31&lt;30,1,0))</formula>
    </cfRule>
    <cfRule type="expression" dxfId="3200" priority="1563">
      <formula>AND(IF($Q31=3,1,IF($Q31=4,1,0)),IF($F31&lt;=85,1,0))</formula>
    </cfRule>
  </conditionalFormatting>
  <conditionalFormatting sqref="AV32">
    <cfRule type="expression" dxfId="3199" priority="1558">
      <formula>AV32="X"</formula>
    </cfRule>
    <cfRule type="expression" dxfId="3198" priority="1559">
      <formula>AV32="후보"</formula>
    </cfRule>
  </conditionalFormatting>
  <conditionalFormatting sqref="Z32">
    <cfRule type="colorScale" priority="15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3197" priority="1555" operator="greaterThan">
      <formula>0.9</formula>
    </cfRule>
    <cfRule type="cellIs" dxfId="3196" priority="1556" operator="greaterThan">
      <formula>0.85</formula>
    </cfRule>
  </conditionalFormatting>
  <conditionalFormatting sqref="AV33">
    <cfRule type="expression" dxfId="3195" priority="1553">
      <formula>AV33="X"</formula>
    </cfRule>
    <cfRule type="expression" dxfId="3194" priority="1554">
      <formula>AV33="후보"</formula>
    </cfRule>
  </conditionalFormatting>
  <conditionalFormatting sqref="Z33">
    <cfRule type="colorScale" priority="15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3193" priority="1550" operator="greaterThan">
      <formula>0.9</formula>
    </cfRule>
    <cfRule type="cellIs" dxfId="3192" priority="1551" operator="greaterThan">
      <formula>0.85</formula>
    </cfRule>
  </conditionalFormatting>
  <conditionalFormatting sqref="N33">
    <cfRule type="cellIs" dxfId="3191" priority="1548" operator="greaterThan">
      <formula>0.9</formula>
    </cfRule>
    <cfRule type="cellIs" dxfId="3190" priority="1549" operator="greaterThan">
      <formula>0.85</formula>
    </cfRule>
  </conditionalFormatting>
  <conditionalFormatting sqref="E33">
    <cfRule type="expression" dxfId="3189" priority="1544">
      <formula>AND(IF(OR($Q33=1,$Q33=2),1,0),IF($X33&lt;=20,1,0))</formula>
    </cfRule>
    <cfRule type="expression" dxfId="3188" priority="1545">
      <formula>AND(IF($Q33=2,1,0),IF($X33&lt;30,1,0))</formula>
    </cfRule>
    <cfRule type="expression" dxfId="3187" priority="1546">
      <formula>AND(IF($Q33=3,1,0),IF($X33&lt;30,1,0))</formula>
    </cfRule>
    <cfRule type="expression" dxfId="3186" priority="1547">
      <formula>AND(IF($Q33=3,1,IF($Q33=4,1,0)),IF($F33&lt;=85,1,0))</formula>
    </cfRule>
  </conditionalFormatting>
  <conditionalFormatting sqref="X33">
    <cfRule type="expression" dxfId="3185" priority="1540">
      <formula>AND(IF(OR($Q33=1,$Q33=2),1,0),IF($X33&lt;=20,1,0))</formula>
    </cfRule>
    <cfRule type="expression" dxfId="3184" priority="1541">
      <formula>AND(IF($Q33=2,1,0),IF($X33&lt;30,1,0))</formula>
    </cfRule>
    <cfRule type="expression" dxfId="3183" priority="1542">
      <formula>AND(IF($Q33=3,1,0),IF($X33&lt;30,1,0))</formula>
    </cfRule>
    <cfRule type="expression" dxfId="3182" priority="1543">
      <formula>AND(IF($Q33=3,1,IF($Q33=4,1,0)),IF($F33&lt;=85,1,0))</formula>
    </cfRule>
  </conditionalFormatting>
  <conditionalFormatting sqref="AI33">
    <cfRule type="expression" dxfId="3181" priority="1536">
      <formula>AND(IF(OR($Q33=1,$Q33=2),1,0),IF($X33&lt;=20,1,0))</formula>
    </cfRule>
    <cfRule type="expression" dxfId="3180" priority="1537">
      <formula>AND(IF($Q33=2,1,0),IF($X33&lt;30,1,0))</formula>
    </cfRule>
    <cfRule type="expression" dxfId="3179" priority="1538">
      <formula>AND(IF($Q33=3,1,0),IF($X33&lt;30,1,0))</formula>
    </cfRule>
    <cfRule type="expression" dxfId="3178" priority="1539">
      <formula>AND(IF($Q33=3,1,IF($Q33=4,1,0)),IF($F33&lt;=85,1,0))</formula>
    </cfRule>
  </conditionalFormatting>
  <conditionalFormatting sqref="AV34">
    <cfRule type="expression" dxfId="3177" priority="1534">
      <formula>AV34="X"</formula>
    </cfRule>
    <cfRule type="expression" dxfId="3176" priority="1535">
      <formula>AV34="후보"</formula>
    </cfRule>
  </conditionalFormatting>
  <conditionalFormatting sqref="Z34">
    <cfRule type="colorScale" priority="15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175" priority="1531" operator="greaterThan">
      <formula>0.9</formula>
    </cfRule>
    <cfRule type="cellIs" dxfId="3174" priority="1532" operator="greaterThan">
      <formula>0.85</formula>
    </cfRule>
  </conditionalFormatting>
  <conditionalFormatting sqref="N34">
    <cfRule type="cellIs" dxfId="3173" priority="1529" operator="greaterThan">
      <formula>0.9</formula>
    </cfRule>
    <cfRule type="cellIs" dxfId="3172" priority="1530" operator="greaterThan">
      <formula>0.85</formula>
    </cfRule>
  </conditionalFormatting>
  <conditionalFormatting sqref="E34">
    <cfRule type="expression" dxfId="3171" priority="1525">
      <formula>AND(IF(OR($Q34=1,$Q34=2),1,0),IF($X34&lt;=20,1,0))</formula>
    </cfRule>
    <cfRule type="expression" dxfId="3170" priority="1526">
      <formula>AND(IF($Q34=2,1,0),IF($X34&lt;30,1,0))</formula>
    </cfRule>
    <cfRule type="expression" dxfId="3169" priority="1527">
      <formula>AND(IF($Q34=3,1,0),IF($X34&lt;30,1,0))</formula>
    </cfRule>
    <cfRule type="expression" dxfId="3168" priority="1528">
      <formula>AND(IF($Q34=3,1,IF($Q34=4,1,0)),IF($F34&lt;=85,1,0))</formula>
    </cfRule>
  </conditionalFormatting>
  <conditionalFormatting sqref="X34">
    <cfRule type="expression" dxfId="3167" priority="1521">
      <formula>AND(IF(OR($Q34=1,$Q34=2),1,0),IF($X34&lt;=20,1,0))</formula>
    </cfRule>
    <cfRule type="expression" dxfId="3166" priority="1522">
      <formula>AND(IF($Q34=2,1,0),IF($X34&lt;30,1,0))</formula>
    </cfRule>
    <cfRule type="expression" dxfId="3165" priority="1523">
      <formula>AND(IF($Q34=3,1,0),IF($X34&lt;30,1,0))</formula>
    </cfRule>
    <cfRule type="expression" dxfId="3164" priority="1524">
      <formula>AND(IF($Q34=3,1,IF($Q34=4,1,0)),IF($F34&lt;=85,1,0))</formula>
    </cfRule>
  </conditionalFormatting>
  <conditionalFormatting sqref="AI34">
    <cfRule type="expression" dxfId="3163" priority="1517">
      <formula>AND(IF(OR($Q34=1,$Q34=2),1,0),IF($X34&lt;=20,1,0))</formula>
    </cfRule>
    <cfRule type="expression" dxfId="3162" priority="1518">
      <formula>AND(IF($Q34=2,1,0),IF($X34&lt;30,1,0))</formula>
    </cfRule>
    <cfRule type="expression" dxfId="3161" priority="1519">
      <formula>AND(IF($Q34=3,1,0),IF($X34&lt;30,1,0))</formula>
    </cfRule>
    <cfRule type="expression" dxfId="3160" priority="1520">
      <formula>AND(IF($Q34=3,1,IF($Q34=4,1,0)),IF($F34&lt;=85,1,0))</formula>
    </cfRule>
  </conditionalFormatting>
  <conditionalFormatting sqref="AV35">
    <cfRule type="expression" dxfId="3159" priority="1515">
      <formula>AV35="X"</formula>
    </cfRule>
    <cfRule type="expression" dxfId="3158" priority="1516">
      <formula>AV35="후보"</formula>
    </cfRule>
  </conditionalFormatting>
  <conditionalFormatting sqref="Z35">
    <cfRule type="colorScale" priority="15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3157" priority="1512" operator="greaterThan">
      <formula>0.9</formula>
    </cfRule>
    <cfRule type="cellIs" dxfId="3156" priority="1513" operator="greaterThan">
      <formula>0.85</formula>
    </cfRule>
  </conditionalFormatting>
  <conditionalFormatting sqref="AV36">
    <cfRule type="expression" dxfId="3155" priority="1510">
      <formula>AV36="X"</formula>
    </cfRule>
    <cfRule type="expression" dxfId="3154" priority="1511">
      <formula>AV36="후보"</formula>
    </cfRule>
  </conditionalFormatting>
  <conditionalFormatting sqref="Z36">
    <cfRule type="colorScale" priority="15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3153" priority="1507" operator="greaterThan">
      <formula>0.9</formula>
    </cfRule>
    <cfRule type="cellIs" dxfId="3152" priority="1508" operator="greaterThan">
      <formula>0.85</formula>
    </cfRule>
  </conditionalFormatting>
  <conditionalFormatting sqref="N36">
    <cfRule type="cellIs" dxfId="3151" priority="1505" operator="greaterThan">
      <formula>0.9</formula>
    </cfRule>
    <cfRule type="cellIs" dxfId="3150" priority="1506" operator="greaterThan">
      <formula>0.85</formula>
    </cfRule>
  </conditionalFormatting>
  <conditionalFormatting sqref="E36">
    <cfRule type="expression" dxfId="3149" priority="1501">
      <formula>AND(IF(OR($Q36=1,$Q36=2),1,0),IF($X36&lt;=20,1,0))</formula>
    </cfRule>
    <cfRule type="expression" dxfId="3148" priority="1502">
      <formula>AND(IF($Q36=2,1,0),IF($X36&lt;30,1,0))</formula>
    </cfRule>
    <cfRule type="expression" dxfId="3147" priority="1503">
      <formula>AND(IF($Q36=3,1,0),IF($X36&lt;30,1,0))</formula>
    </cfRule>
    <cfRule type="expression" dxfId="3146" priority="1504">
      <formula>AND(IF($Q36=3,1,IF($Q36=4,1,0)),IF($F36&lt;=85,1,0))</formula>
    </cfRule>
  </conditionalFormatting>
  <conditionalFormatting sqref="X36">
    <cfRule type="expression" dxfId="3145" priority="1497">
      <formula>AND(IF(OR($Q36=1,$Q36=2),1,0),IF($X36&lt;=20,1,0))</formula>
    </cfRule>
    <cfRule type="expression" dxfId="3144" priority="1498">
      <formula>AND(IF($Q36=2,1,0),IF($X36&lt;30,1,0))</formula>
    </cfRule>
    <cfRule type="expression" dxfId="3143" priority="1499">
      <formula>AND(IF($Q36=3,1,0),IF($X36&lt;30,1,0))</formula>
    </cfRule>
    <cfRule type="expression" dxfId="3142" priority="1500">
      <formula>AND(IF($Q36=3,1,IF($Q36=4,1,0)),IF($F36&lt;=85,1,0))</formula>
    </cfRule>
  </conditionalFormatting>
  <conditionalFormatting sqref="AI36">
    <cfRule type="expression" dxfId="3141" priority="1493">
      <formula>AND(IF(OR($Q36=1,$Q36=2),1,0),IF($X36&lt;=20,1,0))</formula>
    </cfRule>
    <cfRule type="expression" dxfId="3140" priority="1494">
      <formula>AND(IF($Q36=2,1,0),IF($X36&lt;30,1,0))</formula>
    </cfRule>
    <cfRule type="expression" dxfId="3139" priority="1495">
      <formula>AND(IF($Q36=3,1,0),IF($X36&lt;30,1,0))</formula>
    </cfRule>
    <cfRule type="expression" dxfId="3138" priority="1496">
      <formula>AND(IF($Q36=3,1,IF($Q36=4,1,0)),IF($F36&lt;=85,1,0))</formula>
    </cfRule>
  </conditionalFormatting>
  <conditionalFormatting sqref="AV37">
    <cfRule type="expression" dxfId="3137" priority="1491">
      <formula>AV37="X"</formula>
    </cfRule>
    <cfRule type="expression" dxfId="3136" priority="1492">
      <formula>AV37="후보"</formula>
    </cfRule>
  </conditionalFormatting>
  <conditionalFormatting sqref="Z37">
    <cfRule type="colorScale" priority="14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135" priority="1488" operator="greaterThan">
      <formula>0.9</formula>
    </cfRule>
    <cfRule type="cellIs" dxfId="3134" priority="1489" operator="greaterThan">
      <formula>0.85</formula>
    </cfRule>
  </conditionalFormatting>
  <conditionalFormatting sqref="N37">
    <cfRule type="cellIs" dxfId="3133" priority="1486" operator="greaterThan">
      <formula>0.9</formula>
    </cfRule>
    <cfRule type="cellIs" dxfId="3132" priority="1487" operator="greaterThan">
      <formula>0.85</formula>
    </cfRule>
  </conditionalFormatting>
  <conditionalFormatting sqref="E37">
    <cfRule type="expression" dxfId="3131" priority="1482">
      <formula>AND(IF(OR($Q37=1,$Q37=2),1,0),IF($X37&lt;=20,1,0))</formula>
    </cfRule>
    <cfRule type="expression" dxfId="3130" priority="1483">
      <formula>AND(IF($Q37=2,1,0),IF($X37&lt;30,1,0))</formula>
    </cfRule>
    <cfRule type="expression" dxfId="3129" priority="1484">
      <formula>AND(IF($Q37=3,1,0),IF($X37&lt;30,1,0))</formula>
    </cfRule>
    <cfRule type="expression" dxfId="3128" priority="1485">
      <formula>AND(IF($Q37=3,1,IF($Q37=4,1,0)),IF($F37&lt;=85,1,0))</formula>
    </cfRule>
  </conditionalFormatting>
  <conditionalFormatting sqref="X37">
    <cfRule type="expression" dxfId="3127" priority="1478">
      <formula>AND(IF(OR($Q37=1,$Q37=2),1,0),IF($X37&lt;=20,1,0))</formula>
    </cfRule>
    <cfRule type="expression" dxfId="3126" priority="1479">
      <formula>AND(IF($Q37=2,1,0),IF($X37&lt;30,1,0))</formula>
    </cfRule>
    <cfRule type="expression" dxfId="3125" priority="1480">
      <formula>AND(IF($Q37=3,1,0),IF($X37&lt;30,1,0))</formula>
    </cfRule>
    <cfRule type="expression" dxfId="3124" priority="1481">
      <formula>AND(IF($Q37=3,1,IF($Q37=4,1,0)),IF($F37&lt;=85,1,0))</formula>
    </cfRule>
  </conditionalFormatting>
  <conditionalFormatting sqref="AI37">
    <cfRule type="expression" dxfId="3123" priority="1474">
      <formula>AND(IF(OR($Q37=1,$Q37=2),1,0),IF($X37&lt;=20,1,0))</formula>
    </cfRule>
    <cfRule type="expression" dxfId="3122" priority="1475">
      <formula>AND(IF($Q37=2,1,0),IF($X37&lt;30,1,0))</formula>
    </cfRule>
    <cfRule type="expression" dxfId="3121" priority="1476">
      <formula>AND(IF($Q37=3,1,0),IF($X37&lt;30,1,0))</formula>
    </cfRule>
    <cfRule type="expression" dxfId="3120" priority="1477">
      <formula>AND(IF($Q37=3,1,IF($Q37=4,1,0)),IF($F37&lt;=85,1,0))</formula>
    </cfRule>
  </conditionalFormatting>
  <conditionalFormatting sqref="AV38">
    <cfRule type="expression" dxfId="3119" priority="1472">
      <formula>AV38="X"</formula>
    </cfRule>
    <cfRule type="expression" dxfId="3118" priority="1473">
      <formula>AV38="후보"</formula>
    </cfRule>
  </conditionalFormatting>
  <conditionalFormatting sqref="Z38">
    <cfRule type="colorScale" priority="14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3117" priority="1469" operator="greaterThan">
      <formula>0.9</formula>
    </cfRule>
    <cfRule type="cellIs" dxfId="3116" priority="1470" operator="greaterThan">
      <formula>0.85</formula>
    </cfRule>
  </conditionalFormatting>
  <conditionalFormatting sqref="AV39">
    <cfRule type="expression" dxfId="3115" priority="1467">
      <formula>AV39="X"</formula>
    </cfRule>
    <cfRule type="expression" dxfId="3114" priority="1468">
      <formula>AV39="후보"</formula>
    </cfRule>
  </conditionalFormatting>
  <conditionalFormatting sqref="Z39">
    <cfRule type="colorScale" priority="1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113" priority="1464" operator="greaterThan">
      <formula>0.9</formula>
    </cfRule>
    <cfRule type="cellIs" dxfId="3112" priority="1465" operator="greaterThan">
      <formula>0.85</formula>
    </cfRule>
  </conditionalFormatting>
  <conditionalFormatting sqref="N39">
    <cfRule type="cellIs" dxfId="3111" priority="1462" operator="greaterThan">
      <formula>0.9</formula>
    </cfRule>
    <cfRule type="cellIs" dxfId="3110" priority="1463" operator="greaterThan">
      <formula>0.85</formula>
    </cfRule>
  </conditionalFormatting>
  <conditionalFormatting sqref="E39">
    <cfRule type="expression" dxfId="3109" priority="1458">
      <formula>AND(IF(OR($Q39=1,$Q39=2),1,0),IF($X39&lt;=20,1,0))</formula>
    </cfRule>
    <cfRule type="expression" dxfId="3108" priority="1459">
      <formula>AND(IF($Q39=2,1,0),IF($X39&lt;30,1,0))</formula>
    </cfRule>
    <cfRule type="expression" dxfId="3107" priority="1460">
      <formula>AND(IF($Q39=3,1,0),IF($X39&lt;30,1,0))</formula>
    </cfRule>
    <cfRule type="expression" dxfId="3106" priority="1461">
      <formula>AND(IF($Q39=3,1,IF($Q39=4,1,0)),IF($F39&lt;=85,1,0))</formula>
    </cfRule>
  </conditionalFormatting>
  <conditionalFormatting sqref="X39">
    <cfRule type="expression" dxfId="3105" priority="1454">
      <formula>AND(IF(OR($Q39=1,$Q39=2),1,0),IF($X39&lt;=20,1,0))</formula>
    </cfRule>
    <cfRule type="expression" dxfId="3104" priority="1455">
      <formula>AND(IF($Q39=2,1,0),IF($X39&lt;30,1,0))</formula>
    </cfRule>
    <cfRule type="expression" dxfId="3103" priority="1456">
      <formula>AND(IF($Q39=3,1,0),IF($X39&lt;30,1,0))</formula>
    </cfRule>
    <cfRule type="expression" dxfId="3102" priority="1457">
      <formula>AND(IF($Q39=3,1,IF($Q39=4,1,0)),IF($F39&lt;=85,1,0))</formula>
    </cfRule>
  </conditionalFormatting>
  <conditionalFormatting sqref="AI39">
    <cfRule type="expression" dxfId="3101" priority="1450">
      <formula>AND(IF(OR($Q39=1,$Q39=2),1,0),IF($X39&lt;=20,1,0))</formula>
    </cfRule>
    <cfRule type="expression" dxfId="3100" priority="1451">
      <formula>AND(IF($Q39=2,1,0),IF($X39&lt;30,1,0))</formula>
    </cfRule>
    <cfRule type="expression" dxfId="3099" priority="1452">
      <formula>AND(IF($Q39=3,1,0),IF($X39&lt;30,1,0))</formula>
    </cfRule>
    <cfRule type="expression" dxfId="3098" priority="1453">
      <formula>AND(IF($Q39=3,1,IF($Q39=4,1,0)),IF($F39&lt;=85,1,0))</formula>
    </cfRule>
  </conditionalFormatting>
  <conditionalFormatting sqref="AV40">
    <cfRule type="expression" dxfId="3097" priority="1448">
      <formula>AV40="X"</formula>
    </cfRule>
    <cfRule type="expression" dxfId="3096" priority="1449">
      <formula>AV40="후보"</formula>
    </cfRule>
  </conditionalFormatting>
  <conditionalFormatting sqref="Z40">
    <cfRule type="colorScale" priority="14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095" priority="1445" operator="greaterThan">
      <formula>0.9</formula>
    </cfRule>
    <cfRule type="cellIs" dxfId="3094" priority="1446" operator="greaterThan">
      <formula>0.85</formula>
    </cfRule>
  </conditionalFormatting>
  <conditionalFormatting sqref="N40">
    <cfRule type="cellIs" dxfId="3093" priority="1443" operator="greaterThan">
      <formula>0.9</formula>
    </cfRule>
    <cfRule type="cellIs" dxfId="3092" priority="1444" operator="greaterThan">
      <formula>0.85</formula>
    </cfRule>
  </conditionalFormatting>
  <conditionalFormatting sqref="E40">
    <cfRule type="expression" dxfId="3091" priority="1439">
      <formula>AND(IF(OR($Q40=1,$Q40=2),1,0),IF($X40&lt;=20,1,0))</formula>
    </cfRule>
    <cfRule type="expression" dxfId="3090" priority="1440">
      <formula>AND(IF($Q40=2,1,0),IF($X40&lt;30,1,0))</formula>
    </cfRule>
    <cfRule type="expression" dxfId="3089" priority="1441">
      <formula>AND(IF($Q40=3,1,0),IF($X40&lt;30,1,0))</formula>
    </cfRule>
    <cfRule type="expression" dxfId="3088" priority="1442">
      <formula>AND(IF($Q40=3,1,IF($Q40=4,1,0)),IF($F40&lt;=85,1,0))</formula>
    </cfRule>
  </conditionalFormatting>
  <conditionalFormatting sqref="X40">
    <cfRule type="expression" dxfId="3087" priority="1435">
      <formula>AND(IF(OR($Q40=1,$Q40=2),1,0),IF($X40&lt;=20,1,0))</formula>
    </cfRule>
    <cfRule type="expression" dxfId="3086" priority="1436">
      <formula>AND(IF($Q40=2,1,0),IF($X40&lt;30,1,0))</formula>
    </cfRule>
    <cfRule type="expression" dxfId="3085" priority="1437">
      <formula>AND(IF($Q40=3,1,0),IF($X40&lt;30,1,0))</formula>
    </cfRule>
    <cfRule type="expression" dxfId="3084" priority="1438">
      <formula>AND(IF($Q40=3,1,IF($Q40=4,1,0)),IF($F40&lt;=85,1,0))</formula>
    </cfRule>
  </conditionalFormatting>
  <conditionalFormatting sqref="AI40">
    <cfRule type="expression" dxfId="3083" priority="1431">
      <formula>AND(IF(OR($Q40=1,$Q40=2),1,0),IF($X40&lt;=20,1,0))</formula>
    </cfRule>
    <cfRule type="expression" dxfId="3082" priority="1432">
      <formula>AND(IF($Q40=2,1,0),IF($X40&lt;30,1,0))</formula>
    </cfRule>
    <cfRule type="expression" dxfId="3081" priority="1433">
      <formula>AND(IF($Q40=3,1,0),IF($X40&lt;30,1,0))</formula>
    </cfRule>
    <cfRule type="expression" dxfId="3080" priority="1434">
      <formula>AND(IF($Q40=3,1,IF($Q40=4,1,0)),IF($F40&lt;=85,1,0))</formula>
    </cfRule>
  </conditionalFormatting>
  <conditionalFormatting sqref="AV41">
    <cfRule type="expression" dxfId="3079" priority="1429">
      <formula>AV41="X"</formula>
    </cfRule>
    <cfRule type="expression" dxfId="3078" priority="1430">
      <formula>AV41="후보"</formula>
    </cfRule>
  </conditionalFormatting>
  <conditionalFormatting sqref="Z41">
    <cfRule type="colorScale" priority="14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3077" priority="1426" operator="greaterThan">
      <formula>0.9</formula>
    </cfRule>
    <cfRule type="cellIs" dxfId="3076" priority="1427" operator="greaterThan">
      <formula>0.85</formula>
    </cfRule>
  </conditionalFormatting>
  <conditionalFormatting sqref="AV42">
    <cfRule type="expression" dxfId="3075" priority="1424">
      <formula>AV42="X"</formula>
    </cfRule>
    <cfRule type="expression" dxfId="3074" priority="1425">
      <formula>AV42="후보"</formula>
    </cfRule>
  </conditionalFormatting>
  <conditionalFormatting sqref="Z42">
    <cfRule type="colorScale" priority="1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3073" priority="1421" operator="greaterThan">
      <formula>0.9</formula>
    </cfRule>
    <cfRule type="cellIs" dxfId="3072" priority="1422" operator="greaterThan">
      <formula>0.85</formula>
    </cfRule>
  </conditionalFormatting>
  <conditionalFormatting sqref="N42">
    <cfRule type="cellIs" dxfId="3071" priority="1419" operator="greaterThan">
      <formula>0.9</formula>
    </cfRule>
    <cfRule type="cellIs" dxfId="3070" priority="1420" operator="greaterThan">
      <formula>0.85</formula>
    </cfRule>
  </conditionalFormatting>
  <conditionalFormatting sqref="E42">
    <cfRule type="expression" dxfId="3069" priority="1415">
      <formula>AND(IF(OR($Q42=1,$Q42=2),1,0),IF($X42&lt;=20,1,0))</formula>
    </cfRule>
    <cfRule type="expression" dxfId="3068" priority="1416">
      <formula>AND(IF($Q42=2,1,0),IF($X42&lt;30,1,0))</formula>
    </cfRule>
    <cfRule type="expression" dxfId="3067" priority="1417">
      <formula>AND(IF($Q42=3,1,0),IF($X42&lt;30,1,0))</formula>
    </cfRule>
    <cfRule type="expression" dxfId="3066" priority="1418">
      <formula>AND(IF($Q42=3,1,IF($Q42=4,1,0)),IF($F42&lt;=85,1,0))</formula>
    </cfRule>
  </conditionalFormatting>
  <conditionalFormatting sqref="X42">
    <cfRule type="expression" dxfId="3065" priority="1411">
      <formula>AND(IF(OR($Q42=1,$Q42=2),1,0),IF($X42&lt;=20,1,0))</formula>
    </cfRule>
    <cfRule type="expression" dxfId="3064" priority="1412">
      <formula>AND(IF($Q42=2,1,0),IF($X42&lt;30,1,0))</formula>
    </cfRule>
    <cfRule type="expression" dxfId="3063" priority="1413">
      <formula>AND(IF($Q42=3,1,0),IF($X42&lt;30,1,0))</formula>
    </cfRule>
    <cfRule type="expression" dxfId="3062" priority="1414">
      <formula>AND(IF($Q42=3,1,IF($Q42=4,1,0)),IF($F42&lt;=85,1,0))</formula>
    </cfRule>
  </conditionalFormatting>
  <conditionalFormatting sqref="AI42">
    <cfRule type="expression" dxfId="3061" priority="1407">
      <formula>AND(IF(OR($Q42=1,$Q42=2),1,0),IF($X42&lt;=20,1,0))</formula>
    </cfRule>
    <cfRule type="expression" dxfId="3060" priority="1408">
      <formula>AND(IF($Q42=2,1,0),IF($X42&lt;30,1,0))</formula>
    </cfRule>
    <cfRule type="expression" dxfId="3059" priority="1409">
      <formula>AND(IF($Q42=3,1,0),IF($X42&lt;30,1,0))</formula>
    </cfRule>
    <cfRule type="expression" dxfId="3058" priority="1410">
      <formula>AND(IF($Q42=3,1,IF($Q42=4,1,0)),IF($F42&lt;=85,1,0))</formula>
    </cfRule>
  </conditionalFormatting>
  <conditionalFormatting sqref="AV43">
    <cfRule type="expression" dxfId="3057" priority="1405">
      <formula>AV43="X"</formula>
    </cfRule>
    <cfRule type="expression" dxfId="3056" priority="1406">
      <formula>AV43="후보"</formula>
    </cfRule>
  </conditionalFormatting>
  <conditionalFormatting sqref="Z43">
    <cfRule type="colorScale" priority="1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055" priority="1402" operator="greaterThan">
      <formula>0.9</formula>
    </cfRule>
    <cfRule type="cellIs" dxfId="3054" priority="1403" operator="greaterThan">
      <formula>0.85</formula>
    </cfRule>
  </conditionalFormatting>
  <conditionalFormatting sqref="N43">
    <cfRule type="cellIs" dxfId="3053" priority="1400" operator="greaterThan">
      <formula>0.9</formula>
    </cfRule>
    <cfRule type="cellIs" dxfId="3052" priority="1401" operator="greaterThan">
      <formula>0.85</formula>
    </cfRule>
  </conditionalFormatting>
  <conditionalFormatting sqref="E43">
    <cfRule type="expression" dxfId="3051" priority="1396">
      <formula>AND(IF(OR($Q43=1,$Q43=2),1,0),IF($X43&lt;=20,1,0))</formula>
    </cfRule>
    <cfRule type="expression" dxfId="3050" priority="1397">
      <formula>AND(IF($Q43=2,1,0),IF($X43&lt;30,1,0))</formula>
    </cfRule>
    <cfRule type="expression" dxfId="3049" priority="1398">
      <formula>AND(IF($Q43=3,1,0),IF($X43&lt;30,1,0))</formula>
    </cfRule>
    <cfRule type="expression" dxfId="3048" priority="1399">
      <formula>AND(IF($Q43=3,1,IF($Q43=4,1,0)),IF($F43&lt;=85,1,0))</formula>
    </cfRule>
  </conditionalFormatting>
  <conditionalFormatting sqref="X43">
    <cfRule type="expression" dxfId="3047" priority="1392">
      <formula>AND(IF(OR($Q43=1,$Q43=2),1,0),IF($X43&lt;=20,1,0))</formula>
    </cfRule>
    <cfRule type="expression" dxfId="3046" priority="1393">
      <formula>AND(IF($Q43=2,1,0),IF($X43&lt;30,1,0))</formula>
    </cfRule>
    <cfRule type="expression" dxfId="3045" priority="1394">
      <formula>AND(IF($Q43=3,1,0),IF($X43&lt;30,1,0))</formula>
    </cfRule>
    <cfRule type="expression" dxfId="3044" priority="1395">
      <formula>AND(IF($Q43=3,1,IF($Q43=4,1,0)),IF($F43&lt;=85,1,0))</formula>
    </cfRule>
  </conditionalFormatting>
  <conditionalFormatting sqref="AI43">
    <cfRule type="expression" dxfId="3043" priority="1388">
      <formula>AND(IF(OR($Q43=1,$Q43=2),1,0),IF($X43&lt;=20,1,0))</formula>
    </cfRule>
    <cfRule type="expression" dxfId="3042" priority="1389">
      <formula>AND(IF($Q43=2,1,0),IF($X43&lt;30,1,0))</formula>
    </cfRule>
    <cfRule type="expression" dxfId="3041" priority="1390">
      <formula>AND(IF($Q43=3,1,0),IF($X43&lt;30,1,0))</formula>
    </cfRule>
    <cfRule type="expression" dxfId="3040" priority="1391">
      <formula>AND(IF($Q43=3,1,IF($Q43=4,1,0)),IF($F43&lt;=85,1,0))</formula>
    </cfRule>
  </conditionalFormatting>
  <conditionalFormatting sqref="AV44">
    <cfRule type="expression" dxfId="3039" priority="1386">
      <formula>AV44="X"</formula>
    </cfRule>
    <cfRule type="expression" dxfId="3038" priority="1387">
      <formula>AV44="후보"</formula>
    </cfRule>
  </conditionalFormatting>
  <conditionalFormatting sqref="Z44">
    <cfRule type="colorScale" priority="1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037" priority="1383" operator="greaterThan">
      <formula>0.9</formula>
    </cfRule>
    <cfRule type="cellIs" dxfId="3036" priority="1384" operator="greaterThan">
      <formula>0.85</formula>
    </cfRule>
  </conditionalFormatting>
  <conditionalFormatting sqref="N44">
    <cfRule type="cellIs" dxfId="3035" priority="1381" operator="greaterThan">
      <formula>0.9</formula>
    </cfRule>
    <cfRule type="cellIs" dxfId="3034" priority="1382" operator="greaterThan">
      <formula>0.85</formula>
    </cfRule>
  </conditionalFormatting>
  <conditionalFormatting sqref="E44">
    <cfRule type="expression" dxfId="3033" priority="1377">
      <formula>AND(IF(OR($Q44=1,$Q44=2),1,0),IF($X44&lt;=20,1,0))</formula>
    </cfRule>
    <cfRule type="expression" dxfId="3032" priority="1378">
      <formula>AND(IF($Q44=2,1,0),IF($X44&lt;30,1,0))</formula>
    </cfRule>
    <cfRule type="expression" dxfId="3031" priority="1379">
      <formula>AND(IF($Q44=3,1,0),IF($X44&lt;30,1,0))</formula>
    </cfRule>
    <cfRule type="expression" dxfId="3030" priority="1380">
      <formula>AND(IF($Q44=3,1,IF($Q44=4,1,0)),IF($F44&lt;=85,1,0))</formula>
    </cfRule>
  </conditionalFormatting>
  <conditionalFormatting sqref="X44">
    <cfRule type="expression" dxfId="3029" priority="1373">
      <formula>AND(IF(OR($Q44=1,$Q44=2),1,0),IF($X44&lt;=20,1,0))</formula>
    </cfRule>
    <cfRule type="expression" dxfId="3028" priority="1374">
      <formula>AND(IF($Q44=2,1,0),IF($X44&lt;30,1,0))</formula>
    </cfRule>
    <cfRule type="expression" dxfId="3027" priority="1375">
      <formula>AND(IF($Q44=3,1,0),IF($X44&lt;30,1,0))</formula>
    </cfRule>
    <cfRule type="expression" dxfId="3026" priority="1376">
      <formula>AND(IF($Q44=3,1,IF($Q44=4,1,0)),IF($F44&lt;=85,1,0))</formula>
    </cfRule>
  </conditionalFormatting>
  <conditionalFormatting sqref="AI44">
    <cfRule type="expression" dxfId="3025" priority="1369">
      <formula>AND(IF(OR($Q44=1,$Q44=2),1,0),IF($X44&lt;=20,1,0))</formula>
    </cfRule>
    <cfRule type="expression" dxfId="3024" priority="1370">
      <formula>AND(IF($Q44=2,1,0),IF($X44&lt;30,1,0))</formula>
    </cfRule>
    <cfRule type="expression" dxfId="3023" priority="1371">
      <formula>AND(IF($Q44=3,1,0),IF($X44&lt;30,1,0))</formula>
    </cfRule>
    <cfRule type="expression" dxfId="3022" priority="1372">
      <formula>AND(IF($Q44=3,1,IF($Q44=4,1,0)),IF($F44&lt;=85,1,0))</formula>
    </cfRule>
  </conditionalFormatting>
  <conditionalFormatting sqref="AV45">
    <cfRule type="expression" dxfId="3021" priority="1367">
      <formula>AV45="X"</formula>
    </cfRule>
    <cfRule type="expression" dxfId="3020" priority="1368">
      <formula>AV45="후보"</formula>
    </cfRule>
  </conditionalFormatting>
  <conditionalFormatting sqref="Z45">
    <cfRule type="colorScale" priority="13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3019" priority="1364" operator="greaterThan">
      <formula>0.9</formula>
    </cfRule>
    <cfRule type="cellIs" dxfId="3018" priority="1365" operator="greaterThan">
      <formula>0.85</formula>
    </cfRule>
  </conditionalFormatting>
  <conditionalFormatting sqref="AV46">
    <cfRule type="expression" dxfId="3017" priority="1362">
      <formula>AV46="X"</formula>
    </cfRule>
    <cfRule type="expression" dxfId="3016" priority="1363">
      <formula>AV46="후보"</formula>
    </cfRule>
  </conditionalFormatting>
  <conditionalFormatting sqref="Z46">
    <cfRule type="colorScale" priority="1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015" priority="1359" operator="greaterThan">
      <formula>0.9</formula>
    </cfRule>
    <cfRule type="cellIs" dxfId="3014" priority="1360" operator="greaterThan">
      <formula>0.85</formula>
    </cfRule>
  </conditionalFormatting>
  <conditionalFormatting sqref="N46">
    <cfRule type="cellIs" dxfId="3013" priority="1357" operator="greaterThan">
      <formula>0.9</formula>
    </cfRule>
    <cfRule type="cellIs" dxfId="3012" priority="1358" operator="greaterThan">
      <formula>0.85</formula>
    </cfRule>
  </conditionalFormatting>
  <conditionalFormatting sqref="E46">
    <cfRule type="expression" dxfId="3011" priority="1353">
      <formula>AND(IF(OR($Q46=1,$Q46=2),1,0),IF($X46&lt;=20,1,0))</formula>
    </cfRule>
    <cfRule type="expression" dxfId="3010" priority="1354">
      <formula>AND(IF($Q46=2,1,0),IF($X46&lt;30,1,0))</formula>
    </cfRule>
    <cfRule type="expression" dxfId="3009" priority="1355">
      <formula>AND(IF($Q46=3,1,0),IF($X46&lt;30,1,0))</formula>
    </cfRule>
    <cfRule type="expression" dxfId="3008" priority="1356">
      <formula>AND(IF($Q46=3,1,IF($Q46=4,1,0)),IF($F46&lt;=85,1,0))</formula>
    </cfRule>
  </conditionalFormatting>
  <conditionalFormatting sqref="X46">
    <cfRule type="expression" dxfId="3007" priority="1349">
      <formula>AND(IF(OR($Q46=1,$Q46=2),1,0),IF($X46&lt;=20,1,0))</formula>
    </cfRule>
    <cfRule type="expression" dxfId="3006" priority="1350">
      <formula>AND(IF($Q46=2,1,0),IF($X46&lt;30,1,0))</formula>
    </cfRule>
    <cfRule type="expression" dxfId="3005" priority="1351">
      <formula>AND(IF($Q46=3,1,0),IF($X46&lt;30,1,0))</formula>
    </cfRule>
    <cfRule type="expression" dxfId="3004" priority="1352">
      <formula>AND(IF($Q46=3,1,IF($Q46=4,1,0)),IF($F46&lt;=85,1,0))</formula>
    </cfRule>
  </conditionalFormatting>
  <conditionalFormatting sqref="AI46">
    <cfRule type="expression" dxfId="3003" priority="1345">
      <formula>AND(IF(OR($Q46=1,$Q46=2),1,0),IF($X46&lt;=20,1,0))</formula>
    </cfRule>
    <cfRule type="expression" dxfId="3002" priority="1346">
      <formula>AND(IF($Q46=2,1,0),IF($X46&lt;30,1,0))</formula>
    </cfRule>
    <cfRule type="expression" dxfId="3001" priority="1347">
      <formula>AND(IF($Q46=3,1,0),IF($X46&lt;30,1,0))</formula>
    </cfRule>
    <cfRule type="expression" dxfId="3000" priority="1348">
      <formula>AND(IF($Q46=3,1,IF($Q46=4,1,0)),IF($F46&lt;=85,1,0))</formula>
    </cfRule>
  </conditionalFormatting>
  <conditionalFormatting sqref="AV47">
    <cfRule type="expression" dxfId="2999" priority="1343">
      <formula>AV47="X"</formula>
    </cfRule>
    <cfRule type="expression" dxfId="2998" priority="1344">
      <formula>AV47="후보"</formula>
    </cfRule>
  </conditionalFormatting>
  <conditionalFormatting sqref="Z47">
    <cfRule type="colorScale" priority="1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2997" priority="1340" operator="greaterThan">
      <formula>0.9</formula>
    </cfRule>
    <cfRule type="cellIs" dxfId="2996" priority="1341" operator="greaterThan">
      <formula>0.85</formula>
    </cfRule>
  </conditionalFormatting>
  <conditionalFormatting sqref="N47">
    <cfRule type="cellIs" dxfId="2995" priority="1338" operator="greaterThan">
      <formula>0.9</formula>
    </cfRule>
    <cfRule type="cellIs" dxfId="2994" priority="1339" operator="greaterThan">
      <formula>0.85</formula>
    </cfRule>
  </conditionalFormatting>
  <conditionalFormatting sqref="E47">
    <cfRule type="expression" dxfId="2993" priority="1334">
      <formula>AND(IF(OR($Q47=1,$Q47=2),1,0),IF($X47&lt;=20,1,0))</formula>
    </cfRule>
    <cfRule type="expression" dxfId="2992" priority="1335">
      <formula>AND(IF($Q47=2,1,0),IF($X47&lt;30,1,0))</formula>
    </cfRule>
    <cfRule type="expression" dxfId="2991" priority="1336">
      <formula>AND(IF($Q47=3,1,0),IF($X47&lt;30,1,0))</formula>
    </cfRule>
    <cfRule type="expression" dxfId="2990" priority="1337">
      <formula>AND(IF($Q47=3,1,IF($Q47=4,1,0)),IF($F47&lt;=85,1,0))</formula>
    </cfRule>
  </conditionalFormatting>
  <conditionalFormatting sqref="X47">
    <cfRule type="expression" dxfId="2989" priority="1330">
      <formula>AND(IF(OR($Q47=1,$Q47=2),1,0),IF($X47&lt;=20,1,0))</formula>
    </cfRule>
    <cfRule type="expression" dxfId="2988" priority="1331">
      <formula>AND(IF($Q47=2,1,0),IF($X47&lt;30,1,0))</formula>
    </cfRule>
    <cfRule type="expression" dxfId="2987" priority="1332">
      <formula>AND(IF($Q47=3,1,0),IF($X47&lt;30,1,0))</formula>
    </cfRule>
    <cfRule type="expression" dxfId="2986" priority="1333">
      <formula>AND(IF($Q47=3,1,IF($Q47=4,1,0)),IF($F47&lt;=85,1,0))</formula>
    </cfRule>
  </conditionalFormatting>
  <conditionalFormatting sqref="AI47">
    <cfRule type="expression" dxfId="2985" priority="1326">
      <formula>AND(IF(OR($Q47=1,$Q47=2),1,0),IF($X47&lt;=20,1,0))</formula>
    </cfRule>
    <cfRule type="expression" dxfId="2984" priority="1327">
      <formula>AND(IF($Q47=2,1,0),IF($X47&lt;30,1,0))</formula>
    </cfRule>
    <cfRule type="expression" dxfId="2983" priority="1328">
      <formula>AND(IF($Q47=3,1,0),IF($X47&lt;30,1,0))</formula>
    </cfRule>
    <cfRule type="expression" dxfId="2982" priority="1329">
      <formula>AND(IF($Q47=3,1,IF($Q47=4,1,0)),IF($F47&lt;=85,1,0))</formula>
    </cfRule>
  </conditionalFormatting>
  <conditionalFormatting sqref="AV48">
    <cfRule type="expression" dxfId="2981" priority="1324">
      <formula>AV48="X"</formula>
    </cfRule>
    <cfRule type="expression" dxfId="2980" priority="1325">
      <formula>AV48="후보"</formula>
    </cfRule>
  </conditionalFormatting>
  <conditionalFormatting sqref="Z48">
    <cfRule type="colorScale" priority="13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979" priority="1321" operator="greaterThan">
      <formula>0.9</formula>
    </cfRule>
    <cfRule type="cellIs" dxfId="2978" priority="1322" operator="greaterThan">
      <formula>0.85</formula>
    </cfRule>
  </conditionalFormatting>
  <conditionalFormatting sqref="N48">
    <cfRule type="cellIs" dxfId="2977" priority="1319" operator="greaterThan">
      <formula>0.9</formula>
    </cfRule>
    <cfRule type="cellIs" dxfId="2976" priority="1320" operator="greaterThan">
      <formula>0.85</formula>
    </cfRule>
  </conditionalFormatting>
  <conditionalFormatting sqref="E48">
    <cfRule type="expression" dxfId="2975" priority="1315">
      <formula>AND(IF(OR($Q48=1,$Q48=2),1,0),IF($X48&lt;=20,1,0))</formula>
    </cfRule>
    <cfRule type="expression" dxfId="2974" priority="1316">
      <formula>AND(IF($Q48=2,1,0),IF($X48&lt;30,1,0))</formula>
    </cfRule>
    <cfRule type="expression" dxfId="2973" priority="1317">
      <formula>AND(IF($Q48=3,1,0),IF($X48&lt;30,1,0))</formula>
    </cfRule>
    <cfRule type="expression" dxfId="2972" priority="1318">
      <formula>AND(IF($Q48=3,1,IF($Q48=4,1,0)),IF($F48&lt;=85,1,0))</formula>
    </cfRule>
  </conditionalFormatting>
  <conditionalFormatting sqref="X48">
    <cfRule type="expression" dxfId="2971" priority="1311">
      <formula>AND(IF(OR($Q48=1,$Q48=2),1,0),IF($X48&lt;=20,1,0))</formula>
    </cfRule>
    <cfRule type="expression" dxfId="2970" priority="1312">
      <formula>AND(IF($Q48=2,1,0),IF($X48&lt;30,1,0))</formula>
    </cfRule>
    <cfRule type="expression" dxfId="2969" priority="1313">
      <formula>AND(IF($Q48=3,1,0),IF($X48&lt;30,1,0))</formula>
    </cfRule>
    <cfRule type="expression" dxfId="2968" priority="1314">
      <formula>AND(IF($Q48=3,1,IF($Q48=4,1,0)),IF($F48&lt;=85,1,0))</formula>
    </cfRule>
  </conditionalFormatting>
  <conditionalFormatting sqref="AI48">
    <cfRule type="expression" dxfId="2967" priority="1307">
      <formula>AND(IF(OR($Q48=1,$Q48=2),1,0),IF($X48&lt;=20,1,0))</formula>
    </cfRule>
    <cfRule type="expression" dxfId="2966" priority="1308">
      <formula>AND(IF($Q48=2,1,0),IF($X48&lt;30,1,0))</formula>
    </cfRule>
    <cfRule type="expression" dxfId="2965" priority="1309">
      <formula>AND(IF($Q48=3,1,0),IF($X48&lt;30,1,0))</formula>
    </cfRule>
    <cfRule type="expression" dxfId="2964" priority="1310">
      <formula>AND(IF($Q48=3,1,IF($Q48=4,1,0)),IF($F48&lt;=85,1,0))</formula>
    </cfRule>
  </conditionalFormatting>
  <conditionalFormatting sqref="AV49">
    <cfRule type="expression" dxfId="2963" priority="1305">
      <formula>AV49="X"</formula>
    </cfRule>
    <cfRule type="expression" dxfId="2962" priority="1306">
      <formula>AV49="후보"</formula>
    </cfRule>
  </conditionalFormatting>
  <conditionalFormatting sqref="Z49">
    <cfRule type="colorScale" priority="13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2961" priority="1302" operator="greaterThan">
      <formula>0.9</formula>
    </cfRule>
    <cfRule type="cellIs" dxfId="2960" priority="1303" operator="greaterThan">
      <formula>0.85</formula>
    </cfRule>
  </conditionalFormatting>
  <conditionalFormatting sqref="AV50">
    <cfRule type="expression" dxfId="2959" priority="1300">
      <formula>AV50="X"</formula>
    </cfRule>
    <cfRule type="expression" dxfId="2958" priority="1301">
      <formula>AV50="후보"</formula>
    </cfRule>
  </conditionalFormatting>
  <conditionalFormatting sqref="Z50">
    <cfRule type="colorScale" priority="1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957" priority="1297" operator="greaterThan">
      <formula>0.9</formula>
    </cfRule>
    <cfRule type="cellIs" dxfId="2956" priority="1298" operator="greaterThan">
      <formula>0.85</formula>
    </cfRule>
  </conditionalFormatting>
  <conditionalFormatting sqref="N50">
    <cfRule type="cellIs" dxfId="2955" priority="1295" operator="greaterThan">
      <formula>0.9</formula>
    </cfRule>
    <cfRule type="cellIs" dxfId="2954" priority="1296" operator="greaterThan">
      <formula>0.85</formula>
    </cfRule>
  </conditionalFormatting>
  <conditionalFormatting sqref="E50">
    <cfRule type="expression" dxfId="2953" priority="1291">
      <formula>AND(IF(OR($Q50=1,$Q50=2),1,0),IF($X50&lt;=20,1,0))</formula>
    </cfRule>
    <cfRule type="expression" dxfId="2952" priority="1292">
      <formula>AND(IF($Q50=2,1,0),IF($X50&lt;30,1,0))</formula>
    </cfRule>
    <cfRule type="expression" dxfId="2951" priority="1293">
      <formula>AND(IF($Q50=3,1,0),IF($X50&lt;30,1,0))</formula>
    </cfRule>
    <cfRule type="expression" dxfId="2950" priority="1294">
      <formula>AND(IF($Q50=3,1,IF($Q50=4,1,0)),IF($F50&lt;=85,1,0))</formula>
    </cfRule>
  </conditionalFormatting>
  <conditionalFormatting sqref="X50">
    <cfRule type="expression" dxfId="2949" priority="1287">
      <formula>AND(IF(OR($Q50=1,$Q50=2),1,0),IF($X50&lt;=20,1,0))</formula>
    </cfRule>
    <cfRule type="expression" dxfId="2948" priority="1288">
      <formula>AND(IF($Q50=2,1,0),IF($X50&lt;30,1,0))</formula>
    </cfRule>
    <cfRule type="expression" dxfId="2947" priority="1289">
      <formula>AND(IF($Q50=3,1,0),IF($X50&lt;30,1,0))</formula>
    </cfRule>
    <cfRule type="expression" dxfId="2946" priority="1290">
      <formula>AND(IF($Q50=3,1,IF($Q50=4,1,0)),IF($F50&lt;=85,1,0))</formula>
    </cfRule>
  </conditionalFormatting>
  <conditionalFormatting sqref="AI50">
    <cfRule type="expression" dxfId="2945" priority="1283">
      <formula>AND(IF(OR($Q50=1,$Q50=2),1,0),IF($X50&lt;=20,1,0))</formula>
    </cfRule>
    <cfRule type="expression" dxfId="2944" priority="1284">
      <formula>AND(IF($Q50=2,1,0),IF($X50&lt;30,1,0))</formula>
    </cfRule>
    <cfRule type="expression" dxfId="2943" priority="1285">
      <formula>AND(IF($Q50=3,1,0),IF($X50&lt;30,1,0))</formula>
    </cfRule>
    <cfRule type="expression" dxfId="2942" priority="1286">
      <formula>AND(IF($Q50=3,1,IF($Q50=4,1,0)),IF($F50&lt;=85,1,0))</formula>
    </cfRule>
  </conditionalFormatting>
  <conditionalFormatting sqref="AV51">
    <cfRule type="expression" dxfId="2941" priority="1281">
      <formula>AV51="X"</formula>
    </cfRule>
    <cfRule type="expression" dxfId="2940" priority="1282">
      <formula>AV51="후보"</formula>
    </cfRule>
  </conditionalFormatting>
  <conditionalFormatting sqref="Z51">
    <cfRule type="colorScale" priority="1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939" priority="1278" operator="greaterThan">
      <formula>0.9</formula>
    </cfRule>
    <cfRule type="cellIs" dxfId="2938" priority="1279" operator="greaterThan">
      <formula>0.85</formula>
    </cfRule>
  </conditionalFormatting>
  <conditionalFormatting sqref="N51">
    <cfRule type="cellIs" dxfId="2937" priority="1276" operator="greaterThan">
      <formula>0.9</formula>
    </cfRule>
    <cfRule type="cellIs" dxfId="2936" priority="1277" operator="greaterThan">
      <formula>0.85</formula>
    </cfRule>
  </conditionalFormatting>
  <conditionalFormatting sqref="E51">
    <cfRule type="expression" dxfId="2935" priority="1272">
      <formula>AND(IF(OR($Q51=1,$Q51=2),1,0),IF($X51&lt;=20,1,0))</formula>
    </cfRule>
    <cfRule type="expression" dxfId="2934" priority="1273">
      <formula>AND(IF($Q51=2,1,0),IF($X51&lt;30,1,0))</formula>
    </cfRule>
    <cfRule type="expression" dxfId="2933" priority="1274">
      <formula>AND(IF($Q51=3,1,0),IF($X51&lt;30,1,0))</formula>
    </cfRule>
    <cfRule type="expression" dxfId="2932" priority="1275">
      <formula>AND(IF($Q51=3,1,IF($Q51=4,1,0)),IF($F51&lt;=85,1,0))</formula>
    </cfRule>
  </conditionalFormatting>
  <conditionalFormatting sqref="X51">
    <cfRule type="expression" dxfId="2931" priority="1268">
      <formula>AND(IF(OR($Q51=1,$Q51=2),1,0),IF($X51&lt;=20,1,0))</formula>
    </cfRule>
    <cfRule type="expression" dxfId="2930" priority="1269">
      <formula>AND(IF($Q51=2,1,0),IF($X51&lt;30,1,0))</formula>
    </cfRule>
    <cfRule type="expression" dxfId="2929" priority="1270">
      <formula>AND(IF($Q51=3,1,0),IF($X51&lt;30,1,0))</formula>
    </cfRule>
    <cfRule type="expression" dxfId="2928" priority="1271">
      <formula>AND(IF($Q51=3,1,IF($Q51=4,1,0)),IF($F51&lt;=85,1,0))</formula>
    </cfRule>
  </conditionalFormatting>
  <conditionalFormatting sqref="AI51">
    <cfRule type="expression" dxfId="2927" priority="1264">
      <formula>AND(IF(OR($Q51=1,$Q51=2),1,0),IF($X51&lt;=20,1,0))</formula>
    </cfRule>
    <cfRule type="expression" dxfId="2926" priority="1265">
      <formula>AND(IF($Q51=2,1,0),IF($X51&lt;30,1,0))</formula>
    </cfRule>
    <cfRule type="expression" dxfId="2925" priority="1266">
      <formula>AND(IF($Q51=3,1,0),IF($X51&lt;30,1,0))</formula>
    </cfRule>
    <cfRule type="expression" dxfId="2924" priority="1267">
      <formula>AND(IF($Q51=3,1,IF($Q51=4,1,0)),IF($F51&lt;=85,1,0))</formula>
    </cfRule>
  </conditionalFormatting>
  <conditionalFormatting sqref="AV52">
    <cfRule type="expression" dxfId="2923" priority="1262">
      <formula>AV52="X"</formula>
    </cfRule>
    <cfRule type="expression" dxfId="2922" priority="1263">
      <formula>AV52="후보"</formula>
    </cfRule>
  </conditionalFormatting>
  <conditionalFormatting sqref="Z52">
    <cfRule type="colorScale" priority="12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2921" priority="1259" operator="greaterThan">
      <formula>0.9</formula>
    </cfRule>
    <cfRule type="cellIs" dxfId="2920" priority="1260" operator="greaterThan">
      <formula>0.85</formula>
    </cfRule>
  </conditionalFormatting>
  <conditionalFormatting sqref="AV53">
    <cfRule type="expression" dxfId="2919" priority="1257">
      <formula>AV53="X"</formula>
    </cfRule>
    <cfRule type="expression" dxfId="2918" priority="1258">
      <formula>AV53="후보"</formula>
    </cfRule>
  </conditionalFormatting>
  <conditionalFormatting sqref="Z53">
    <cfRule type="colorScale" priority="1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917" priority="1254" operator="greaterThan">
      <formula>0.9</formula>
    </cfRule>
    <cfRule type="cellIs" dxfId="2916" priority="1255" operator="greaterThan">
      <formula>0.85</formula>
    </cfRule>
  </conditionalFormatting>
  <conditionalFormatting sqref="N53">
    <cfRule type="cellIs" dxfId="2915" priority="1252" operator="greaterThan">
      <formula>0.9</formula>
    </cfRule>
    <cfRule type="cellIs" dxfId="2914" priority="1253" operator="greaterThan">
      <formula>0.85</formula>
    </cfRule>
  </conditionalFormatting>
  <conditionalFormatting sqref="E53">
    <cfRule type="expression" dxfId="2913" priority="1248">
      <formula>AND(IF(OR($Q53=1,$Q53=2),1,0),IF($X53&lt;=20,1,0))</formula>
    </cfRule>
    <cfRule type="expression" dxfId="2912" priority="1249">
      <formula>AND(IF($Q53=2,1,0),IF($X53&lt;30,1,0))</formula>
    </cfRule>
    <cfRule type="expression" dxfId="2911" priority="1250">
      <formula>AND(IF($Q53=3,1,0),IF($X53&lt;30,1,0))</formula>
    </cfRule>
    <cfRule type="expression" dxfId="2910" priority="1251">
      <formula>AND(IF($Q53=3,1,IF($Q53=4,1,0)),IF($F53&lt;=85,1,0))</formula>
    </cfRule>
  </conditionalFormatting>
  <conditionalFormatting sqref="X53">
    <cfRule type="expression" dxfId="2909" priority="1244">
      <formula>AND(IF(OR($Q53=1,$Q53=2),1,0),IF($X53&lt;=20,1,0))</formula>
    </cfRule>
    <cfRule type="expression" dxfId="2908" priority="1245">
      <formula>AND(IF($Q53=2,1,0),IF($X53&lt;30,1,0))</formula>
    </cfRule>
    <cfRule type="expression" dxfId="2907" priority="1246">
      <formula>AND(IF($Q53=3,1,0),IF($X53&lt;30,1,0))</formula>
    </cfRule>
    <cfRule type="expression" dxfId="2906" priority="1247">
      <formula>AND(IF($Q53=3,1,IF($Q53=4,1,0)),IF($F53&lt;=85,1,0))</formula>
    </cfRule>
  </conditionalFormatting>
  <conditionalFormatting sqref="AI53">
    <cfRule type="expression" dxfId="2905" priority="1240">
      <formula>AND(IF(OR($Q53=1,$Q53=2),1,0),IF($X53&lt;=20,1,0))</formula>
    </cfRule>
    <cfRule type="expression" dxfId="2904" priority="1241">
      <formula>AND(IF($Q53=2,1,0),IF($X53&lt;30,1,0))</formula>
    </cfRule>
    <cfRule type="expression" dxfId="2903" priority="1242">
      <formula>AND(IF($Q53=3,1,0),IF($X53&lt;30,1,0))</formula>
    </cfRule>
    <cfRule type="expression" dxfId="2902" priority="1243">
      <formula>AND(IF($Q53=3,1,IF($Q53=4,1,0)),IF($F53&lt;=85,1,0))</formula>
    </cfRule>
  </conditionalFormatting>
  <conditionalFormatting sqref="AV54">
    <cfRule type="expression" dxfId="2901" priority="1238">
      <formula>AV54="X"</formula>
    </cfRule>
    <cfRule type="expression" dxfId="2900" priority="1239">
      <formula>AV54="후보"</formula>
    </cfRule>
  </conditionalFormatting>
  <conditionalFormatting sqref="Z54">
    <cfRule type="colorScale" priority="1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899" priority="1235" operator="greaterThan">
      <formula>0.9</formula>
    </cfRule>
    <cfRule type="cellIs" dxfId="2898" priority="1236" operator="greaterThan">
      <formula>0.85</formula>
    </cfRule>
  </conditionalFormatting>
  <conditionalFormatting sqref="N54">
    <cfRule type="cellIs" dxfId="2897" priority="1233" operator="greaterThan">
      <formula>0.9</formula>
    </cfRule>
    <cfRule type="cellIs" dxfId="2896" priority="1234" operator="greaterThan">
      <formula>0.85</formula>
    </cfRule>
  </conditionalFormatting>
  <conditionalFormatting sqref="E54">
    <cfRule type="expression" dxfId="2895" priority="1229">
      <formula>AND(IF(OR($Q54=1,$Q54=2),1,0),IF($X54&lt;=20,1,0))</formula>
    </cfRule>
    <cfRule type="expression" dxfId="2894" priority="1230">
      <formula>AND(IF($Q54=2,1,0),IF($X54&lt;30,1,0))</formula>
    </cfRule>
    <cfRule type="expression" dxfId="2893" priority="1231">
      <formula>AND(IF($Q54=3,1,0),IF($X54&lt;30,1,0))</formula>
    </cfRule>
    <cfRule type="expression" dxfId="2892" priority="1232">
      <formula>AND(IF($Q54=3,1,IF($Q54=4,1,0)),IF($F54&lt;=85,1,0))</formula>
    </cfRule>
  </conditionalFormatting>
  <conditionalFormatting sqref="X54">
    <cfRule type="expression" dxfId="2891" priority="1225">
      <formula>AND(IF(OR($Q54=1,$Q54=2),1,0),IF($X54&lt;=20,1,0))</formula>
    </cfRule>
    <cfRule type="expression" dxfId="2890" priority="1226">
      <formula>AND(IF($Q54=2,1,0),IF($X54&lt;30,1,0))</formula>
    </cfRule>
    <cfRule type="expression" dxfId="2889" priority="1227">
      <formula>AND(IF($Q54=3,1,0),IF($X54&lt;30,1,0))</formula>
    </cfRule>
    <cfRule type="expression" dxfId="2888" priority="1228">
      <formula>AND(IF($Q54=3,1,IF($Q54=4,1,0)),IF($F54&lt;=85,1,0))</formula>
    </cfRule>
  </conditionalFormatting>
  <conditionalFormatting sqref="AI54">
    <cfRule type="expression" dxfId="2887" priority="1221">
      <formula>AND(IF(OR($Q54=1,$Q54=2),1,0),IF($X54&lt;=20,1,0))</formula>
    </cfRule>
    <cfRule type="expression" dxfId="2886" priority="1222">
      <formula>AND(IF($Q54=2,1,0),IF($X54&lt;30,1,0))</formula>
    </cfRule>
    <cfRule type="expression" dxfId="2885" priority="1223">
      <formula>AND(IF($Q54=3,1,0),IF($X54&lt;30,1,0))</formula>
    </cfRule>
    <cfRule type="expression" dxfId="2884" priority="1224">
      <formula>AND(IF($Q54=3,1,IF($Q54=4,1,0)),IF($F54&lt;=85,1,0))</formula>
    </cfRule>
  </conditionalFormatting>
  <conditionalFormatting sqref="AV55">
    <cfRule type="expression" dxfId="2883" priority="1219">
      <formula>AV55="X"</formula>
    </cfRule>
    <cfRule type="expression" dxfId="2882" priority="1220">
      <formula>AV55="후보"</formula>
    </cfRule>
  </conditionalFormatting>
  <conditionalFormatting sqref="Z55">
    <cfRule type="colorScale" priority="1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2881" priority="1216" operator="greaterThan">
      <formula>0.9</formula>
    </cfRule>
    <cfRule type="cellIs" dxfId="2880" priority="1217" operator="greaterThan">
      <formula>0.85</formula>
    </cfRule>
  </conditionalFormatting>
  <conditionalFormatting sqref="AV56">
    <cfRule type="expression" dxfId="2879" priority="1214">
      <formula>AV56="X"</formula>
    </cfRule>
    <cfRule type="expression" dxfId="2878" priority="1215">
      <formula>AV56="후보"</formula>
    </cfRule>
  </conditionalFormatting>
  <conditionalFormatting sqref="Z56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877" priority="1211" operator="greaterThan">
      <formula>0.9</formula>
    </cfRule>
    <cfRule type="cellIs" dxfId="2876" priority="1212" operator="greaterThan">
      <formula>0.85</formula>
    </cfRule>
  </conditionalFormatting>
  <conditionalFormatting sqref="N56">
    <cfRule type="cellIs" dxfId="2875" priority="1209" operator="greaterThan">
      <formula>0.9</formula>
    </cfRule>
    <cfRule type="cellIs" dxfId="2874" priority="1210" operator="greaterThan">
      <formula>0.85</formula>
    </cfRule>
  </conditionalFormatting>
  <conditionalFormatting sqref="E56">
    <cfRule type="expression" dxfId="2873" priority="1205">
      <formula>AND(IF(OR($Q56=1,$Q56=2),1,0),IF($X56&lt;=20,1,0))</formula>
    </cfRule>
    <cfRule type="expression" dxfId="2872" priority="1206">
      <formula>AND(IF($Q56=2,1,0),IF($X56&lt;30,1,0))</formula>
    </cfRule>
    <cfRule type="expression" dxfId="2871" priority="1207">
      <formula>AND(IF($Q56=3,1,0),IF($X56&lt;30,1,0))</formula>
    </cfRule>
    <cfRule type="expression" dxfId="2870" priority="1208">
      <formula>AND(IF($Q56=3,1,IF($Q56=4,1,0)),IF($F56&lt;=85,1,0))</formula>
    </cfRule>
  </conditionalFormatting>
  <conditionalFormatting sqref="X56">
    <cfRule type="expression" dxfId="2869" priority="1201">
      <formula>AND(IF(OR($Q56=1,$Q56=2),1,0),IF($X56&lt;=20,1,0))</formula>
    </cfRule>
    <cfRule type="expression" dxfId="2868" priority="1202">
      <formula>AND(IF($Q56=2,1,0),IF($X56&lt;30,1,0))</formula>
    </cfRule>
    <cfRule type="expression" dxfId="2867" priority="1203">
      <formula>AND(IF($Q56=3,1,0),IF($X56&lt;30,1,0))</formula>
    </cfRule>
    <cfRule type="expression" dxfId="2866" priority="1204">
      <formula>AND(IF($Q56=3,1,IF($Q56=4,1,0)),IF($F56&lt;=85,1,0))</formula>
    </cfRule>
  </conditionalFormatting>
  <conditionalFormatting sqref="AI56">
    <cfRule type="expression" dxfId="2865" priority="1197">
      <formula>AND(IF(OR($Q56=1,$Q56=2),1,0),IF($X56&lt;=20,1,0))</formula>
    </cfRule>
    <cfRule type="expression" dxfId="2864" priority="1198">
      <formula>AND(IF($Q56=2,1,0),IF($X56&lt;30,1,0))</formula>
    </cfRule>
    <cfRule type="expression" dxfId="2863" priority="1199">
      <formula>AND(IF($Q56=3,1,0),IF($X56&lt;30,1,0))</formula>
    </cfRule>
    <cfRule type="expression" dxfId="2862" priority="1200">
      <formula>AND(IF($Q56=3,1,IF($Q56=4,1,0)),IF($F56&lt;=85,1,0))</formula>
    </cfRule>
  </conditionalFormatting>
  <conditionalFormatting sqref="AV57">
    <cfRule type="expression" dxfId="2861" priority="1195">
      <formula>AV57="X"</formula>
    </cfRule>
    <cfRule type="expression" dxfId="2860" priority="1196">
      <formula>AV57="후보"</formula>
    </cfRule>
  </conditionalFormatting>
  <conditionalFormatting sqref="Z57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859" priority="1192" operator="greaterThan">
      <formula>0.9</formula>
    </cfRule>
    <cfRule type="cellIs" dxfId="2858" priority="1193" operator="greaterThan">
      <formula>0.85</formula>
    </cfRule>
  </conditionalFormatting>
  <conditionalFormatting sqref="N57">
    <cfRule type="cellIs" dxfId="2857" priority="1190" operator="greaterThan">
      <formula>0.9</formula>
    </cfRule>
    <cfRule type="cellIs" dxfId="2856" priority="1191" operator="greaterThan">
      <formula>0.85</formula>
    </cfRule>
  </conditionalFormatting>
  <conditionalFormatting sqref="E57">
    <cfRule type="expression" dxfId="2855" priority="1186">
      <formula>AND(IF(OR($Q57=1,$Q57=2),1,0),IF($X57&lt;=20,1,0))</formula>
    </cfRule>
    <cfRule type="expression" dxfId="2854" priority="1187">
      <formula>AND(IF($Q57=2,1,0),IF($X57&lt;30,1,0))</formula>
    </cfRule>
    <cfRule type="expression" dxfId="2853" priority="1188">
      <formula>AND(IF($Q57=3,1,0),IF($X57&lt;30,1,0))</formula>
    </cfRule>
    <cfRule type="expression" dxfId="2852" priority="1189">
      <formula>AND(IF($Q57=3,1,IF($Q57=4,1,0)),IF($F57&lt;=85,1,0))</formula>
    </cfRule>
  </conditionalFormatting>
  <conditionalFormatting sqref="X57">
    <cfRule type="expression" dxfId="2851" priority="1182">
      <formula>AND(IF(OR($Q57=1,$Q57=2),1,0),IF($X57&lt;=20,1,0))</formula>
    </cfRule>
    <cfRule type="expression" dxfId="2850" priority="1183">
      <formula>AND(IF($Q57=2,1,0),IF($X57&lt;30,1,0))</formula>
    </cfRule>
    <cfRule type="expression" dxfId="2849" priority="1184">
      <formula>AND(IF($Q57=3,1,0),IF($X57&lt;30,1,0))</formula>
    </cfRule>
    <cfRule type="expression" dxfId="2848" priority="1185">
      <formula>AND(IF($Q57=3,1,IF($Q57=4,1,0)),IF($F57&lt;=85,1,0))</formula>
    </cfRule>
  </conditionalFormatting>
  <conditionalFormatting sqref="AI57">
    <cfRule type="expression" dxfId="2847" priority="1178">
      <formula>AND(IF(OR($Q57=1,$Q57=2),1,0),IF($X57&lt;=20,1,0))</formula>
    </cfRule>
    <cfRule type="expression" dxfId="2846" priority="1179">
      <formula>AND(IF($Q57=2,1,0),IF($X57&lt;30,1,0))</formula>
    </cfRule>
    <cfRule type="expression" dxfId="2845" priority="1180">
      <formula>AND(IF($Q57=3,1,0),IF($X57&lt;30,1,0))</formula>
    </cfRule>
    <cfRule type="expression" dxfId="2844" priority="1181">
      <formula>AND(IF($Q57=3,1,IF($Q57=4,1,0)),IF($F57&lt;=85,1,0))</formula>
    </cfRule>
  </conditionalFormatting>
  <conditionalFormatting sqref="AV58">
    <cfRule type="expression" dxfId="2843" priority="1176">
      <formula>AV58="X"</formula>
    </cfRule>
    <cfRule type="expression" dxfId="2842" priority="1177">
      <formula>AV58="후보"</formula>
    </cfRule>
  </conditionalFormatting>
  <conditionalFormatting sqref="Z58">
    <cfRule type="colorScale" priority="1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2841" priority="1173" operator="greaterThan">
      <formula>0.9</formula>
    </cfRule>
    <cfRule type="cellIs" dxfId="2840" priority="1174" operator="greaterThan">
      <formula>0.85</formula>
    </cfRule>
  </conditionalFormatting>
  <conditionalFormatting sqref="N58">
    <cfRule type="cellIs" dxfId="2839" priority="1171" operator="greaterThan">
      <formula>0.9</formula>
    </cfRule>
    <cfRule type="cellIs" dxfId="2838" priority="1172" operator="greaterThan">
      <formula>0.85</formula>
    </cfRule>
  </conditionalFormatting>
  <conditionalFormatting sqref="E58">
    <cfRule type="expression" dxfId="2837" priority="1167">
      <formula>AND(IF(OR($Q58=1,$Q58=2),1,0),IF($X58&lt;=20,1,0))</formula>
    </cfRule>
    <cfRule type="expression" dxfId="2836" priority="1168">
      <formula>AND(IF($Q58=2,1,0),IF($X58&lt;30,1,0))</formula>
    </cfRule>
    <cfRule type="expression" dxfId="2835" priority="1169">
      <formula>AND(IF($Q58=3,1,0),IF($X58&lt;30,1,0))</formula>
    </cfRule>
    <cfRule type="expression" dxfId="2834" priority="1170">
      <formula>AND(IF($Q58=3,1,IF($Q58=4,1,0)),IF($F58&lt;=85,1,0))</formula>
    </cfRule>
  </conditionalFormatting>
  <conditionalFormatting sqref="X58">
    <cfRule type="expression" dxfId="2833" priority="1163">
      <formula>AND(IF(OR($Q58=1,$Q58=2),1,0),IF($X58&lt;=20,1,0))</formula>
    </cfRule>
    <cfRule type="expression" dxfId="2832" priority="1164">
      <formula>AND(IF($Q58=2,1,0),IF($X58&lt;30,1,0))</formula>
    </cfRule>
    <cfRule type="expression" dxfId="2831" priority="1165">
      <formula>AND(IF($Q58=3,1,0),IF($X58&lt;30,1,0))</formula>
    </cfRule>
    <cfRule type="expression" dxfId="2830" priority="1166">
      <formula>AND(IF($Q58=3,1,IF($Q58=4,1,0)),IF($F58&lt;=85,1,0))</formula>
    </cfRule>
  </conditionalFormatting>
  <conditionalFormatting sqref="AI58">
    <cfRule type="expression" dxfId="2829" priority="1159">
      <formula>AND(IF(OR($Q58=1,$Q58=2),1,0),IF($X58&lt;=20,1,0))</formula>
    </cfRule>
    <cfRule type="expression" dxfId="2828" priority="1160">
      <formula>AND(IF($Q58=2,1,0),IF($X58&lt;30,1,0))</formula>
    </cfRule>
    <cfRule type="expression" dxfId="2827" priority="1161">
      <formula>AND(IF($Q58=3,1,0),IF($X58&lt;30,1,0))</formula>
    </cfRule>
    <cfRule type="expression" dxfId="2826" priority="1162">
      <formula>AND(IF($Q58=3,1,IF($Q58=4,1,0)),IF($F58&lt;=85,1,0))</formula>
    </cfRule>
  </conditionalFormatting>
  <conditionalFormatting sqref="AV59">
    <cfRule type="expression" dxfId="2825" priority="1157">
      <formula>AV59="X"</formula>
    </cfRule>
    <cfRule type="expression" dxfId="2824" priority="1158">
      <formula>AV59="후보"</formula>
    </cfRule>
  </conditionalFormatting>
  <conditionalFormatting sqref="Z59">
    <cfRule type="colorScale" priority="1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823" priority="1154" operator="greaterThan">
      <formula>0.9</formula>
    </cfRule>
    <cfRule type="cellIs" dxfId="2822" priority="1155" operator="greaterThan">
      <formula>0.85</formula>
    </cfRule>
  </conditionalFormatting>
  <conditionalFormatting sqref="N59">
    <cfRule type="cellIs" dxfId="2821" priority="1152" operator="greaterThan">
      <formula>0.9</formula>
    </cfRule>
    <cfRule type="cellIs" dxfId="2820" priority="1153" operator="greaterThan">
      <formula>0.85</formula>
    </cfRule>
  </conditionalFormatting>
  <conditionalFormatting sqref="E59">
    <cfRule type="expression" dxfId="2819" priority="1148">
      <formula>AND(IF(OR($Q59=1,$Q59=2),1,0),IF($X59&lt;=20,1,0))</formula>
    </cfRule>
    <cfRule type="expression" dxfId="2818" priority="1149">
      <formula>AND(IF($Q59=2,1,0),IF($X59&lt;30,1,0))</formula>
    </cfRule>
    <cfRule type="expression" dxfId="2817" priority="1150">
      <formula>AND(IF($Q59=3,1,0),IF($X59&lt;30,1,0))</formula>
    </cfRule>
    <cfRule type="expression" dxfId="2816" priority="1151">
      <formula>AND(IF($Q59=3,1,IF($Q59=4,1,0)),IF($F59&lt;=85,1,0))</formula>
    </cfRule>
  </conditionalFormatting>
  <conditionalFormatting sqref="X59">
    <cfRule type="expression" dxfId="2815" priority="1144">
      <formula>AND(IF(OR($Q59=1,$Q59=2),1,0),IF($X59&lt;=20,1,0))</formula>
    </cfRule>
    <cfRule type="expression" dxfId="2814" priority="1145">
      <formula>AND(IF($Q59=2,1,0),IF($X59&lt;30,1,0))</formula>
    </cfRule>
    <cfRule type="expression" dxfId="2813" priority="1146">
      <formula>AND(IF($Q59=3,1,0),IF($X59&lt;30,1,0))</formula>
    </cfRule>
    <cfRule type="expression" dxfId="2812" priority="1147">
      <formula>AND(IF($Q59=3,1,IF($Q59=4,1,0)),IF($F59&lt;=85,1,0))</formula>
    </cfRule>
  </conditionalFormatting>
  <conditionalFormatting sqref="AI59">
    <cfRule type="expression" dxfId="2811" priority="1140">
      <formula>AND(IF(OR($Q59=1,$Q59=2),1,0),IF($X59&lt;=20,1,0))</formula>
    </cfRule>
    <cfRule type="expression" dxfId="2810" priority="1141">
      <formula>AND(IF($Q59=2,1,0),IF($X59&lt;30,1,0))</formula>
    </cfRule>
    <cfRule type="expression" dxfId="2809" priority="1142">
      <formula>AND(IF($Q59=3,1,0),IF($X59&lt;30,1,0))</formula>
    </cfRule>
    <cfRule type="expression" dxfId="2808" priority="1143">
      <formula>AND(IF($Q59=3,1,IF($Q59=4,1,0)),IF($F59&lt;=85,1,0))</formula>
    </cfRule>
  </conditionalFormatting>
  <conditionalFormatting sqref="AV60">
    <cfRule type="expression" dxfId="2807" priority="1138">
      <formula>AV60="X"</formula>
    </cfRule>
    <cfRule type="expression" dxfId="2806" priority="1139">
      <formula>AV60="후보"</formula>
    </cfRule>
  </conditionalFormatting>
  <conditionalFormatting sqref="Z60">
    <cfRule type="colorScale" priority="11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805" priority="1135" operator="greaterThan">
      <formula>0.9</formula>
    </cfRule>
    <cfRule type="cellIs" dxfId="2804" priority="1136" operator="greaterThan">
      <formula>0.85</formula>
    </cfRule>
  </conditionalFormatting>
  <conditionalFormatting sqref="N60">
    <cfRule type="cellIs" dxfId="2803" priority="1133" operator="greaterThan">
      <formula>0.9</formula>
    </cfRule>
    <cfRule type="cellIs" dxfId="2802" priority="1134" operator="greaterThan">
      <formula>0.85</formula>
    </cfRule>
  </conditionalFormatting>
  <conditionalFormatting sqref="E60">
    <cfRule type="expression" dxfId="2801" priority="1129">
      <formula>AND(IF(OR($Q60=1,$Q60=2),1,0),IF($X60&lt;=20,1,0))</formula>
    </cfRule>
    <cfRule type="expression" dxfId="2800" priority="1130">
      <formula>AND(IF($Q60=2,1,0),IF($X60&lt;30,1,0))</formula>
    </cfRule>
    <cfRule type="expression" dxfId="2799" priority="1131">
      <formula>AND(IF($Q60=3,1,0),IF($X60&lt;30,1,0))</formula>
    </cfRule>
    <cfRule type="expression" dxfId="2798" priority="1132">
      <formula>AND(IF($Q60=3,1,IF($Q60=4,1,0)),IF($F60&lt;=85,1,0))</formula>
    </cfRule>
  </conditionalFormatting>
  <conditionalFormatting sqref="X60">
    <cfRule type="expression" dxfId="2797" priority="1125">
      <formula>AND(IF(OR($Q60=1,$Q60=2),1,0),IF($X60&lt;=20,1,0))</formula>
    </cfRule>
    <cfRule type="expression" dxfId="2796" priority="1126">
      <formula>AND(IF($Q60=2,1,0),IF($X60&lt;30,1,0))</formula>
    </cfRule>
    <cfRule type="expression" dxfId="2795" priority="1127">
      <formula>AND(IF($Q60=3,1,0),IF($X60&lt;30,1,0))</formula>
    </cfRule>
    <cfRule type="expression" dxfId="2794" priority="1128">
      <formula>AND(IF($Q60=3,1,IF($Q60=4,1,0)),IF($F60&lt;=85,1,0))</formula>
    </cfRule>
  </conditionalFormatting>
  <conditionalFormatting sqref="AI60">
    <cfRule type="expression" dxfId="2793" priority="1121">
      <formula>AND(IF(OR($Q60=1,$Q60=2),1,0),IF($X60&lt;=20,1,0))</formula>
    </cfRule>
    <cfRule type="expression" dxfId="2792" priority="1122">
      <formula>AND(IF($Q60=2,1,0),IF($X60&lt;30,1,0))</formula>
    </cfRule>
    <cfRule type="expression" dxfId="2791" priority="1123">
      <formula>AND(IF($Q60=3,1,0),IF($X60&lt;30,1,0))</formula>
    </cfRule>
    <cfRule type="expression" dxfId="2790" priority="1124">
      <formula>AND(IF($Q60=3,1,IF($Q60=4,1,0)),IF($F60&lt;=85,1,0))</formula>
    </cfRule>
  </conditionalFormatting>
  <conditionalFormatting sqref="AV61">
    <cfRule type="expression" dxfId="2789" priority="1119">
      <formula>AV61="X"</formula>
    </cfRule>
    <cfRule type="expression" dxfId="2788" priority="1120">
      <formula>AV61="후보"</formula>
    </cfRule>
  </conditionalFormatting>
  <conditionalFormatting sqref="Z61">
    <cfRule type="colorScale" priority="11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2787" priority="1116" operator="greaterThan">
      <formula>0.9</formula>
    </cfRule>
    <cfRule type="cellIs" dxfId="2786" priority="1117" operator="greaterThan">
      <formula>0.85</formula>
    </cfRule>
  </conditionalFormatting>
  <conditionalFormatting sqref="AV62">
    <cfRule type="expression" dxfId="2785" priority="1114">
      <formula>AV62="X"</formula>
    </cfRule>
    <cfRule type="expression" dxfId="2784" priority="1115">
      <formula>AV62="후보"</formula>
    </cfRule>
  </conditionalFormatting>
  <conditionalFormatting sqref="Z62">
    <cfRule type="colorScale" priority="1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783" priority="1111" operator="greaterThan">
      <formula>0.9</formula>
    </cfRule>
    <cfRule type="cellIs" dxfId="2782" priority="1112" operator="greaterThan">
      <formula>0.85</formula>
    </cfRule>
  </conditionalFormatting>
  <conditionalFormatting sqref="N62">
    <cfRule type="cellIs" dxfId="2781" priority="1109" operator="greaterThan">
      <formula>0.9</formula>
    </cfRule>
    <cfRule type="cellIs" dxfId="2780" priority="1110" operator="greaterThan">
      <formula>0.85</formula>
    </cfRule>
  </conditionalFormatting>
  <conditionalFormatting sqref="E62">
    <cfRule type="expression" dxfId="2779" priority="1105">
      <formula>AND(IF(OR($Q62=1,$Q62=2),1,0),IF($X62&lt;=20,1,0))</formula>
    </cfRule>
    <cfRule type="expression" dxfId="2778" priority="1106">
      <formula>AND(IF($Q62=2,1,0),IF($X62&lt;30,1,0))</formula>
    </cfRule>
    <cfRule type="expression" dxfId="2777" priority="1107">
      <formula>AND(IF($Q62=3,1,0),IF($X62&lt;30,1,0))</formula>
    </cfRule>
    <cfRule type="expression" dxfId="2776" priority="1108">
      <formula>AND(IF($Q62=3,1,IF($Q62=4,1,0)),IF($F62&lt;=85,1,0))</formula>
    </cfRule>
  </conditionalFormatting>
  <conditionalFormatting sqref="X62">
    <cfRule type="expression" dxfId="2775" priority="1101">
      <formula>AND(IF(OR($Q62=1,$Q62=2),1,0),IF($X62&lt;=20,1,0))</formula>
    </cfRule>
    <cfRule type="expression" dxfId="2774" priority="1102">
      <formula>AND(IF($Q62=2,1,0),IF($X62&lt;30,1,0))</formula>
    </cfRule>
    <cfRule type="expression" dxfId="2773" priority="1103">
      <formula>AND(IF($Q62=3,1,0),IF($X62&lt;30,1,0))</formula>
    </cfRule>
    <cfRule type="expression" dxfId="2772" priority="1104">
      <formula>AND(IF($Q62=3,1,IF($Q62=4,1,0)),IF($F62&lt;=85,1,0))</formula>
    </cfRule>
  </conditionalFormatting>
  <conditionalFormatting sqref="AI62">
    <cfRule type="expression" dxfId="2771" priority="1097">
      <formula>AND(IF(OR($Q62=1,$Q62=2),1,0),IF($X62&lt;=20,1,0))</formula>
    </cfRule>
    <cfRule type="expression" dxfId="2770" priority="1098">
      <formula>AND(IF($Q62=2,1,0),IF($X62&lt;30,1,0))</formula>
    </cfRule>
    <cfRule type="expression" dxfId="2769" priority="1099">
      <formula>AND(IF($Q62=3,1,0),IF($X62&lt;30,1,0))</formula>
    </cfRule>
    <cfRule type="expression" dxfId="2768" priority="1100">
      <formula>AND(IF($Q62=3,1,IF($Q62=4,1,0)),IF($F62&lt;=85,1,0))</formula>
    </cfRule>
  </conditionalFormatting>
  <conditionalFormatting sqref="AV63">
    <cfRule type="expression" dxfId="2767" priority="1095">
      <formula>AV63="X"</formula>
    </cfRule>
    <cfRule type="expression" dxfId="2766" priority="1096">
      <formula>AV63="후보"</formula>
    </cfRule>
  </conditionalFormatting>
  <conditionalFormatting sqref="Z63">
    <cfRule type="colorScale" priority="1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765" priority="1092" operator="greaterThan">
      <formula>0.9</formula>
    </cfRule>
    <cfRule type="cellIs" dxfId="2764" priority="1093" operator="greaterThan">
      <formula>0.85</formula>
    </cfRule>
  </conditionalFormatting>
  <conditionalFormatting sqref="N63">
    <cfRule type="cellIs" dxfId="2763" priority="1090" operator="greaterThan">
      <formula>0.9</formula>
    </cfRule>
    <cfRule type="cellIs" dxfId="2762" priority="1091" operator="greaterThan">
      <formula>0.85</formula>
    </cfRule>
  </conditionalFormatting>
  <conditionalFormatting sqref="E63">
    <cfRule type="expression" dxfId="2761" priority="1086">
      <formula>AND(IF(OR($Q63=1,$Q63=2),1,0),IF($X63&lt;=20,1,0))</formula>
    </cfRule>
    <cfRule type="expression" dxfId="2760" priority="1087">
      <formula>AND(IF($Q63=2,1,0),IF($X63&lt;30,1,0))</formula>
    </cfRule>
    <cfRule type="expression" dxfId="2759" priority="1088">
      <formula>AND(IF($Q63=3,1,0),IF($X63&lt;30,1,0))</formula>
    </cfRule>
    <cfRule type="expression" dxfId="2758" priority="1089">
      <formula>AND(IF($Q63=3,1,IF($Q63=4,1,0)),IF($F63&lt;=85,1,0))</formula>
    </cfRule>
  </conditionalFormatting>
  <conditionalFormatting sqref="X63">
    <cfRule type="expression" dxfId="2757" priority="1082">
      <formula>AND(IF(OR($Q63=1,$Q63=2),1,0),IF($X63&lt;=20,1,0))</formula>
    </cfRule>
    <cfRule type="expression" dxfId="2756" priority="1083">
      <formula>AND(IF($Q63=2,1,0),IF($X63&lt;30,1,0))</formula>
    </cfRule>
    <cfRule type="expression" dxfId="2755" priority="1084">
      <formula>AND(IF($Q63=3,1,0),IF($X63&lt;30,1,0))</formula>
    </cfRule>
    <cfRule type="expression" dxfId="2754" priority="1085">
      <formula>AND(IF($Q63=3,1,IF($Q63=4,1,0)),IF($F63&lt;=85,1,0))</formula>
    </cfRule>
  </conditionalFormatting>
  <conditionalFormatting sqref="AI63">
    <cfRule type="expression" dxfId="2753" priority="1078">
      <formula>AND(IF(OR($Q63=1,$Q63=2),1,0),IF($X63&lt;=20,1,0))</formula>
    </cfRule>
    <cfRule type="expression" dxfId="2752" priority="1079">
      <formula>AND(IF($Q63=2,1,0),IF($X63&lt;30,1,0))</formula>
    </cfRule>
    <cfRule type="expression" dxfId="2751" priority="1080">
      <formula>AND(IF($Q63=3,1,0),IF($X63&lt;30,1,0))</formula>
    </cfRule>
    <cfRule type="expression" dxfId="2750" priority="1081">
      <formula>AND(IF($Q63=3,1,IF($Q63=4,1,0)),IF($F63&lt;=85,1,0))</formula>
    </cfRule>
  </conditionalFormatting>
  <conditionalFormatting sqref="AV64">
    <cfRule type="expression" dxfId="2749" priority="1076">
      <formula>AV64="X"</formula>
    </cfRule>
    <cfRule type="expression" dxfId="2748" priority="1077">
      <formula>AV64="후보"</formula>
    </cfRule>
  </conditionalFormatting>
  <conditionalFormatting sqref="Z64">
    <cfRule type="colorScale" priority="1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2747" priority="1073" operator="greaterThan">
      <formula>0.9</formula>
    </cfRule>
    <cfRule type="cellIs" dxfId="2746" priority="1074" operator="greaterThan">
      <formula>0.85</formula>
    </cfRule>
  </conditionalFormatting>
  <conditionalFormatting sqref="AV65">
    <cfRule type="expression" dxfId="2745" priority="1071">
      <formula>AV65="X"</formula>
    </cfRule>
    <cfRule type="expression" dxfId="2744" priority="1072">
      <formula>AV65="후보"</formula>
    </cfRule>
  </conditionalFormatting>
  <conditionalFormatting sqref="Z65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743" priority="1068" operator="greaterThan">
      <formula>0.9</formula>
    </cfRule>
    <cfRule type="cellIs" dxfId="2742" priority="1069" operator="greaterThan">
      <formula>0.85</formula>
    </cfRule>
  </conditionalFormatting>
  <conditionalFormatting sqref="N65">
    <cfRule type="cellIs" dxfId="2741" priority="1066" operator="greaterThan">
      <formula>0.9</formula>
    </cfRule>
    <cfRule type="cellIs" dxfId="2740" priority="1067" operator="greaterThan">
      <formula>0.85</formula>
    </cfRule>
  </conditionalFormatting>
  <conditionalFormatting sqref="E65">
    <cfRule type="expression" dxfId="2739" priority="1062">
      <formula>AND(IF(OR($Q65=1,$Q65=2),1,0),IF($X65&lt;=20,1,0))</formula>
    </cfRule>
    <cfRule type="expression" dxfId="2738" priority="1063">
      <formula>AND(IF($Q65=2,1,0),IF($X65&lt;30,1,0))</formula>
    </cfRule>
    <cfRule type="expression" dxfId="2737" priority="1064">
      <formula>AND(IF($Q65=3,1,0),IF($X65&lt;30,1,0))</formula>
    </cfRule>
    <cfRule type="expression" dxfId="2736" priority="1065">
      <formula>AND(IF($Q65=3,1,IF($Q65=4,1,0)),IF($F65&lt;=85,1,0))</formula>
    </cfRule>
  </conditionalFormatting>
  <conditionalFormatting sqref="X65">
    <cfRule type="expression" dxfId="2735" priority="1058">
      <formula>AND(IF(OR($Q65=1,$Q65=2),1,0),IF($X65&lt;=20,1,0))</formula>
    </cfRule>
    <cfRule type="expression" dxfId="2734" priority="1059">
      <formula>AND(IF($Q65=2,1,0),IF($X65&lt;30,1,0))</formula>
    </cfRule>
    <cfRule type="expression" dxfId="2733" priority="1060">
      <formula>AND(IF($Q65=3,1,0),IF($X65&lt;30,1,0))</formula>
    </cfRule>
    <cfRule type="expression" dxfId="2732" priority="1061">
      <formula>AND(IF($Q65=3,1,IF($Q65=4,1,0)),IF($F65&lt;=85,1,0))</formula>
    </cfRule>
  </conditionalFormatting>
  <conditionalFormatting sqref="AI65">
    <cfRule type="expression" dxfId="2731" priority="1054">
      <formula>AND(IF(OR($Q65=1,$Q65=2),1,0),IF($X65&lt;=20,1,0))</formula>
    </cfRule>
    <cfRule type="expression" dxfId="2730" priority="1055">
      <formula>AND(IF($Q65=2,1,0),IF($X65&lt;30,1,0))</formula>
    </cfRule>
    <cfRule type="expression" dxfId="2729" priority="1056">
      <formula>AND(IF($Q65=3,1,0),IF($X65&lt;30,1,0))</formula>
    </cfRule>
    <cfRule type="expression" dxfId="2728" priority="1057">
      <formula>AND(IF($Q65=3,1,IF($Q65=4,1,0)),IF($F65&lt;=85,1,0))</formula>
    </cfRule>
  </conditionalFormatting>
  <conditionalFormatting sqref="AV66">
    <cfRule type="expression" dxfId="2727" priority="1052">
      <formula>AV66="X"</formula>
    </cfRule>
    <cfRule type="expression" dxfId="2726" priority="1053">
      <formula>AV66="후보"</formula>
    </cfRule>
  </conditionalFormatting>
  <conditionalFormatting sqref="Z66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725" priority="1049" operator="greaterThan">
      <formula>0.9</formula>
    </cfRule>
    <cfRule type="cellIs" dxfId="2724" priority="1050" operator="greaterThan">
      <formula>0.85</formula>
    </cfRule>
  </conditionalFormatting>
  <conditionalFormatting sqref="N66">
    <cfRule type="cellIs" dxfId="2723" priority="1047" operator="greaterThan">
      <formula>0.9</formula>
    </cfRule>
    <cfRule type="cellIs" dxfId="2722" priority="1048" operator="greaterThan">
      <formula>0.85</formula>
    </cfRule>
  </conditionalFormatting>
  <conditionalFormatting sqref="E66">
    <cfRule type="expression" dxfId="2721" priority="1043">
      <formula>AND(IF(OR($Q66=1,$Q66=2),1,0),IF($X66&lt;=20,1,0))</formula>
    </cfRule>
    <cfRule type="expression" dxfId="2720" priority="1044">
      <formula>AND(IF($Q66=2,1,0),IF($X66&lt;30,1,0))</formula>
    </cfRule>
    <cfRule type="expression" dxfId="2719" priority="1045">
      <formula>AND(IF($Q66=3,1,0),IF($X66&lt;30,1,0))</formula>
    </cfRule>
    <cfRule type="expression" dxfId="2718" priority="1046">
      <formula>AND(IF($Q66=3,1,IF($Q66=4,1,0)),IF($F66&lt;=85,1,0))</formula>
    </cfRule>
  </conditionalFormatting>
  <conditionalFormatting sqref="X66">
    <cfRule type="expression" dxfId="2717" priority="1039">
      <formula>AND(IF(OR($Q66=1,$Q66=2),1,0),IF($X66&lt;=20,1,0))</formula>
    </cfRule>
    <cfRule type="expression" dxfId="2716" priority="1040">
      <formula>AND(IF($Q66=2,1,0),IF($X66&lt;30,1,0))</formula>
    </cfRule>
    <cfRule type="expression" dxfId="2715" priority="1041">
      <formula>AND(IF($Q66=3,1,0),IF($X66&lt;30,1,0))</formula>
    </cfRule>
    <cfRule type="expression" dxfId="2714" priority="1042">
      <formula>AND(IF($Q66=3,1,IF($Q66=4,1,0)),IF($F66&lt;=85,1,0))</formula>
    </cfRule>
  </conditionalFormatting>
  <conditionalFormatting sqref="AI66">
    <cfRule type="expression" dxfId="2713" priority="1035">
      <formula>AND(IF(OR($Q66=1,$Q66=2),1,0),IF($X66&lt;=20,1,0))</formula>
    </cfRule>
    <cfRule type="expression" dxfId="2712" priority="1036">
      <formula>AND(IF($Q66=2,1,0),IF($X66&lt;30,1,0))</formula>
    </cfRule>
    <cfRule type="expression" dxfId="2711" priority="1037">
      <formula>AND(IF($Q66=3,1,0),IF($X66&lt;30,1,0))</formula>
    </cfRule>
    <cfRule type="expression" dxfId="2710" priority="1038">
      <formula>AND(IF($Q66=3,1,IF($Q66=4,1,0)),IF($F66&lt;=85,1,0))</formula>
    </cfRule>
  </conditionalFormatting>
  <conditionalFormatting sqref="AV67">
    <cfRule type="expression" dxfId="2709" priority="1033">
      <formula>AV67="X"</formula>
    </cfRule>
    <cfRule type="expression" dxfId="2708" priority="1034">
      <formula>AV67="후보"</formula>
    </cfRule>
  </conditionalFormatting>
  <conditionalFormatting sqref="Z67">
    <cfRule type="colorScale" priority="1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707" priority="1030" operator="greaterThan">
      <formula>0.9</formula>
    </cfRule>
    <cfRule type="cellIs" dxfId="2706" priority="1031" operator="greaterThan">
      <formula>0.85</formula>
    </cfRule>
  </conditionalFormatting>
  <conditionalFormatting sqref="N67">
    <cfRule type="cellIs" dxfId="2705" priority="1028" operator="greaterThan">
      <formula>0.9</formula>
    </cfRule>
    <cfRule type="cellIs" dxfId="2704" priority="1029" operator="greaterThan">
      <formula>0.85</formula>
    </cfRule>
  </conditionalFormatting>
  <conditionalFormatting sqref="E67">
    <cfRule type="expression" dxfId="2703" priority="1024">
      <formula>AND(IF(OR($Q67=1,$Q67=2),1,0),IF($X67&lt;=20,1,0))</formula>
    </cfRule>
    <cfRule type="expression" dxfId="2702" priority="1025">
      <formula>AND(IF($Q67=2,1,0),IF($X67&lt;30,1,0))</formula>
    </cfRule>
    <cfRule type="expression" dxfId="2701" priority="1026">
      <formula>AND(IF($Q67=3,1,0),IF($X67&lt;30,1,0))</formula>
    </cfRule>
    <cfRule type="expression" dxfId="2700" priority="1027">
      <formula>AND(IF($Q67=3,1,IF($Q67=4,1,0)),IF($F67&lt;=85,1,0))</formula>
    </cfRule>
  </conditionalFormatting>
  <conditionalFormatting sqref="X67">
    <cfRule type="expression" dxfId="2699" priority="1020">
      <formula>AND(IF(OR($Q67=1,$Q67=2),1,0),IF($X67&lt;=20,1,0))</formula>
    </cfRule>
    <cfRule type="expression" dxfId="2698" priority="1021">
      <formula>AND(IF($Q67=2,1,0),IF($X67&lt;30,1,0))</formula>
    </cfRule>
    <cfRule type="expression" dxfId="2697" priority="1022">
      <formula>AND(IF($Q67=3,1,0),IF($X67&lt;30,1,0))</formula>
    </cfRule>
    <cfRule type="expression" dxfId="2696" priority="1023">
      <formula>AND(IF($Q67=3,1,IF($Q67=4,1,0)),IF($F67&lt;=85,1,0))</formula>
    </cfRule>
  </conditionalFormatting>
  <conditionalFormatting sqref="AI67">
    <cfRule type="expression" dxfId="2695" priority="1016">
      <formula>AND(IF(OR($Q67=1,$Q67=2),1,0),IF($X67&lt;=20,1,0))</formula>
    </cfRule>
    <cfRule type="expression" dxfId="2694" priority="1017">
      <formula>AND(IF($Q67=2,1,0),IF($X67&lt;30,1,0))</formula>
    </cfRule>
    <cfRule type="expression" dxfId="2693" priority="1018">
      <formula>AND(IF($Q67=3,1,0),IF($X67&lt;30,1,0))</formula>
    </cfRule>
    <cfRule type="expression" dxfId="2692" priority="1019">
      <formula>AND(IF($Q67=3,1,IF($Q67=4,1,0)),IF($F67&lt;=85,1,0))</formula>
    </cfRule>
  </conditionalFormatting>
  <conditionalFormatting sqref="AV68">
    <cfRule type="expression" dxfId="2691" priority="1014">
      <formula>AV68="X"</formula>
    </cfRule>
    <cfRule type="expression" dxfId="2690" priority="1015">
      <formula>AV68="후보"</formula>
    </cfRule>
  </conditionalFormatting>
  <conditionalFormatting sqref="Z68">
    <cfRule type="colorScale" priority="1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2689" priority="1011" operator="greaterThan">
      <formula>0.9</formula>
    </cfRule>
    <cfRule type="cellIs" dxfId="2688" priority="1012" operator="greaterThan">
      <formula>0.85</formula>
    </cfRule>
  </conditionalFormatting>
  <conditionalFormatting sqref="AV69">
    <cfRule type="expression" dxfId="2687" priority="1009">
      <formula>AV69="X"</formula>
    </cfRule>
    <cfRule type="expression" dxfId="2686" priority="1010">
      <formula>AV69="후보"</formula>
    </cfRule>
  </conditionalFormatting>
  <conditionalFormatting sqref="Z69">
    <cfRule type="colorScale" priority="1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685" priority="1006" operator="greaterThan">
      <formula>0.9</formula>
    </cfRule>
    <cfRule type="cellIs" dxfId="2684" priority="1007" operator="greaterThan">
      <formula>0.85</formula>
    </cfRule>
  </conditionalFormatting>
  <conditionalFormatting sqref="N69">
    <cfRule type="cellIs" dxfId="2683" priority="1004" operator="greaterThan">
      <formula>0.9</formula>
    </cfRule>
    <cfRule type="cellIs" dxfId="2682" priority="1005" operator="greaterThan">
      <formula>0.85</formula>
    </cfRule>
  </conditionalFormatting>
  <conditionalFormatting sqref="E69">
    <cfRule type="expression" dxfId="2681" priority="1000">
      <formula>AND(IF(OR($Q69=1,$Q69=2),1,0),IF($X69&lt;=20,1,0))</formula>
    </cfRule>
    <cfRule type="expression" dxfId="2680" priority="1001">
      <formula>AND(IF($Q69=2,1,0),IF($X69&lt;30,1,0))</formula>
    </cfRule>
    <cfRule type="expression" dxfId="2679" priority="1002">
      <formula>AND(IF($Q69=3,1,0),IF($X69&lt;30,1,0))</formula>
    </cfRule>
    <cfRule type="expression" dxfId="2678" priority="1003">
      <formula>AND(IF($Q69=3,1,IF($Q69=4,1,0)),IF($F69&lt;=85,1,0))</formula>
    </cfRule>
  </conditionalFormatting>
  <conditionalFormatting sqref="X69">
    <cfRule type="expression" dxfId="2677" priority="996">
      <formula>AND(IF(OR($Q69=1,$Q69=2),1,0),IF($X69&lt;=20,1,0))</formula>
    </cfRule>
    <cfRule type="expression" dxfId="2676" priority="997">
      <formula>AND(IF($Q69=2,1,0),IF($X69&lt;30,1,0))</formula>
    </cfRule>
    <cfRule type="expression" dxfId="2675" priority="998">
      <formula>AND(IF($Q69=3,1,0),IF($X69&lt;30,1,0))</formula>
    </cfRule>
    <cfRule type="expression" dxfId="2674" priority="999">
      <formula>AND(IF($Q69=3,1,IF($Q69=4,1,0)),IF($F69&lt;=85,1,0))</formula>
    </cfRule>
  </conditionalFormatting>
  <conditionalFormatting sqref="AI69">
    <cfRule type="expression" dxfId="2673" priority="992">
      <formula>AND(IF(OR($Q69=1,$Q69=2),1,0),IF($X69&lt;=20,1,0))</formula>
    </cfRule>
    <cfRule type="expression" dxfId="2672" priority="993">
      <formula>AND(IF($Q69=2,1,0),IF($X69&lt;30,1,0))</formula>
    </cfRule>
    <cfRule type="expression" dxfId="2671" priority="994">
      <formula>AND(IF($Q69=3,1,0),IF($X69&lt;30,1,0))</formula>
    </cfRule>
    <cfRule type="expression" dxfId="2670" priority="995">
      <formula>AND(IF($Q69=3,1,IF($Q69=4,1,0)),IF($F69&lt;=85,1,0))</formula>
    </cfRule>
  </conditionalFormatting>
  <conditionalFormatting sqref="AV70">
    <cfRule type="expression" dxfId="2669" priority="990">
      <formula>AV70="X"</formula>
    </cfRule>
    <cfRule type="expression" dxfId="2668" priority="991">
      <formula>AV70="후보"</formula>
    </cfRule>
  </conditionalFormatting>
  <conditionalFormatting sqref="Z70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667" priority="987" operator="greaterThan">
      <formula>0.9</formula>
    </cfRule>
    <cfRule type="cellIs" dxfId="2666" priority="988" operator="greaterThan">
      <formula>0.85</formula>
    </cfRule>
  </conditionalFormatting>
  <conditionalFormatting sqref="N70">
    <cfRule type="cellIs" dxfId="2665" priority="985" operator="greaterThan">
      <formula>0.9</formula>
    </cfRule>
    <cfRule type="cellIs" dxfId="2664" priority="986" operator="greaterThan">
      <formula>0.85</formula>
    </cfRule>
  </conditionalFormatting>
  <conditionalFormatting sqref="E70">
    <cfRule type="expression" dxfId="2663" priority="981">
      <formula>AND(IF(OR($Q70=1,$Q70=2),1,0),IF($X70&lt;=20,1,0))</formula>
    </cfRule>
    <cfRule type="expression" dxfId="2662" priority="982">
      <formula>AND(IF($Q70=2,1,0),IF($X70&lt;30,1,0))</formula>
    </cfRule>
    <cfRule type="expression" dxfId="2661" priority="983">
      <formula>AND(IF($Q70=3,1,0),IF($X70&lt;30,1,0))</formula>
    </cfRule>
    <cfRule type="expression" dxfId="2660" priority="984">
      <formula>AND(IF($Q70=3,1,IF($Q70=4,1,0)),IF($F70&lt;=85,1,0))</formula>
    </cfRule>
  </conditionalFormatting>
  <conditionalFormatting sqref="X70">
    <cfRule type="expression" dxfId="2659" priority="977">
      <formula>AND(IF(OR($Q70=1,$Q70=2),1,0),IF($X70&lt;=20,1,0))</formula>
    </cfRule>
    <cfRule type="expression" dxfId="2658" priority="978">
      <formula>AND(IF($Q70=2,1,0),IF($X70&lt;30,1,0))</formula>
    </cfRule>
    <cfRule type="expression" dxfId="2657" priority="979">
      <formula>AND(IF($Q70=3,1,0),IF($X70&lt;30,1,0))</formula>
    </cfRule>
    <cfRule type="expression" dxfId="2656" priority="980">
      <formula>AND(IF($Q70=3,1,IF($Q70=4,1,0)),IF($F70&lt;=85,1,0))</formula>
    </cfRule>
  </conditionalFormatting>
  <conditionalFormatting sqref="AI70">
    <cfRule type="expression" dxfId="2655" priority="973">
      <formula>AND(IF(OR($Q70=1,$Q70=2),1,0),IF($X70&lt;=20,1,0))</formula>
    </cfRule>
    <cfRule type="expression" dxfId="2654" priority="974">
      <formula>AND(IF($Q70=2,1,0),IF($X70&lt;30,1,0))</formula>
    </cfRule>
    <cfRule type="expression" dxfId="2653" priority="975">
      <formula>AND(IF($Q70=3,1,0),IF($X70&lt;30,1,0))</formula>
    </cfRule>
    <cfRule type="expression" dxfId="2652" priority="976">
      <formula>AND(IF($Q70=3,1,IF($Q70=4,1,0)),IF($F70&lt;=85,1,0))</formula>
    </cfRule>
  </conditionalFormatting>
  <conditionalFormatting sqref="AV71">
    <cfRule type="expression" dxfId="2651" priority="971">
      <formula>AV71="X"</formula>
    </cfRule>
    <cfRule type="expression" dxfId="2650" priority="972">
      <formula>AV71="후보"</formula>
    </cfRule>
  </conditionalFormatting>
  <conditionalFormatting sqref="Z71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2649" priority="968" operator="greaterThan">
      <formula>0.9</formula>
    </cfRule>
    <cfRule type="cellIs" dxfId="2648" priority="969" operator="greaterThan">
      <formula>0.85</formula>
    </cfRule>
  </conditionalFormatting>
  <conditionalFormatting sqref="N71">
    <cfRule type="cellIs" dxfId="2647" priority="966" operator="greaterThan">
      <formula>0.9</formula>
    </cfRule>
    <cfRule type="cellIs" dxfId="2646" priority="967" operator="greaterThan">
      <formula>0.85</formula>
    </cfRule>
  </conditionalFormatting>
  <conditionalFormatting sqref="E71">
    <cfRule type="expression" dxfId="2645" priority="962">
      <formula>AND(IF(OR($Q71=1,$Q71=2),1,0),IF($X71&lt;=20,1,0))</formula>
    </cfRule>
    <cfRule type="expression" dxfId="2644" priority="963">
      <formula>AND(IF($Q71=2,1,0),IF($X71&lt;30,1,0))</formula>
    </cfRule>
    <cfRule type="expression" dxfId="2643" priority="964">
      <formula>AND(IF($Q71=3,1,0),IF($X71&lt;30,1,0))</formula>
    </cfRule>
    <cfRule type="expression" dxfId="2642" priority="965">
      <formula>AND(IF($Q71=3,1,IF($Q71=4,1,0)),IF($F71&lt;=85,1,0))</formula>
    </cfRule>
  </conditionalFormatting>
  <conditionalFormatting sqref="X71">
    <cfRule type="expression" dxfId="2641" priority="958">
      <formula>AND(IF(OR($Q71=1,$Q71=2),1,0),IF($X71&lt;=20,1,0))</formula>
    </cfRule>
    <cfRule type="expression" dxfId="2640" priority="959">
      <formula>AND(IF($Q71=2,1,0),IF($X71&lt;30,1,0))</formula>
    </cfRule>
    <cfRule type="expression" dxfId="2639" priority="960">
      <formula>AND(IF($Q71=3,1,0),IF($X71&lt;30,1,0))</formula>
    </cfRule>
    <cfRule type="expression" dxfId="2638" priority="961">
      <formula>AND(IF($Q71=3,1,IF($Q71=4,1,0)),IF($F71&lt;=85,1,0))</formula>
    </cfRule>
  </conditionalFormatting>
  <conditionalFormatting sqref="AI71">
    <cfRule type="expression" dxfId="2637" priority="954">
      <formula>AND(IF(OR($Q71=1,$Q71=2),1,0),IF($X71&lt;=20,1,0))</formula>
    </cfRule>
    <cfRule type="expression" dxfId="2636" priority="955">
      <formula>AND(IF($Q71=2,1,0),IF($X71&lt;30,1,0))</formula>
    </cfRule>
    <cfRule type="expression" dxfId="2635" priority="956">
      <formula>AND(IF($Q71=3,1,0),IF($X71&lt;30,1,0))</formula>
    </cfRule>
    <cfRule type="expression" dxfId="2634" priority="957">
      <formula>AND(IF($Q71=3,1,IF($Q71=4,1,0)),IF($F71&lt;=85,1,0))</formula>
    </cfRule>
  </conditionalFormatting>
  <conditionalFormatting sqref="AV72">
    <cfRule type="expression" dxfId="2633" priority="952">
      <formula>AV72="X"</formula>
    </cfRule>
    <cfRule type="expression" dxfId="2632" priority="953">
      <formula>AV72="후보"</formula>
    </cfRule>
  </conditionalFormatting>
  <conditionalFormatting sqref="Z72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631" priority="949" operator="greaterThan">
      <formula>0.9</formula>
    </cfRule>
    <cfRule type="cellIs" dxfId="2630" priority="950" operator="greaterThan">
      <formula>0.85</formula>
    </cfRule>
  </conditionalFormatting>
  <conditionalFormatting sqref="N72">
    <cfRule type="cellIs" dxfId="2629" priority="947" operator="greaterThan">
      <formula>0.9</formula>
    </cfRule>
    <cfRule type="cellIs" dxfId="2628" priority="948" operator="greaterThan">
      <formula>0.85</formula>
    </cfRule>
  </conditionalFormatting>
  <conditionalFormatting sqref="E72">
    <cfRule type="expression" dxfId="2627" priority="943">
      <formula>AND(IF(OR($Q72=1,$Q72=2),1,0),IF($X72&lt;=20,1,0))</formula>
    </cfRule>
    <cfRule type="expression" dxfId="2626" priority="944">
      <formula>AND(IF($Q72=2,1,0),IF($X72&lt;30,1,0))</formula>
    </cfRule>
    <cfRule type="expression" dxfId="2625" priority="945">
      <formula>AND(IF($Q72=3,1,0),IF($X72&lt;30,1,0))</formula>
    </cfRule>
    <cfRule type="expression" dxfId="2624" priority="946">
      <formula>AND(IF($Q72=3,1,IF($Q72=4,1,0)),IF($F72&lt;=85,1,0))</formula>
    </cfRule>
  </conditionalFormatting>
  <conditionalFormatting sqref="X72">
    <cfRule type="expression" dxfId="2623" priority="939">
      <formula>AND(IF(OR($Q72=1,$Q72=2),1,0),IF($X72&lt;=20,1,0))</formula>
    </cfRule>
    <cfRule type="expression" dxfId="2622" priority="940">
      <formula>AND(IF($Q72=2,1,0),IF($X72&lt;30,1,0))</formula>
    </cfRule>
    <cfRule type="expression" dxfId="2621" priority="941">
      <formula>AND(IF($Q72=3,1,0),IF($X72&lt;30,1,0))</formula>
    </cfRule>
    <cfRule type="expression" dxfId="2620" priority="942">
      <formula>AND(IF($Q72=3,1,IF($Q72=4,1,0)),IF($F72&lt;=85,1,0))</formula>
    </cfRule>
  </conditionalFormatting>
  <conditionalFormatting sqref="AI72">
    <cfRule type="expression" dxfId="2619" priority="935">
      <formula>AND(IF(OR($Q72=1,$Q72=2),1,0),IF($X72&lt;=20,1,0))</formula>
    </cfRule>
    <cfRule type="expression" dxfId="2618" priority="936">
      <formula>AND(IF($Q72=2,1,0),IF($X72&lt;30,1,0))</formula>
    </cfRule>
    <cfRule type="expression" dxfId="2617" priority="937">
      <formula>AND(IF($Q72=3,1,0),IF($X72&lt;30,1,0))</formula>
    </cfRule>
    <cfRule type="expression" dxfId="2616" priority="938">
      <formula>AND(IF($Q72=3,1,IF($Q72=4,1,0)),IF($F72&lt;=85,1,0))</formula>
    </cfRule>
  </conditionalFormatting>
  <conditionalFormatting sqref="AV73">
    <cfRule type="expression" dxfId="2615" priority="933">
      <formula>AV73="X"</formula>
    </cfRule>
    <cfRule type="expression" dxfId="2614" priority="934">
      <formula>AV73="후보"</formula>
    </cfRule>
  </conditionalFormatting>
  <conditionalFormatting sqref="Z73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2613" priority="930" operator="greaterThan">
      <formula>0.9</formula>
    </cfRule>
    <cfRule type="cellIs" dxfId="2612" priority="931" operator="greaterThan">
      <formula>0.85</formula>
    </cfRule>
  </conditionalFormatting>
  <conditionalFormatting sqref="AV74">
    <cfRule type="expression" dxfId="2611" priority="928">
      <formula>AV74="X"</formula>
    </cfRule>
    <cfRule type="expression" dxfId="2610" priority="929">
      <formula>AV74="후보"</formula>
    </cfRule>
  </conditionalFormatting>
  <conditionalFormatting sqref="Z74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2609" priority="925" operator="greaterThan">
      <formula>0.9</formula>
    </cfRule>
    <cfRule type="cellIs" dxfId="2608" priority="926" operator="greaterThan">
      <formula>0.85</formula>
    </cfRule>
  </conditionalFormatting>
  <conditionalFormatting sqref="N74">
    <cfRule type="cellIs" dxfId="2607" priority="923" operator="greaterThan">
      <formula>0.9</formula>
    </cfRule>
    <cfRule type="cellIs" dxfId="2606" priority="924" operator="greaterThan">
      <formula>0.85</formula>
    </cfRule>
  </conditionalFormatting>
  <conditionalFormatting sqref="E74">
    <cfRule type="expression" dxfId="2605" priority="919">
      <formula>AND(IF(OR($Q74=1,$Q74=2),1,0),IF($X74&lt;=20,1,0))</formula>
    </cfRule>
    <cfRule type="expression" dxfId="2604" priority="920">
      <formula>AND(IF($Q74=2,1,0),IF($X74&lt;30,1,0))</formula>
    </cfRule>
    <cfRule type="expression" dxfId="2603" priority="921">
      <formula>AND(IF($Q74=3,1,0),IF($X74&lt;30,1,0))</formula>
    </cfRule>
    <cfRule type="expression" dxfId="2602" priority="922">
      <formula>AND(IF($Q74=3,1,IF($Q74=4,1,0)),IF($F74&lt;=85,1,0))</formula>
    </cfRule>
  </conditionalFormatting>
  <conditionalFormatting sqref="X74">
    <cfRule type="expression" dxfId="2601" priority="915">
      <formula>AND(IF(OR($Q74=1,$Q74=2),1,0),IF($X74&lt;=20,1,0))</formula>
    </cfRule>
    <cfRule type="expression" dxfId="2600" priority="916">
      <formula>AND(IF($Q74=2,1,0),IF($X74&lt;30,1,0))</formula>
    </cfRule>
    <cfRule type="expression" dxfId="2599" priority="917">
      <formula>AND(IF($Q74=3,1,0),IF($X74&lt;30,1,0))</formula>
    </cfRule>
    <cfRule type="expression" dxfId="2598" priority="918">
      <formula>AND(IF($Q74=3,1,IF($Q74=4,1,0)),IF($F74&lt;=85,1,0))</formula>
    </cfRule>
  </conditionalFormatting>
  <conditionalFormatting sqref="AI74">
    <cfRule type="expression" dxfId="2597" priority="911">
      <formula>AND(IF(OR($Q74=1,$Q74=2),1,0),IF($X74&lt;=20,1,0))</formula>
    </cfRule>
    <cfRule type="expression" dxfId="2596" priority="912">
      <formula>AND(IF($Q74=2,1,0),IF($X74&lt;30,1,0))</formula>
    </cfRule>
    <cfRule type="expression" dxfId="2595" priority="913">
      <formula>AND(IF($Q74=3,1,0),IF($X74&lt;30,1,0))</formula>
    </cfRule>
    <cfRule type="expression" dxfId="2594" priority="914">
      <formula>AND(IF($Q74=3,1,IF($Q74=4,1,0)),IF($F74&lt;=85,1,0))</formula>
    </cfRule>
  </conditionalFormatting>
  <conditionalFormatting sqref="AV75">
    <cfRule type="expression" dxfId="2593" priority="909">
      <formula>AV75="X"</formula>
    </cfRule>
    <cfRule type="expression" dxfId="2592" priority="910">
      <formula>AV75="후보"</formula>
    </cfRule>
  </conditionalFormatting>
  <conditionalFormatting sqref="Z75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591" priority="906" operator="greaterThan">
      <formula>0.9</formula>
    </cfRule>
    <cfRule type="cellIs" dxfId="2590" priority="907" operator="greaterThan">
      <formula>0.85</formula>
    </cfRule>
  </conditionalFormatting>
  <conditionalFormatting sqref="N75">
    <cfRule type="cellIs" dxfId="2589" priority="904" operator="greaterThan">
      <formula>0.9</formula>
    </cfRule>
    <cfRule type="cellIs" dxfId="2588" priority="905" operator="greaterThan">
      <formula>0.85</formula>
    </cfRule>
  </conditionalFormatting>
  <conditionalFormatting sqref="E75">
    <cfRule type="expression" dxfId="2587" priority="900">
      <formula>AND(IF(OR($Q75=1,$Q75=2),1,0),IF($X75&lt;=20,1,0))</formula>
    </cfRule>
    <cfRule type="expression" dxfId="2586" priority="901">
      <formula>AND(IF($Q75=2,1,0),IF($X75&lt;30,1,0))</formula>
    </cfRule>
    <cfRule type="expression" dxfId="2585" priority="902">
      <formula>AND(IF($Q75=3,1,0),IF($X75&lt;30,1,0))</formula>
    </cfRule>
    <cfRule type="expression" dxfId="2584" priority="903">
      <formula>AND(IF($Q75=3,1,IF($Q75=4,1,0)),IF($F75&lt;=85,1,0))</formula>
    </cfRule>
  </conditionalFormatting>
  <conditionalFormatting sqref="X75">
    <cfRule type="expression" dxfId="2583" priority="896">
      <formula>AND(IF(OR($Q75=1,$Q75=2),1,0),IF($X75&lt;=20,1,0))</formula>
    </cfRule>
    <cfRule type="expression" dxfId="2582" priority="897">
      <formula>AND(IF($Q75=2,1,0),IF($X75&lt;30,1,0))</formula>
    </cfRule>
    <cfRule type="expression" dxfId="2581" priority="898">
      <formula>AND(IF($Q75=3,1,0),IF($X75&lt;30,1,0))</formula>
    </cfRule>
    <cfRule type="expression" dxfId="2580" priority="899">
      <formula>AND(IF($Q75=3,1,IF($Q75=4,1,0)),IF($F75&lt;=85,1,0))</formula>
    </cfRule>
  </conditionalFormatting>
  <conditionalFormatting sqref="AI75">
    <cfRule type="expression" dxfId="2579" priority="892">
      <formula>AND(IF(OR($Q75=1,$Q75=2),1,0),IF($X75&lt;=20,1,0))</formula>
    </cfRule>
    <cfRule type="expression" dxfId="2578" priority="893">
      <formula>AND(IF($Q75=2,1,0),IF($X75&lt;30,1,0))</formula>
    </cfRule>
    <cfRule type="expression" dxfId="2577" priority="894">
      <formula>AND(IF($Q75=3,1,0),IF($X75&lt;30,1,0))</formula>
    </cfRule>
    <cfRule type="expression" dxfId="2576" priority="895">
      <formula>AND(IF($Q75=3,1,IF($Q75=4,1,0)),IF($F75&lt;=85,1,0))</formula>
    </cfRule>
  </conditionalFormatting>
  <conditionalFormatting sqref="AV76">
    <cfRule type="expression" dxfId="2575" priority="890">
      <formula>AV76="X"</formula>
    </cfRule>
    <cfRule type="expression" dxfId="2574" priority="891">
      <formula>AV76="후보"</formula>
    </cfRule>
  </conditionalFormatting>
  <conditionalFormatting sqref="Z76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573" priority="887" operator="greaterThan">
      <formula>0.9</formula>
    </cfRule>
    <cfRule type="cellIs" dxfId="2572" priority="888" operator="greaterThan">
      <formula>0.85</formula>
    </cfRule>
  </conditionalFormatting>
  <conditionalFormatting sqref="N76">
    <cfRule type="cellIs" dxfId="2571" priority="885" operator="greaterThan">
      <formula>0.9</formula>
    </cfRule>
    <cfRule type="cellIs" dxfId="2570" priority="886" operator="greaterThan">
      <formula>0.85</formula>
    </cfRule>
  </conditionalFormatting>
  <conditionalFormatting sqref="E76">
    <cfRule type="expression" dxfId="2569" priority="881">
      <formula>AND(IF(OR($Q76=1,$Q76=2),1,0),IF($X76&lt;=20,1,0))</formula>
    </cfRule>
    <cfRule type="expression" dxfId="2568" priority="882">
      <formula>AND(IF($Q76=2,1,0),IF($X76&lt;30,1,0))</formula>
    </cfRule>
    <cfRule type="expression" dxfId="2567" priority="883">
      <formula>AND(IF($Q76=3,1,0),IF($X76&lt;30,1,0))</formula>
    </cfRule>
    <cfRule type="expression" dxfId="2566" priority="884">
      <formula>AND(IF($Q76=3,1,IF($Q76=4,1,0)),IF($F76&lt;=85,1,0))</formula>
    </cfRule>
  </conditionalFormatting>
  <conditionalFormatting sqref="X76">
    <cfRule type="expression" dxfId="2565" priority="877">
      <formula>AND(IF(OR($Q76=1,$Q76=2),1,0),IF($X76&lt;=20,1,0))</formula>
    </cfRule>
    <cfRule type="expression" dxfId="2564" priority="878">
      <formula>AND(IF($Q76=2,1,0),IF($X76&lt;30,1,0))</formula>
    </cfRule>
    <cfRule type="expression" dxfId="2563" priority="879">
      <formula>AND(IF($Q76=3,1,0),IF($X76&lt;30,1,0))</formula>
    </cfRule>
    <cfRule type="expression" dxfId="2562" priority="880">
      <formula>AND(IF($Q76=3,1,IF($Q76=4,1,0)),IF($F76&lt;=85,1,0))</formula>
    </cfRule>
  </conditionalFormatting>
  <conditionalFormatting sqref="AI76">
    <cfRule type="expression" dxfId="2561" priority="873">
      <formula>AND(IF(OR($Q76=1,$Q76=2),1,0),IF($X76&lt;=20,1,0))</formula>
    </cfRule>
    <cfRule type="expression" dxfId="2560" priority="874">
      <formula>AND(IF($Q76=2,1,0),IF($X76&lt;30,1,0))</formula>
    </cfRule>
    <cfRule type="expression" dxfId="2559" priority="875">
      <formula>AND(IF($Q76=3,1,0),IF($X76&lt;30,1,0))</formula>
    </cfRule>
    <cfRule type="expression" dxfId="2558" priority="876">
      <formula>AND(IF($Q76=3,1,IF($Q76=4,1,0)),IF($F76&lt;=85,1,0))</formula>
    </cfRule>
  </conditionalFormatting>
  <conditionalFormatting sqref="AV77">
    <cfRule type="expression" dxfId="2557" priority="871">
      <formula>AV77="X"</formula>
    </cfRule>
    <cfRule type="expression" dxfId="2556" priority="872">
      <formula>AV77="후보"</formula>
    </cfRule>
  </conditionalFormatting>
  <conditionalFormatting sqref="Z77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2555" priority="868" operator="greaterThan">
      <formula>0.9</formula>
    </cfRule>
    <cfRule type="cellIs" dxfId="2554" priority="869" operator="greaterThan">
      <formula>0.85</formula>
    </cfRule>
  </conditionalFormatting>
  <conditionalFormatting sqref="AV78">
    <cfRule type="expression" dxfId="2553" priority="866">
      <formula>AV78="X"</formula>
    </cfRule>
    <cfRule type="expression" dxfId="2552" priority="867">
      <formula>AV78="후보"</formula>
    </cfRule>
  </conditionalFormatting>
  <conditionalFormatting sqref="Z78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551" priority="863" operator="greaterThan">
      <formula>0.9</formula>
    </cfRule>
    <cfRule type="cellIs" dxfId="2550" priority="864" operator="greaterThan">
      <formula>0.85</formula>
    </cfRule>
  </conditionalFormatting>
  <conditionalFormatting sqref="N78">
    <cfRule type="cellIs" dxfId="2549" priority="861" operator="greaterThan">
      <formula>0.9</formula>
    </cfRule>
    <cfRule type="cellIs" dxfId="2548" priority="862" operator="greaterThan">
      <formula>0.85</formula>
    </cfRule>
  </conditionalFormatting>
  <conditionalFormatting sqref="E78">
    <cfRule type="expression" dxfId="2547" priority="857">
      <formula>AND(IF(OR($Q78=1,$Q78=2),1,0),IF($X78&lt;=20,1,0))</formula>
    </cfRule>
    <cfRule type="expression" dxfId="2546" priority="858">
      <formula>AND(IF($Q78=2,1,0),IF($X78&lt;30,1,0))</formula>
    </cfRule>
    <cfRule type="expression" dxfId="2545" priority="859">
      <formula>AND(IF($Q78=3,1,0),IF($X78&lt;30,1,0))</formula>
    </cfRule>
    <cfRule type="expression" dxfId="2544" priority="860">
      <formula>AND(IF($Q78=3,1,IF($Q78=4,1,0)),IF($F78&lt;=85,1,0))</formula>
    </cfRule>
  </conditionalFormatting>
  <conditionalFormatting sqref="X78">
    <cfRule type="expression" dxfId="2543" priority="853">
      <formula>AND(IF(OR($Q78=1,$Q78=2),1,0),IF($X78&lt;=20,1,0))</formula>
    </cfRule>
    <cfRule type="expression" dxfId="2542" priority="854">
      <formula>AND(IF($Q78=2,1,0),IF($X78&lt;30,1,0))</formula>
    </cfRule>
    <cfRule type="expression" dxfId="2541" priority="855">
      <formula>AND(IF($Q78=3,1,0),IF($X78&lt;30,1,0))</formula>
    </cfRule>
    <cfRule type="expression" dxfId="2540" priority="856">
      <formula>AND(IF($Q78=3,1,IF($Q78=4,1,0)),IF($F78&lt;=85,1,0))</formula>
    </cfRule>
  </conditionalFormatting>
  <conditionalFormatting sqref="AI78">
    <cfRule type="expression" dxfId="2539" priority="849">
      <formula>AND(IF(OR($Q78=1,$Q78=2),1,0),IF($X78&lt;=20,1,0))</formula>
    </cfRule>
    <cfRule type="expression" dxfId="2538" priority="850">
      <formula>AND(IF($Q78=2,1,0),IF($X78&lt;30,1,0))</formula>
    </cfRule>
    <cfRule type="expression" dxfId="2537" priority="851">
      <formula>AND(IF($Q78=3,1,0),IF($X78&lt;30,1,0))</formula>
    </cfRule>
    <cfRule type="expression" dxfId="2536" priority="852">
      <formula>AND(IF($Q78=3,1,IF($Q78=4,1,0)),IF($F78&lt;=85,1,0))</formula>
    </cfRule>
  </conditionalFormatting>
  <conditionalFormatting sqref="AV79">
    <cfRule type="expression" dxfId="2535" priority="847">
      <formula>AV79="X"</formula>
    </cfRule>
    <cfRule type="expression" dxfId="2534" priority="848">
      <formula>AV79="후보"</formula>
    </cfRule>
  </conditionalFormatting>
  <conditionalFormatting sqref="Z79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533" priority="844" operator="greaterThan">
      <formula>0.9</formula>
    </cfRule>
    <cfRule type="cellIs" dxfId="2532" priority="845" operator="greaterThan">
      <formula>0.85</formula>
    </cfRule>
  </conditionalFormatting>
  <conditionalFormatting sqref="N79">
    <cfRule type="cellIs" dxfId="2531" priority="842" operator="greaterThan">
      <formula>0.9</formula>
    </cfRule>
    <cfRule type="cellIs" dxfId="2530" priority="843" operator="greaterThan">
      <formula>0.85</formula>
    </cfRule>
  </conditionalFormatting>
  <conditionalFormatting sqref="E79">
    <cfRule type="expression" dxfId="2529" priority="838">
      <formula>AND(IF(OR($Q79=1,$Q79=2),1,0),IF($X79&lt;=20,1,0))</formula>
    </cfRule>
    <cfRule type="expression" dxfId="2528" priority="839">
      <formula>AND(IF($Q79=2,1,0),IF($X79&lt;30,1,0))</formula>
    </cfRule>
    <cfRule type="expression" dxfId="2527" priority="840">
      <formula>AND(IF($Q79=3,1,0),IF($X79&lt;30,1,0))</formula>
    </cfRule>
    <cfRule type="expression" dxfId="2526" priority="841">
      <formula>AND(IF($Q79=3,1,IF($Q79=4,1,0)),IF($F79&lt;=85,1,0))</formula>
    </cfRule>
  </conditionalFormatting>
  <conditionalFormatting sqref="X79">
    <cfRule type="expression" dxfId="2525" priority="834">
      <formula>AND(IF(OR($Q79=1,$Q79=2),1,0),IF($X79&lt;=20,1,0))</formula>
    </cfRule>
    <cfRule type="expression" dxfId="2524" priority="835">
      <formula>AND(IF($Q79=2,1,0),IF($X79&lt;30,1,0))</formula>
    </cfRule>
    <cfRule type="expression" dxfId="2523" priority="836">
      <formula>AND(IF($Q79=3,1,0),IF($X79&lt;30,1,0))</formula>
    </cfRule>
    <cfRule type="expression" dxfId="2522" priority="837">
      <formula>AND(IF($Q79=3,1,IF($Q79=4,1,0)),IF($F79&lt;=85,1,0))</formula>
    </cfRule>
  </conditionalFormatting>
  <conditionalFormatting sqref="AI79">
    <cfRule type="expression" dxfId="2521" priority="830">
      <formula>AND(IF(OR($Q79=1,$Q79=2),1,0),IF($X79&lt;=20,1,0))</formula>
    </cfRule>
    <cfRule type="expression" dxfId="2520" priority="831">
      <formula>AND(IF($Q79=2,1,0),IF($X79&lt;30,1,0))</formula>
    </cfRule>
    <cfRule type="expression" dxfId="2519" priority="832">
      <formula>AND(IF($Q79=3,1,0),IF($X79&lt;30,1,0))</formula>
    </cfRule>
    <cfRule type="expression" dxfId="2518" priority="833">
      <formula>AND(IF($Q79=3,1,IF($Q79=4,1,0)),IF($F79&lt;=85,1,0))</formula>
    </cfRule>
  </conditionalFormatting>
  <conditionalFormatting sqref="AV80">
    <cfRule type="expression" dxfId="2517" priority="828">
      <formula>AV80="X"</formula>
    </cfRule>
    <cfRule type="expression" dxfId="2516" priority="829">
      <formula>AV80="후보"</formula>
    </cfRule>
  </conditionalFormatting>
  <conditionalFormatting sqref="Z80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2515" priority="825" operator="greaterThan">
      <formula>0.9</formula>
    </cfRule>
    <cfRule type="cellIs" dxfId="2514" priority="826" operator="greaterThan">
      <formula>0.85</formula>
    </cfRule>
  </conditionalFormatting>
  <conditionalFormatting sqref="N80">
    <cfRule type="cellIs" dxfId="2513" priority="823" operator="greaterThan">
      <formula>0.9</formula>
    </cfRule>
    <cfRule type="cellIs" dxfId="2512" priority="824" operator="greaterThan">
      <formula>0.85</formula>
    </cfRule>
  </conditionalFormatting>
  <conditionalFormatting sqref="E80">
    <cfRule type="expression" dxfId="2511" priority="819">
      <formula>AND(IF(OR($Q80=1,$Q80=2),1,0),IF($X80&lt;=20,1,0))</formula>
    </cfRule>
    <cfRule type="expression" dxfId="2510" priority="820">
      <formula>AND(IF($Q80=2,1,0),IF($X80&lt;30,1,0))</formula>
    </cfRule>
    <cfRule type="expression" dxfId="2509" priority="821">
      <formula>AND(IF($Q80=3,1,0),IF($X80&lt;30,1,0))</formula>
    </cfRule>
    <cfRule type="expression" dxfId="2508" priority="822">
      <formula>AND(IF($Q80=3,1,IF($Q80=4,1,0)),IF($F80&lt;=85,1,0))</formula>
    </cfRule>
  </conditionalFormatting>
  <conditionalFormatting sqref="X80">
    <cfRule type="expression" dxfId="2507" priority="815">
      <formula>AND(IF(OR($Q80=1,$Q80=2),1,0),IF($X80&lt;=20,1,0))</formula>
    </cfRule>
    <cfRule type="expression" dxfId="2506" priority="816">
      <formula>AND(IF($Q80=2,1,0),IF($X80&lt;30,1,0))</formula>
    </cfRule>
    <cfRule type="expression" dxfId="2505" priority="817">
      <formula>AND(IF($Q80=3,1,0),IF($X80&lt;30,1,0))</formula>
    </cfRule>
    <cfRule type="expression" dxfId="2504" priority="818">
      <formula>AND(IF($Q80=3,1,IF($Q80=4,1,0)),IF($F80&lt;=85,1,0))</formula>
    </cfRule>
  </conditionalFormatting>
  <conditionalFormatting sqref="AI80">
    <cfRule type="expression" dxfId="2503" priority="811">
      <formula>AND(IF(OR($Q80=1,$Q80=2),1,0),IF($X80&lt;=20,1,0))</formula>
    </cfRule>
    <cfRule type="expression" dxfId="2502" priority="812">
      <formula>AND(IF($Q80=2,1,0),IF($X80&lt;30,1,0))</formula>
    </cfRule>
    <cfRule type="expression" dxfId="2501" priority="813">
      <formula>AND(IF($Q80=3,1,0),IF($X80&lt;30,1,0))</formula>
    </cfRule>
    <cfRule type="expression" dxfId="2500" priority="814">
      <formula>AND(IF($Q80=3,1,IF($Q80=4,1,0)),IF($F80&lt;=85,1,0))</formula>
    </cfRule>
  </conditionalFormatting>
  <conditionalFormatting sqref="AV81">
    <cfRule type="expression" dxfId="2499" priority="809">
      <formula>AV81="X"</formula>
    </cfRule>
    <cfRule type="expression" dxfId="2498" priority="810">
      <formula>AV81="후보"</formula>
    </cfRule>
  </conditionalFormatting>
  <conditionalFormatting sqref="Z81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2497" priority="806" operator="greaterThan">
      <formula>0.9</formula>
    </cfRule>
    <cfRule type="cellIs" dxfId="2496" priority="807" operator="greaterThan">
      <formula>0.85</formula>
    </cfRule>
  </conditionalFormatting>
  <conditionalFormatting sqref="AV82">
    <cfRule type="expression" dxfId="2495" priority="804">
      <formula>AV82="X"</formula>
    </cfRule>
    <cfRule type="expression" dxfId="2494" priority="805">
      <formula>AV82="후보"</formula>
    </cfRule>
  </conditionalFormatting>
  <conditionalFormatting sqref="Z82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493" priority="801" operator="greaterThan">
      <formula>0.9</formula>
    </cfRule>
    <cfRule type="cellIs" dxfId="2492" priority="802" operator="greaterThan">
      <formula>0.85</formula>
    </cfRule>
  </conditionalFormatting>
  <conditionalFormatting sqref="N82">
    <cfRule type="cellIs" dxfId="2491" priority="799" operator="greaterThan">
      <formula>0.9</formula>
    </cfRule>
    <cfRule type="cellIs" dxfId="2490" priority="800" operator="greaterThan">
      <formula>0.85</formula>
    </cfRule>
  </conditionalFormatting>
  <conditionalFormatting sqref="E82">
    <cfRule type="expression" dxfId="2489" priority="795">
      <formula>AND(IF(OR($Q82=1,$Q82=2),1,0),IF($X82&lt;=20,1,0))</formula>
    </cfRule>
    <cfRule type="expression" dxfId="2488" priority="796">
      <formula>AND(IF($Q82=2,1,0),IF($X82&lt;30,1,0))</formula>
    </cfRule>
    <cfRule type="expression" dxfId="2487" priority="797">
      <formula>AND(IF($Q82=3,1,0),IF($X82&lt;30,1,0))</formula>
    </cfRule>
    <cfRule type="expression" dxfId="2486" priority="798">
      <formula>AND(IF($Q82=3,1,IF($Q82=4,1,0)),IF($F82&lt;=85,1,0))</formula>
    </cfRule>
  </conditionalFormatting>
  <conditionalFormatting sqref="X82">
    <cfRule type="expression" dxfId="2485" priority="791">
      <formula>AND(IF(OR($Q82=1,$Q82=2),1,0),IF($X82&lt;=20,1,0))</formula>
    </cfRule>
    <cfRule type="expression" dxfId="2484" priority="792">
      <formula>AND(IF($Q82=2,1,0),IF($X82&lt;30,1,0))</formula>
    </cfRule>
    <cfRule type="expression" dxfId="2483" priority="793">
      <formula>AND(IF($Q82=3,1,0),IF($X82&lt;30,1,0))</formula>
    </cfRule>
    <cfRule type="expression" dxfId="2482" priority="794">
      <formula>AND(IF($Q82=3,1,IF($Q82=4,1,0)),IF($F82&lt;=85,1,0))</formula>
    </cfRule>
  </conditionalFormatting>
  <conditionalFormatting sqref="AI82">
    <cfRule type="expression" dxfId="2481" priority="787">
      <formula>AND(IF(OR($Q82=1,$Q82=2),1,0),IF($X82&lt;=20,1,0))</formula>
    </cfRule>
    <cfRule type="expression" dxfId="2480" priority="788">
      <formula>AND(IF($Q82=2,1,0),IF($X82&lt;30,1,0))</formula>
    </cfRule>
    <cfRule type="expression" dxfId="2479" priority="789">
      <formula>AND(IF($Q82=3,1,0),IF($X82&lt;30,1,0))</formula>
    </cfRule>
    <cfRule type="expression" dxfId="2478" priority="790">
      <formula>AND(IF($Q82=3,1,IF($Q82=4,1,0)),IF($F82&lt;=85,1,0))</formula>
    </cfRule>
  </conditionalFormatting>
  <conditionalFormatting sqref="AV83">
    <cfRule type="expression" dxfId="2477" priority="785">
      <formula>AV83="X"</formula>
    </cfRule>
    <cfRule type="expression" dxfId="2476" priority="786">
      <formula>AV83="후보"</formula>
    </cfRule>
  </conditionalFormatting>
  <conditionalFormatting sqref="Z83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475" priority="782" operator="greaterThan">
      <formula>0.9</formula>
    </cfRule>
    <cfRule type="cellIs" dxfId="2474" priority="783" operator="greaterThan">
      <formula>0.85</formula>
    </cfRule>
  </conditionalFormatting>
  <conditionalFormatting sqref="N83">
    <cfRule type="cellIs" dxfId="2473" priority="780" operator="greaterThan">
      <formula>0.9</formula>
    </cfRule>
    <cfRule type="cellIs" dxfId="2472" priority="781" operator="greaterThan">
      <formula>0.85</formula>
    </cfRule>
  </conditionalFormatting>
  <conditionalFormatting sqref="E83">
    <cfRule type="expression" dxfId="2471" priority="776">
      <formula>AND(IF(OR($Q83=1,$Q83=2),1,0),IF($X83&lt;=20,1,0))</formula>
    </cfRule>
    <cfRule type="expression" dxfId="2470" priority="777">
      <formula>AND(IF($Q83=2,1,0),IF($X83&lt;30,1,0))</formula>
    </cfRule>
    <cfRule type="expression" dxfId="2469" priority="778">
      <formula>AND(IF($Q83=3,1,0),IF($X83&lt;30,1,0))</formula>
    </cfRule>
    <cfRule type="expression" dxfId="2468" priority="779">
      <formula>AND(IF($Q83=3,1,IF($Q83=4,1,0)),IF($F83&lt;=85,1,0))</formula>
    </cfRule>
  </conditionalFormatting>
  <conditionalFormatting sqref="X83">
    <cfRule type="expression" dxfId="2467" priority="772">
      <formula>AND(IF(OR($Q83=1,$Q83=2),1,0),IF($X83&lt;=20,1,0))</formula>
    </cfRule>
    <cfRule type="expression" dxfId="2466" priority="773">
      <formula>AND(IF($Q83=2,1,0),IF($X83&lt;30,1,0))</formula>
    </cfRule>
    <cfRule type="expression" dxfId="2465" priority="774">
      <formula>AND(IF($Q83=3,1,0),IF($X83&lt;30,1,0))</formula>
    </cfRule>
    <cfRule type="expression" dxfId="2464" priority="775">
      <formula>AND(IF($Q83=3,1,IF($Q83=4,1,0)),IF($F83&lt;=85,1,0))</formula>
    </cfRule>
  </conditionalFormatting>
  <conditionalFormatting sqref="AI83">
    <cfRule type="expression" dxfId="2463" priority="768">
      <formula>AND(IF(OR($Q83=1,$Q83=2),1,0),IF($X83&lt;=20,1,0))</formula>
    </cfRule>
    <cfRule type="expression" dxfId="2462" priority="769">
      <formula>AND(IF($Q83=2,1,0),IF($X83&lt;30,1,0))</formula>
    </cfRule>
    <cfRule type="expression" dxfId="2461" priority="770">
      <formula>AND(IF($Q83=3,1,0),IF($X83&lt;30,1,0))</formula>
    </cfRule>
    <cfRule type="expression" dxfId="2460" priority="771">
      <formula>AND(IF($Q83=3,1,IF($Q83=4,1,0)),IF($F83&lt;=85,1,0))</formula>
    </cfRule>
  </conditionalFormatting>
  <conditionalFormatting sqref="AV84">
    <cfRule type="expression" dxfId="2459" priority="766">
      <formula>AV84="X"</formula>
    </cfRule>
    <cfRule type="expression" dxfId="2458" priority="767">
      <formula>AV84="후보"</formula>
    </cfRule>
  </conditionalFormatting>
  <conditionalFormatting sqref="Z84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2457" priority="763" operator="greaterThan">
      <formula>0.9</formula>
    </cfRule>
    <cfRule type="cellIs" dxfId="2456" priority="764" operator="greaterThan">
      <formula>0.85</formula>
    </cfRule>
  </conditionalFormatting>
  <conditionalFormatting sqref="AV85">
    <cfRule type="expression" dxfId="2455" priority="761">
      <formula>AV85="X"</formula>
    </cfRule>
    <cfRule type="expression" dxfId="2454" priority="762">
      <formula>AV85="후보"</formula>
    </cfRule>
  </conditionalFormatting>
  <conditionalFormatting sqref="Z85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453" priority="758" operator="greaterThan">
      <formula>0.9</formula>
    </cfRule>
    <cfRule type="cellIs" dxfId="2452" priority="759" operator="greaterThan">
      <formula>0.85</formula>
    </cfRule>
  </conditionalFormatting>
  <conditionalFormatting sqref="N85">
    <cfRule type="cellIs" dxfId="2451" priority="756" operator="greaterThan">
      <formula>0.9</formula>
    </cfRule>
    <cfRule type="cellIs" dxfId="2450" priority="757" operator="greaterThan">
      <formula>0.85</formula>
    </cfRule>
  </conditionalFormatting>
  <conditionalFormatting sqref="E85">
    <cfRule type="expression" dxfId="2449" priority="752">
      <formula>AND(IF(OR($Q85=1,$Q85=2),1,0),IF($X85&lt;=20,1,0))</formula>
    </cfRule>
    <cfRule type="expression" dxfId="2448" priority="753">
      <formula>AND(IF($Q85=2,1,0),IF($X85&lt;30,1,0))</formula>
    </cfRule>
    <cfRule type="expression" dxfId="2447" priority="754">
      <formula>AND(IF($Q85=3,1,0),IF($X85&lt;30,1,0))</formula>
    </cfRule>
    <cfRule type="expression" dxfId="2446" priority="755">
      <formula>AND(IF($Q85=3,1,IF($Q85=4,1,0)),IF($F85&lt;=85,1,0))</formula>
    </cfRule>
  </conditionalFormatting>
  <conditionalFormatting sqref="X85">
    <cfRule type="expression" dxfId="2445" priority="748">
      <formula>AND(IF(OR($Q85=1,$Q85=2),1,0),IF($X85&lt;=20,1,0))</formula>
    </cfRule>
    <cfRule type="expression" dxfId="2444" priority="749">
      <formula>AND(IF($Q85=2,1,0),IF($X85&lt;30,1,0))</formula>
    </cfRule>
    <cfRule type="expression" dxfId="2443" priority="750">
      <formula>AND(IF($Q85=3,1,0),IF($X85&lt;30,1,0))</formula>
    </cfRule>
    <cfRule type="expression" dxfId="2442" priority="751">
      <formula>AND(IF($Q85=3,1,IF($Q85=4,1,0)),IF($F85&lt;=85,1,0))</formula>
    </cfRule>
  </conditionalFormatting>
  <conditionalFormatting sqref="AI85">
    <cfRule type="expression" dxfId="2441" priority="744">
      <formula>AND(IF(OR($Q85=1,$Q85=2),1,0),IF($X85&lt;=20,1,0))</formula>
    </cfRule>
    <cfRule type="expression" dxfId="2440" priority="745">
      <formula>AND(IF($Q85=2,1,0),IF($X85&lt;30,1,0))</formula>
    </cfRule>
    <cfRule type="expression" dxfId="2439" priority="746">
      <formula>AND(IF($Q85=3,1,0),IF($X85&lt;30,1,0))</formula>
    </cfRule>
    <cfRule type="expression" dxfId="2438" priority="747">
      <formula>AND(IF($Q85=3,1,IF($Q85=4,1,0)),IF($F85&lt;=85,1,0))</formula>
    </cfRule>
  </conditionalFormatting>
  <conditionalFormatting sqref="AV86">
    <cfRule type="expression" dxfId="2437" priority="742">
      <formula>AV86="X"</formula>
    </cfRule>
    <cfRule type="expression" dxfId="2436" priority="743">
      <formula>AV86="후보"</formula>
    </cfRule>
  </conditionalFormatting>
  <conditionalFormatting sqref="Z86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2435" priority="739" operator="greaterThan">
      <formula>0.9</formula>
    </cfRule>
    <cfRule type="cellIs" dxfId="2434" priority="740" operator="greaterThan">
      <formula>0.85</formula>
    </cfRule>
  </conditionalFormatting>
  <conditionalFormatting sqref="N86">
    <cfRule type="cellIs" dxfId="2433" priority="737" operator="greaterThan">
      <formula>0.9</formula>
    </cfRule>
    <cfRule type="cellIs" dxfId="2432" priority="738" operator="greaterThan">
      <formula>0.85</formula>
    </cfRule>
  </conditionalFormatting>
  <conditionalFormatting sqref="E86">
    <cfRule type="expression" dxfId="2431" priority="733">
      <formula>AND(IF(OR($Q86=1,$Q86=2),1,0),IF($X86&lt;=20,1,0))</formula>
    </cfRule>
    <cfRule type="expression" dxfId="2430" priority="734">
      <formula>AND(IF($Q86=2,1,0),IF($X86&lt;30,1,0))</formula>
    </cfRule>
    <cfRule type="expression" dxfId="2429" priority="735">
      <formula>AND(IF($Q86=3,1,0),IF($X86&lt;30,1,0))</formula>
    </cfRule>
    <cfRule type="expression" dxfId="2428" priority="736">
      <formula>AND(IF($Q86=3,1,IF($Q86=4,1,0)),IF($F86&lt;=85,1,0))</formula>
    </cfRule>
  </conditionalFormatting>
  <conditionalFormatting sqref="X86">
    <cfRule type="expression" dxfId="2427" priority="729">
      <formula>AND(IF(OR($Q86=1,$Q86=2),1,0),IF($X86&lt;=20,1,0))</formula>
    </cfRule>
    <cfRule type="expression" dxfId="2426" priority="730">
      <formula>AND(IF($Q86=2,1,0),IF($X86&lt;30,1,0))</formula>
    </cfRule>
    <cfRule type="expression" dxfId="2425" priority="731">
      <formula>AND(IF($Q86=3,1,0),IF($X86&lt;30,1,0))</formula>
    </cfRule>
    <cfRule type="expression" dxfId="2424" priority="732">
      <formula>AND(IF($Q86=3,1,IF($Q86=4,1,0)),IF($F86&lt;=85,1,0))</formula>
    </cfRule>
  </conditionalFormatting>
  <conditionalFormatting sqref="AI86">
    <cfRule type="expression" dxfId="2423" priority="725">
      <formula>AND(IF(OR($Q86=1,$Q86=2),1,0),IF($X86&lt;=20,1,0))</formula>
    </cfRule>
    <cfRule type="expression" dxfId="2422" priority="726">
      <formula>AND(IF($Q86=2,1,0),IF($X86&lt;30,1,0))</formula>
    </cfRule>
    <cfRule type="expression" dxfId="2421" priority="727">
      <formula>AND(IF($Q86=3,1,0),IF($X86&lt;30,1,0))</formula>
    </cfRule>
    <cfRule type="expression" dxfId="2420" priority="728">
      <formula>AND(IF($Q86=3,1,IF($Q86=4,1,0)),IF($F86&lt;=85,1,0))</formula>
    </cfRule>
  </conditionalFormatting>
  <conditionalFormatting sqref="AV87">
    <cfRule type="expression" dxfId="2419" priority="723">
      <formula>AV87="X"</formula>
    </cfRule>
    <cfRule type="expression" dxfId="2418" priority="724">
      <formula>AV87="후보"</formula>
    </cfRule>
  </conditionalFormatting>
  <conditionalFormatting sqref="Z87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417" priority="720" operator="greaterThan">
      <formula>0.9</formula>
    </cfRule>
    <cfRule type="cellIs" dxfId="2416" priority="721" operator="greaterThan">
      <formula>0.85</formula>
    </cfRule>
  </conditionalFormatting>
  <conditionalFormatting sqref="N87">
    <cfRule type="cellIs" dxfId="2415" priority="718" operator="greaterThan">
      <formula>0.9</formula>
    </cfRule>
    <cfRule type="cellIs" dxfId="2414" priority="719" operator="greaterThan">
      <formula>0.85</formula>
    </cfRule>
  </conditionalFormatting>
  <conditionalFormatting sqref="E87">
    <cfRule type="expression" dxfId="2413" priority="714">
      <formula>AND(IF(OR($Q87=1,$Q87=2),1,0),IF($X87&lt;=20,1,0))</formula>
    </cfRule>
    <cfRule type="expression" dxfId="2412" priority="715">
      <formula>AND(IF($Q87=2,1,0),IF($X87&lt;30,1,0))</formula>
    </cfRule>
    <cfRule type="expression" dxfId="2411" priority="716">
      <formula>AND(IF($Q87=3,1,0),IF($X87&lt;30,1,0))</formula>
    </cfRule>
    <cfRule type="expression" dxfId="2410" priority="717">
      <formula>AND(IF($Q87=3,1,IF($Q87=4,1,0)),IF($F87&lt;=85,1,0))</formula>
    </cfRule>
  </conditionalFormatting>
  <conditionalFormatting sqref="X87">
    <cfRule type="expression" dxfId="2409" priority="710">
      <formula>AND(IF(OR($Q87=1,$Q87=2),1,0),IF($X87&lt;=20,1,0))</formula>
    </cfRule>
    <cfRule type="expression" dxfId="2408" priority="711">
      <formula>AND(IF($Q87=2,1,0),IF($X87&lt;30,1,0))</formula>
    </cfRule>
    <cfRule type="expression" dxfId="2407" priority="712">
      <formula>AND(IF($Q87=3,1,0),IF($X87&lt;30,1,0))</formula>
    </cfRule>
    <cfRule type="expression" dxfId="2406" priority="713">
      <formula>AND(IF($Q87=3,1,IF($Q87=4,1,0)),IF($F87&lt;=85,1,0))</formula>
    </cfRule>
  </conditionalFormatting>
  <conditionalFormatting sqref="AI87">
    <cfRule type="expression" dxfId="2405" priority="706">
      <formula>AND(IF(OR($Q87=1,$Q87=2),1,0),IF($X87&lt;=20,1,0))</formula>
    </cfRule>
    <cfRule type="expression" dxfId="2404" priority="707">
      <formula>AND(IF($Q87=2,1,0),IF($X87&lt;30,1,0))</formula>
    </cfRule>
    <cfRule type="expression" dxfId="2403" priority="708">
      <formula>AND(IF($Q87=3,1,0),IF($X87&lt;30,1,0))</formula>
    </cfRule>
    <cfRule type="expression" dxfId="2402" priority="709">
      <formula>AND(IF($Q87=3,1,IF($Q87=4,1,0)),IF($F87&lt;=85,1,0))</formula>
    </cfRule>
  </conditionalFormatting>
  <conditionalFormatting sqref="AV88">
    <cfRule type="expression" dxfId="2401" priority="704">
      <formula>AV88="X"</formula>
    </cfRule>
    <cfRule type="expression" dxfId="2400" priority="705">
      <formula>AV88="후보"</formula>
    </cfRule>
  </conditionalFormatting>
  <conditionalFormatting sqref="Z88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 N88">
    <cfRule type="cellIs" dxfId="2399" priority="701" operator="greaterThan">
      <formula>0.9</formula>
    </cfRule>
    <cfRule type="cellIs" dxfId="2398" priority="702" operator="greaterThan">
      <formula>0.85</formula>
    </cfRule>
  </conditionalFormatting>
  <conditionalFormatting sqref="AV89">
    <cfRule type="expression" dxfId="2397" priority="699">
      <formula>AV89="X"</formula>
    </cfRule>
    <cfRule type="expression" dxfId="2396" priority="700">
      <formula>AV89="후보"</formula>
    </cfRule>
  </conditionalFormatting>
  <conditionalFormatting sqref="Z89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395" priority="696" operator="greaterThan">
      <formula>0.9</formula>
    </cfRule>
    <cfRule type="cellIs" dxfId="2394" priority="697" operator="greaterThan">
      <formula>0.85</formula>
    </cfRule>
  </conditionalFormatting>
  <conditionalFormatting sqref="N89">
    <cfRule type="cellIs" dxfId="2393" priority="694" operator="greaterThan">
      <formula>0.9</formula>
    </cfRule>
    <cfRule type="cellIs" dxfId="2392" priority="695" operator="greaterThan">
      <formula>0.85</formula>
    </cfRule>
  </conditionalFormatting>
  <conditionalFormatting sqref="E89">
    <cfRule type="expression" dxfId="2391" priority="690">
      <formula>AND(IF(OR($Q89=1,$Q89=2),1,0),IF($X89&lt;=20,1,0))</formula>
    </cfRule>
    <cfRule type="expression" dxfId="2390" priority="691">
      <formula>AND(IF($Q89=2,1,0),IF($X89&lt;30,1,0))</formula>
    </cfRule>
    <cfRule type="expression" dxfId="2389" priority="692">
      <formula>AND(IF($Q89=3,1,0),IF($X89&lt;30,1,0))</formula>
    </cfRule>
    <cfRule type="expression" dxfId="2388" priority="693">
      <formula>AND(IF($Q89=3,1,IF($Q89=4,1,0)),IF($F89&lt;=85,1,0))</formula>
    </cfRule>
  </conditionalFormatting>
  <conditionalFormatting sqref="X89">
    <cfRule type="expression" dxfId="2387" priority="686">
      <formula>AND(IF(OR($Q89=1,$Q89=2),1,0),IF($X89&lt;=20,1,0))</formula>
    </cfRule>
    <cfRule type="expression" dxfId="2386" priority="687">
      <formula>AND(IF($Q89=2,1,0),IF($X89&lt;30,1,0))</formula>
    </cfRule>
    <cfRule type="expression" dxfId="2385" priority="688">
      <formula>AND(IF($Q89=3,1,0),IF($X89&lt;30,1,0))</formula>
    </cfRule>
    <cfRule type="expression" dxfId="2384" priority="689">
      <formula>AND(IF($Q89=3,1,IF($Q89=4,1,0)),IF($F89&lt;=85,1,0))</formula>
    </cfRule>
  </conditionalFormatting>
  <conditionalFormatting sqref="AI89">
    <cfRule type="expression" dxfId="2383" priority="682">
      <formula>AND(IF(OR($Q89=1,$Q89=2),1,0),IF($X89&lt;=20,1,0))</formula>
    </cfRule>
    <cfRule type="expression" dxfId="2382" priority="683">
      <formula>AND(IF($Q89=2,1,0),IF($X89&lt;30,1,0))</formula>
    </cfRule>
    <cfRule type="expression" dxfId="2381" priority="684">
      <formula>AND(IF($Q89=3,1,0),IF($X89&lt;30,1,0))</formula>
    </cfRule>
    <cfRule type="expression" dxfId="2380" priority="685">
      <formula>AND(IF($Q89=3,1,IF($Q89=4,1,0)),IF($F89&lt;=85,1,0))</formula>
    </cfRule>
  </conditionalFormatting>
  <conditionalFormatting sqref="AV90">
    <cfRule type="expression" dxfId="2379" priority="680">
      <formula>AV90="X"</formula>
    </cfRule>
    <cfRule type="expression" dxfId="2378" priority="681">
      <formula>AV90="후보"</formula>
    </cfRule>
  </conditionalFormatting>
  <conditionalFormatting sqref="Z90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377" priority="677" operator="greaterThan">
      <formula>0.9</formula>
    </cfRule>
    <cfRule type="cellIs" dxfId="2376" priority="678" operator="greaterThan">
      <formula>0.85</formula>
    </cfRule>
  </conditionalFormatting>
  <conditionalFormatting sqref="N90">
    <cfRule type="cellIs" dxfId="2375" priority="675" operator="greaterThan">
      <formula>0.9</formula>
    </cfRule>
    <cfRule type="cellIs" dxfId="2374" priority="676" operator="greaterThan">
      <formula>0.85</formula>
    </cfRule>
  </conditionalFormatting>
  <conditionalFormatting sqref="E90">
    <cfRule type="expression" dxfId="2373" priority="671">
      <formula>AND(IF(OR($Q90=1,$Q90=2),1,0),IF($X90&lt;=20,1,0))</formula>
    </cfRule>
    <cfRule type="expression" dxfId="2372" priority="672">
      <formula>AND(IF($Q90=2,1,0),IF($X90&lt;30,1,0))</formula>
    </cfRule>
    <cfRule type="expression" dxfId="2371" priority="673">
      <formula>AND(IF($Q90=3,1,0),IF($X90&lt;30,1,0))</formula>
    </cfRule>
    <cfRule type="expression" dxfId="2370" priority="674">
      <formula>AND(IF($Q90=3,1,IF($Q90=4,1,0)),IF($F90&lt;=85,1,0))</formula>
    </cfRule>
  </conditionalFormatting>
  <conditionalFormatting sqref="X90">
    <cfRule type="expression" dxfId="2369" priority="667">
      <formula>AND(IF(OR($Q90=1,$Q90=2),1,0),IF($X90&lt;=20,1,0))</formula>
    </cfRule>
    <cfRule type="expression" dxfId="2368" priority="668">
      <formula>AND(IF($Q90=2,1,0),IF($X90&lt;30,1,0))</formula>
    </cfRule>
    <cfRule type="expression" dxfId="2367" priority="669">
      <formula>AND(IF($Q90=3,1,0),IF($X90&lt;30,1,0))</formula>
    </cfRule>
    <cfRule type="expression" dxfId="2366" priority="670">
      <formula>AND(IF($Q90=3,1,IF($Q90=4,1,0)),IF($F90&lt;=85,1,0))</formula>
    </cfRule>
  </conditionalFormatting>
  <conditionalFormatting sqref="AI90">
    <cfRule type="expression" dxfId="2365" priority="663">
      <formula>AND(IF(OR($Q90=1,$Q90=2),1,0),IF($X90&lt;=20,1,0))</formula>
    </cfRule>
    <cfRule type="expression" dxfId="2364" priority="664">
      <formula>AND(IF($Q90=2,1,0),IF($X90&lt;30,1,0))</formula>
    </cfRule>
    <cfRule type="expression" dxfId="2363" priority="665">
      <formula>AND(IF($Q90=3,1,0),IF($X90&lt;30,1,0))</formula>
    </cfRule>
    <cfRule type="expression" dxfId="2362" priority="666">
      <formula>AND(IF($Q90=3,1,IF($Q90=4,1,0)),IF($F90&lt;=85,1,0))</formula>
    </cfRule>
  </conditionalFormatting>
  <conditionalFormatting sqref="AV91">
    <cfRule type="expression" dxfId="2361" priority="661">
      <formula>AV91="X"</formula>
    </cfRule>
    <cfRule type="expression" dxfId="2360" priority="662">
      <formula>AV91="후보"</formula>
    </cfRule>
  </conditionalFormatting>
  <conditionalFormatting sqref="Z91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359" priority="658" operator="greaterThan">
      <formula>0.9</formula>
    </cfRule>
    <cfRule type="cellIs" dxfId="2358" priority="659" operator="greaterThan">
      <formula>0.85</formula>
    </cfRule>
  </conditionalFormatting>
  <conditionalFormatting sqref="N91">
    <cfRule type="cellIs" dxfId="2357" priority="656" operator="greaterThan">
      <formula>0.9</formula>
    </cfRule>
    <cfRule type="cellIs" dxfId="2356" priority="657" operator="greaterThan">
      <formula>0.85</formula>
    </cfRule>
  </conditionalFormatting>
  <conditionalFormatting sqref="E91">
    <cfRule type="expression" dxfId="2355" priority="652">
      <formula>AND(IF(OR($Q91=1,$Q91=2),1,0),IF($X91&lt;=20,1,0))</formula>
    </cfRule>
    <cfRule type="expression" dxfId="2354" priority="653">
      <formula>AND(IF($Q91=2,1,0),IF($X91&lt;30,1,0))</formula>
    </cfRule>
    <cfRule type="expression" dxfId="2353" priority="654">
      <formula>AND(IF($Q91=3,1,0),IF($X91&lt;30,1,0))</formula>
    </cfRule>
    <cfRule type="expression" dxfId="2352" priority="655">
      <formula>AND(IF($Q91=3,1,IF($Q91=4,1,0)),IF($F91&lt;=85,1,0))</formula>
    </cfRule>
  </conditionalFormatting>
  <conditionalFormatting sqref="X91">
    <cfRule type="expression" dxfId="2351" priority="648">
      <formula>AND(IF(OR($Q91=1,$Q91=2),1,0),IF($X91&lt;=20,1,0))</formula>
    </cfRule>
    <cfRule type="expression" dxfId="2350" priority="649">
      <formula>AND(IF($Q91=2,1,0),IF($X91&lt;30,1,0))</formula>
    </cfRule>
    <cfRule type="expression" dxfId="2349" priority="650">
      <formula>AND(IF($Q91=3,1,0),IF($X91&lt;30,1,0))</formula>
    </cfRule>
    <cfRule type="expression" dxfId="2348" priority="651">
      <formula>AND(IF($Q91=3,1,IF($Q91=4,1,0)),IF($F91&lt;=85,1,0))</formula>
    </cfRule>
  </conditionalFormatting>
  <conditionalFormatting sqref="AI91">
    <cfRule type="expression" dxfId="2347" priority="644">
      <formula>AND(IF(OR($Q91=1,$Q91=2),1,0),IF($X91&lt;=20,1,0))</formula>
    </cfRule>
    <cfRule type="expression" dxfId="2346" priority="645">
      <formula>AND(IF($Q91=2,1,0),IF($X91&lt;30,1,0))</formula>
    </cfRule>
    <cfRule type="expression" dxfId="2345" priority="646">
      <formula>AND(IF($Q91=3,1,0),IF($X91&lt;30,1,0))</formula>
    </cfRule>
    <cfRule type="expression" dxfId="2344" priority="647">
      <formula>AND(IF($Q91=3,1,IF($Q91=4,1,0)),IF($F91&lt;=85,1,0))</formula>
    </cfRule>
  </conditionalFormatting>
  <conditionalFormatting sqref="AV92">
    <cfRule type="expression" dxfId="2343" priority="642">
      <formula>AV92="X"</formula>
    </cfRule>
    <cfRule type="expression" dxfId="2342" priority="643">
      <formula>AV92="후보"</formula>
    </cfRule>
  </conditionalFormatting>
  <conditionalFormatting sqref="Z92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341" priority="639" operator="greaterThan">
      <formula>0.9</formula>
    </cfRule>
    <cfRule type="cellIs" dxfId="2340" priority="640" operator="greaterThan">
      <formula>0.85</formula>
    </cfRule>
  </conditionalFormatting>
  <conditionalFormatting sqref="N92">
    <cfRule type="cellIs" dxfId="2339" priority="637" operator="greaterThan">
      <formula>0.9</formula>
    </cfRule>
    <cfRule type="cellIs" dxfId="2338" priority="638" operator="greaterThan">
      <formula>0.85</formula>
    </cfRule>
  </conditionalFormatting>
  <conditionalFormatting sqref="E92">
    <cfRule type="expression" dxfId="2337" priority="633">
      <formula>AND(IF(OR($Q92=1,$Q92=2),1,0),IF($X92&lt;=20,1,0))</formula>
    </cfRule>
    <cfRule type="expression" dxfId="2336" priority="634">
      <formula>AND(IF($Q92=2,1,0),IF($X92&lt;30,1,0))</formula>
    </cfRule>
    <cfRule type="expression" dxfId="2335" priority="635">
      <formula>AND(IF($Q92=3,1,0),IF($X92&lt;30,1,0))</formula>
    </cfRule>
    <cfRule type="expression" dxfId="2334" priority="636">
      <formula>AND(IF($Q92=3,1,IF($Q92=4,1,0)),IF($F92&lt;=85,1,0))</formula>
    </cfRule>
  </conditionalFormatting>
  <conditionalFormatting sqref="X92">
    <cfRule type="expression" dxfId="2333" priority="629">
      <formula>AND(IF(OR($Q92=1,$Q92=2),1,0),IF($X92&lt;=20,1,0))</formula>
    </cfRule>
    <cfRule type="expression" dxfId="2332" priority="630">
      <formula>AND(IF($Q92=2,1,0),IF($X92&lt;30,1,0))</formula>
    </cfRule>
    <cfRule type="expression" dxfId="2331" priority="631">
      <formula>AND(IF($Q92=3,1,0),IF($X92&lt;30,1,0))</formula>
    </cfRule>
    <cfRule type="expression" dxfId="2330" priority="632">
      <formula>AND(IF($Q92=3,1,IF($Q92=4,1,0)),IF($F92&lt;=85,1,0))</formula>
    </cfRule>
  </conditionalFormatting>
  <conditionalFormatting sqref="AI92">
    <cfRule type="expression" dxfId="2329" priority="625">
      <formula>AND(IF(OR($Q92=1,$Q92=2),1,0),IF($X92&lt;=20,1,0))</formula>
    </cfRule>
    <cfRule type="expression" dxfId="2328" priority="626">
      <formula>AND(IF($Q92=2,1,0),IF($X92&lt;30,1,0))</formula>
    </cfRule>
    <cfRule type="expression" dxfId="2327" priority="627">
      <formula>AND(IF($Q92=3,1,0),IF($X92&lt;30,1,0))</formula>
    </cfRule>
    <cfRule type="expression" dxfId="2326" priority="628">
      <formula>AND(IF($Q92=3,1,IF($Q92=4,1,0)),IF($F92&lt;=85,1,0))</formula>
    </cfRule>
  </conditionalFormatting>
  <conditionalFormatting sqref="AV93">
    <cfRule type="expression" dxfId="2325" priority="623">
      <formula>AV93="X"</formula>
    </cfRule>
    <cfRule type="expression" dxfId="2324" priority="624">
      <formula>AV93="후보"</formula>
    </cfRule>
  </conditionalFormatting>
  <conditionalFormatting sqref="Z93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323" priority="620" operator="greaterThan">
      <formula>0.9</formula>
    </cfRule>
    <cfRule type="cellIs" dxfId="2322" priority="621" operator="greaterThan">
      <formula>0.85</formula>
    </cfRule>
  </conditionalFormatting>
  <conditionalFormatting sqref="N93">
    <cfRule type="cellIs" dxfId="2321" priority="618" operator="greaterThan">
      <formula>0.9</formula>
    </cfRule>
    <cfRule type="cellIs" dxfId="2320" priority="619" operator="greaterThan">
      <formula>0.85</formula>
    </cfRule>
  </conditionalFormatting>
  <conditionalFormatting sqref="E93">
    <cfRule type="expression" dxfId="2319" priority="614">
      <formula>AND(IF(OR($Q93=1,$Q93=2),1,0),IF($X93&lt;=20,1,0))</formula>
    </cfRule>
    <cfRule type="expression" dxfId="2318" priority="615">
      <formula>AND(IF($Q93=2,1,0),IF($X93&lt;30,1,0))</formula>
    </cfRule>
    <cfRule type="expression" dxfId="2317" priority="616">
      <formula>AND(IF($Q93=3,1,0),IF($X93&lt;30,1,0))</formula>
    </cfRule>
    <cfRule type="expression" dxfId="2316" priority="617">
      <formula>AND(IF($Q93=3,1,IF($Q93=4,1,0)),IF($F93&lt;=85,1,0))</formula>
    </cfRule>
  </conditionalFormatting>
  <conditionalFormatting sqref="X93">
    <cfRule type="expression" dxfId="2315" priority="610">
      <formula>AND(IF(OR($Q93=1,$Q93=2),1,0),IF($X93&lt;=20,1,0))</formula>
    </cfRule>
    <cfRule type="expression" dxfId="2314" priority="611">
      <formula>AND(IF($Q93=2,1,0),IF($X93&lt;30,1,0))</formula>
    </cfRule>
    <cfRule type="expression" dxfId="2313" priority="612">
      <formula>AND(IF($Q93=3,1,0),IF($X93&lt;30,1,0))</formula>
    </cfRule>
    <cfRule type="expression" dxfId="2312" priority="613">
      <formula>AND(IF($Q93=3,1,IF($Q93=4,1,0)),IF($F93&lt;=85,1,0))</formula>
    </cfRule>
  </conditionalFormatting>
  <conditionalFormatting sqref="AI93">
    <cfRule type="expression" dxfId="2311" priority="606">
      <formula>AND(IF(OR($Q93=1,$Q93=2),1,0),IF($X93&lt;=20,1,0))</formula>
    </cfRule>
    <cfRule type="expression" dxfId="2310" priority="607">
      <formula>AND(IF($Q93=2,1,0),IF($X93&lt;30,1,0))</formula>
    </cfRule>
    <cfRule type="expression" dxfId="2309" priority="608">
      <formula>AND(IF($Q93=3,1,0),IF($X93&lt;30,1,0))</formula>
    </cfRule>
    <cfRule type="expression" dxfId="2308" priority="609">
      <formula>AND(IF($Q93=3,1,IF($Q93=4,1,0)),IF($F93&lt;=85,1,0))</formula>
    </cfRule>
  </conditionalFormatting>
  <conditionalFormatting sqref="AV94">
    <cfRule type="expression" dxfId="2307" priority="604">
      <formula>AV94="X"</formula>
    </cfRule>
    <cfRule type="expression" dxfId="2306" priority="605">
      <formula>AV94="후보"</formula>
    </cfRule>
  </conditionalFormatting>
  <conditionalFormatting sqref="Z94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305" priority="601" operator="greaterThan">
      <formula>0.9</formula>
    </cfRule>
    <cfRule type="cellIs" dxfId="2304" priority="602" operator="greaterThan">
      <formula>0.85</formula>
    </cfRule>
  </conditionalFormatting>
  <conditionalFormatting sqref="N94">
    <cfRule type="cellIs" dxfId="2303" priority="599" operator="greaterThan">
      <formula>0.9</formula>
    </cfRule>
    <cfRule type="cellIs" dxfId="2302" priority="600" operator="greaterThan">
      <formula>0.85</formula>
    </cfRule>
  </conditionalFormatting>
  <conditionalFormatting sqref="E94">
    <cfRule type="expression" dxfId="2301" priority="595">
      <formula>AND(IF(OR($Q94=1,$Q94=2),1,0),IF($X94&lt;=20,1,0))</formula>
    </cfRule>
    <cfRule type="expression" dxfId="2300" priority="596">
      <formula>AND(IF($Q94=2,1,0),IF($X94&lt;30,1,0))</formula>
    </cfRule>
    <cfRule type="expression" dxfId="2299" priority="597">
      <formula>AND(IF($Q94=3,1,0),IF($X94&lt;30,1,0))</formula>
    </cfRule>
    <cfRule type="expression" dxfId="2298" priority="598">
      <formula>AND(IF($Q94=3,1,IF($Q94=4,1,0)),IF($F94&lt;=85,1,0))</formula>
    </cfRule>
  </conditionalFormatting>
  <conditionalFormatting sqref="X94">
    <cfRule type="expression" dxfId="2297" priority="591">
      <formula>AND(IF(OR($Q94=1,$Q94=2),1,0),IF($X94&lt;=20,1,0))</formula>
    </cfRule>
    <cfRule type="expression" dxfId="2296" priority="592">
      <formula>AND(IF($Q94=2,1,0),IF($X94&lt;30,1,0))</formula>
    </cfRule>
    <cfRule type="expression" dxfId="2295" priority="593">
      <formula>AND(IF($Q94=3,1,0),IF($X94&lt;30,1,0))</formula>
    </cfRule>
    <cfRule type="expression" dxfId="2294" priority="594">
      <formula>AND(IF($Q94=3,1,IF($Q94=4,1,0)),IF($F94&lt;=85,1,0))</formula>
    </cfRule>
  </conditionalFormatting>
  <conditionalFormatting sqref="AI94">
    <cfRule type="expression" dxfId="2293" priority="587">
      <formula>AND(IF(OR($Q94=1,$Q94=2),1,0),IF($X94&lt;=20,1,0))</formula>
    </cfRule>
    <cfRule type="expression" dxfId="2292" priority="588">
      <formula>AND(IF($Q94=2,1,0),IF($X94&lt;30,1,0))</formula>
    </cfRule>
    <cfRule type="expression" dxfId="2291" priority="589">
      <formula>AND(IF($Q94=3,1,0),IF($X94&lt;30,1,0))</formula>
    </cfRule>
    <cfRule type="expression" dxfId="2290" priority="590">
      <formula>AND(IF($Q94=3,1,IF($Q94=4,1,0)),IF($F94&lt;=85,1,0))</formula>
    </cfRule>
  </conditionalFormatting>
  <conditionalFormatting sqref="AV95">
    <cfRule type="expression" dxfId="2289" priority="585">
      <formula>AV95="X"</formula>
    </cfRule>
    <cfRule type="expression" dxfId="2288" priority="586">
      <formula>AV95="후보"</formula>
    </cfRule>
  </conditionalFormatting>
  <conditionalFormatting sqref="Z95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 N95">
    <cfRule type="cellIs" dxfId="2287" priority="582" operator="greaterThan">
      <formula>0.9</formula>
    </cfRule>
    <cfRule type="cellIs" dxfId="2286" priority="583" operator="greaterThan">
      <formula>0.85</formula>
    </cfRule>
  </conditionalFormatting>
  <conditionalFormatting sqref="AV96">
    <cfRule type="expression" dxfId="2285" priority="580">
      <formula>AV96="X"</formula>
    </cfRule>
    <cfRule type="expression" dxfId="2284" priority="581">
      <formula>AV96="후보"</formula>
    </cfRule>
  </conditionalFormatting>
  <conditionalFormatting sqref="Z96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283" priority="577" operator="greaterThan">
      <formula>0.9</formula>
    </cfRule>
    <cfRule type="cellIs" dxfId="2282" priority="578" operator="greaterThan">
      <formula>0.85</formula>
    </cfRule>
  </conditionalFormatting>
  <conditionalFormatting sqref="N96">
    <cfRule type="cellIs" dxfId="2281" priority="575" operator="greaterThan">
      <formula>0.9</formula>
    </cfRule>
    <cfRule type="cellIs" dxfId="2280" priority="576" operator="greaterThan">
      <formula>0.85</formula>
    </cfRule>
  </conditionalFormatting>
  <conditionalFormatting sqref="E96">
    <cfRule type="expression" dxfId="2279" priority="571">
      <formula>AND(IF(OR($Q96=1,$Q96=2),1,0),IF($X96&lt;=20,1,0))</formula>
    </cfRule>
    <cfRule type="expression" dxfId="2278" priority="572">
      <formula>AND(IF($Q96=2,1,0),IF($X96&lt;30,1,0))</formula>
    </cfRule>
    <cfRule type="expression" dxfId="2277" priority="573">
      <formula>AND(IF($Q96=3,1,0),IF($X96&lt;30,1,0))</formula>
    </cfRule>
    <cfRule type="expression" dxfId="2276" priority="574">
      <formula>AND(IF($Q96=3,1,IF($Q96=4,1,0)),IF($F96&lt;=85,1,0))</formula>
    </cfRule>
  </conditionalFormatting>
  <conditionalFormatting sqref="X96">
    <cfRule type="expression" dxfId="2275" priority="567">
      <formula>AND(IF(OR($Q96=1,$Q96=2),1,0),IF($X96&lt;=20,1,0))</formula>
    </cfRule>
    <cfRule type="expression" dxfId="2274" priority="568">
      <formula>AND(IF($Q96=2,1,0),IF($X96&lt;30,1,0))</formula>
    </cfRule>
    <cfRule type="expression" dxfId="2273" priority="569">
      <formula>AND(IF($Q96=3,1,0),IF($X96&lt;30,1,0))</formula>
    </cfRule>
    <cfRule type="expression" dxfId="2272" priority="570">
      <formula>AND(IF($Q96=3,1,IF($Q96=4,1,0)),IF($F96&lt;=85,1,0))</formula>
    </cfRule>
  </conditionalFormatting>
  <conditionalFormatting sqref="AI96">
    <cfRule type="expression" dxfId="2271" priority="563">
      <formula>AND(IF(OR($Q96=1,$Q96=2),1,0),IF($X96&lt;=20,1,0))</formula>
    </cfRule>
    <cfRule type="expression" dxfId="2270" priority="564">
      <formula>AND(IF($Q96=2,1,0),IF($X96&lt;30,1,0))</formula>
    </cfRule>
    <cfRule type="expression" dxfId="2269" priority="565">
      <formula>AND(IF($Q96=3,1,0),IF($X96&lt;30,1,0))</formula>
    </cfRule>
    <cfRule type="expression" dxfId="2268" priority="566">
      <formula>AND(IF($Q96=3,1,IF($Q96=4,1,0)),IF($F96&lt;=85,1,0))</formula>
    </cfRule>
  </conditionalFormatting>
  <conditionalFormatting sqref="AV97">
    <cfRule type="expression" dxfId="2267" priority="561">
      <formula>AV97="X"</formula>
    </cfRule>
    <cfRule type="expression" dxfId="2266" priority="562">
      <formula>AV97="후보"</formula>
    </cfRule>
  </conditionalFormatting>
  <conditionalFormatting sqref="Z97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265" priority="558" operator="greaterThan">
      <formula>0.9</formula>
    </cfRule>
    <cfRule type="cellIs" dxfId="2264" priority="559" operator="greaterThan">
      <formula>0.85</formula>
    </cfRule>
  </conditionalFormatting>
  <conditionalFormatting sqref="N97">
    <cfRule type="cellIs" dxfId="2263" priority="556" operator="greaterThan">
      <formula>0.9</formula>
    </cfRule>
    <cfRule type="cellIs" dxfId="2262" priority="557" operator="greaterThan">
      <formula>0.85</formula>
    </cfRule>
  </conditionalFormatting>
  <conditionalFormatting sqref="E97">
    <cfRule type="expression" dxfId="2261" priority="552">
      <formula>AND(IF(OR($Q97=1,$Q97=2),1,0),IF($X97&lt;=20,1,0))</formula>
    </cfRule>
    <cfRule type="expression" dxfId="2260" priority="553">
      <formula>AND(IF($Q97=2,1,0),IF($X97&lt;30,1,0))</formula>
    </cfRule>
    <cfRule type="expression" dxfId="2259" priority="554">
      <formula>AND(IF($Q97=3,1,0),IF($X97&lt;30,1,0))</formula>
    </cfRule>
    <cfRule type="expression" dxfId="2258" priority="555">
      <formula>AND(IF($Q97=3,1,IF($Q97=4,1,0)),IF($F97&lt;=85,1,0))</formula>
    </cfRule>
  </conditionalFormatting>
  <conditionalFormatting sqref="X97">
    <cfRule type="expression" dxfId="2257" priority="548">
      <formula>AND(IF(OR($Q97=1,$Q97=2),1,0),IF($X97&lt;=20,1,0))</formula>
    </cfRule>
    <cfRule type="expression" dxfId="2256" priority="549">
      <formula>AND(IF($Q97=2,1,0),IF($X97&lt;30,1,0))</formula>
    </cfRule>
    <cfRule type="expression" dxfId="2255" priority="550">
      <formula>AND(IF($Q97=3,1,0),IF($X97&lt;30,1,0))</formula>
    </cfRule>
    <cfRule type="expression" dxfId="2254" priority="551">
      <formula>AND(IF($Q97=3,1,IF($Q97=4,1,0)),IF($F97&lt;=85,1,0))</formula>
    </cfRule>
  </conditionalFormatting>
  <conditionalFormatting sqref="AI97">
    <cfRule type="expression" dxfId="2253" priority="544">
      <formula>AND(IF(OR($Q97=1,$Q97=2),1,0),IF($X97&lt;=20,1,0))</formula>
    </cfRule>
    <cfRule type="expression" dxfId="2252" priority="545">
      <formula>AND(IF($Q97=2,1,0),IF($X97&lt;30,1,0))</formula>
    </cfRule>
    <cfRule type="expression" dxfId="2251" priority="546">
      <formula>AND(IF($Q97=3,1,0),IF($X97&lt;30,1,0))</formula>
    </cfRule>
    <cfRule type="expression" dxfId="2250" priority="547">
      <formula>AND(IF($Q97=3,1,IF($Q97=4,1,0)),IF($F97&lt;=85,1,0))</formula>
    </cfRule>
  </conditionalFormatting>
  <conditionalFormatting sqref="AV98">
    <cfRule type="expression" dxfId="2249" priority="542">
      <formula>AV98="X"</formula>
    </cfRule>
    <cfRule type="expression" dxfId="2248" priority="543">
      <formula>AV98="후보"</formula>
    </cfRule>
  </conditionalFormatting>
  <conditionalFormatting sqref="Z98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247" priority="539" operator="greaterThan">
      <formula>0.9</formula>
    </cfRule>
    <cfRule type="cellIs" dxfId="2246" priority="540" operator="greaterThan">
      <formula>0.85</formula>
    </cfRule>
  </conditionalFormatting>
  <conditionalFormatting sqref="N98">
    <cfRule type="cellIs" dxfId="2245" priority="537" operator="greaterThan">
      <formula>0.9</formula>
    </cfRule>
    <cfRule type="cellIs" dxfId="2244" priority="538" operator="greaterThan">
      <formula>0.85</formula>
    </cfRule>
  </conditionalFormatting>
  <conditionalFormatting sqref="E98">
    <cfRule type="expression" dxfId="2243" priority="533">
      <formula>AND(IF(OR($Q98=1,$Q98=2),1,0),IF($X98&lt;=20,1,0))</formula>
    </cfRule>
    <cfRule type="expression" dxfId="2242" priority="534">
      <formula>AND(IF($Q98=2,1,0),IF($X98&lt;30,1,0))</formula>
    </cfRule>
    <cfRule type="expression" dxfId="2241" priority="535">
      <formula>AND(IF($Q98=3,1,0),IF($X98&lt;30,1,0))</formula>
    </cfRule>
    <cfRule type="expression" dxfId="2240" priority="536">
      <formula>AND(IF($Q98=3,1,IF($Q98=4,1,0)),IF($F98&lt;=85,1,0))</formula>
    </cfRule>
  </conditionalFormatting>
  <conditionalFormatting sqref="X98">
    <cfRule type="expression" dxfId="2239" priority="529">
      <formula>AND(IF(OR($Q98=1,$Q98=2),1,0),IF($X98&lt;=20,1,0))</formula>
    </cfRule>
    <cfRule type="expression" dxfId="2238" priority="530">
      <formula>AND(IF($Q98=2,1,0),IF($X98&lt;30,1,0))</formula>
    </cfRule>
    <cfRule type="expression" dxfId="2237" priority="531">
      <formula>AND(IF($Q98=3,1,0),IF($X98&lt;30,1,0))</formula>
    </cfRule>
    <cfRule type="expression" dxfId="2236" priority="532">
      <formula>AND(IF($Q98=3,1,IF($Q98=4,1,0)),IF($F98&lt;=85,1,0))</formula>
    </cfRule>
  </conditionalFormatting>
  <conditionalFormatting sqref="AI98">
    <cfRule type="expression" dxfId="2235" priority="525">
      <formula>AND(IF(OR($Q98=1,$Q98=2),1,0),IF($X98&lt;=20,1,0))</formula>
    </cfRule>
    <cfRule type="expression" dxfId="2234" priority="526">
      <formula>AND(IF($Q98=2,1,0),IF($X98&lt;30,1,0))</formula>
    </cfRule>
    <cfRule type="expression" dxfId="2233" priority="527">
      <formula>AND(IF($Q98=3,1,0),IF($X98&lt;30,1,0))</formula>
    </cfRule>
    <cfRule type="expression" dxfId="2232" priority="528">
      <formula>AND(IF($Q98=3,1,IF($Q98=4,1,0)),IF($F98&lt;=85,1,0))</formula>
    </cfRule>
  </conditionalFormatting>
  <conditionalFormatting sqref="AV99">
    <cfRule type="expression" dxfId="2231" priority="523">
      <formula>AV99="X"</formula>
    </cfRule>
    <cfRule type="expression" dxfId="2230" priority="524">
      <formula>AV99="후보"</formula>
    </cfRule>
  </conditionalFormatting>
  <conditionalFormatting sqref="Z99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229" priority="520" operator="greaterThan">
      <formula>0.9</formula>
    </cfRule>
    <cfRule type="cellIs" dxfId="2228" priority="521" operator="greaterThan">
      <formula>0.85</formula>
    </cfRule>
  </conditionalFormatting>
  <conditionalFormatting sqref="N99">
    <cfRule type="cellIs" dxfId="2227" priority="518" operator="greaterThan">
      <formula>0.9</formula>
    </cfRule>
    <cfRule type="cellIs" dxfId="2226" priority="519" operator="greaterThan">
      <formula>0.85</formula>
    </cfRule>
  </conditionalFormatting>
  <conditionalFormatting sqref="E99">
    <cfRule type="expression" dxfId="2225" priority="514">
      <formula>AND(IF(OR($Q99=1,$Q99=2),1,0),IF($X99&lt;=20,1,0))</formula>
    </cfRule>
    <cfRule type="expression" dxfId="2224" priority="515">
      <formula>AND(IF($Q99=2,1,0),IF($X99&lt;30,1,0))</formula>
    </cfRule>
    <cfRule type="expression" dxfId="2223" priority="516">
      <formula>AND(IF($Q99=3,1,0),IF($X99&lt;30,1,0))</formula>
    </cfRule>
    <cfRule type="expression" dxfId="2222" priority="517">
      <formula>AND(IF($Q99=3,1,IF($Q99=4,1,0)),IF($F99&lt;=85,1,0))</formula>
    </cfRule>
  </conditionalFormatting>
  <conditionalFormatting sqref="X99">
    <cfRule type="expression" dxfId="2221" priority="510">
      <formula>AND(IF(OR($Q99=1,$Q99=2),1,0),IF($X99&lt;=20,1,0))</formula>
    </cfRule>
    <cfRule type="expression" dxfId="2220" priority="511">
      <formula>AND(IF($Q99=2,1,0),IF($X99&lt;30,1,0))</formula>
    </cfRule>
    <cfRule type="expression" dxfId="2219" priority="512">
      <formula>AND(IF($Q99=3,1,0),IF($X99&lt;30,1,0))</formula>
    </cfRule>
    <cfRule type="expression" dxfId="2218" priority="513">
      <formula>AND(IF($Q99=3,1,IF($Q99=4,1,0)),IF($F99&lt;=85,1,0))</formula>
    </cfRule>
  </conditionalFormatting>
  <conditionalFormatting sqref="AI99">
    <cfRule type="expression" dxfId="2217" priority="506">
      <formula>AND(IF(OR($Q99=1,$Q99=2),1,0),IF($X99&lt;=20,1,0))</formula>
    </cfRule>
    <cfRule type="expression" dxfId="2216" priority="507">
      <formula>AND(IF($Q99=2,1,0),IF($X99&lt;30,1,0))</formula>
    </cfRule>
    <cfRule type="expression" dxfId="2215" priority="508">
      <formula>AND(IF($Q99=3,1,0),IF($X99&lt;30,1,0))</formula>
    </cfRule>
    <cfRule type="expression" dxfId="2214" priority="509">
      <formula>AND(IF($Q99=3,1,IF($Q99=4,1,0)),IF($F99&lt;=85,1,0))</formula>
    </cfRule>
  </conditionalFormatting>
  <conditionalFormatting sqref="AV100">
    <cfRule type="expression" dxfId="2213" priority="504">
      <formula>AV100="X"</formula>
    </cfRule>
    <cfRule type="expression" dxfId="2212" priority="505">
      <formula>AV100="후보"</formula>
    </cfRule>
  </conditionalFormatting>
  <conditionalFormatting sqref="Z100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211" priority="501" operator="greaterThan">
      <formula>0.9</formula>
    </cfRule>
    <cfRule type="cellIs" dxfId="2210" priority="502" operator="greaterThan">
      <formula>0.85</formula>
    </cfRule>
  </conditionalFormatting>
  <conditionalFormatting sqref="N100">
    <cfRule type="cellIs" dxfId="2209" priority="499" operator="greaterThan">
      <formula>0.9</formula>
    </cfRule>
    <cfRule type="cellIs" dxfId="2208" priority="500" operator="greaterThan">
      <formula>0.85</formula>
    </cfRule>
  </conditionalFormatting>
  <conditionalFormatting sqref="E100">
    <cfRule type="expression" dxfId="2207" priority="495">
      <formula>AND(IF(OR($Q100=1,$Q100=2),1,0),IF($X100&lt;=20,1,0))</formula>
    </cfRule>
    <cfRule type="expression" dxfId="2206" priority="496">
      <formula>AND(IF($Q100=2,1,0),IF($X100&lt;30,1,0))</formula>
    </cfRule>
    <cfRule type="expression" dxfId="2205" priority="497">
      <formula>AND(IF($Q100=3,1,0),IF($X100&lt;30,1,0))</formula>
    </cfRule>
    <cfRule type="expression" dxfId="2204" priority="498">
      <formula>AND(IF($Q100=3,1,IF($Q100=4,1,0)),IF($F100&lt;=85,1,0))</formula>
    </cfRule>
  </conditionalFormatting>
  <conditionalFormatting sqref="X100">
    <cfRule type="expression" dxfId="2203" priority="491">
      <formula>AND(IF(OR($Q100=1,$Q100=2),1,0),IF($X100&lt;=20,1,0))</formula>
    </cfRule>
    <cfRule type="expression" dxfId="2202" priority="492">
      <formula>AND(IF($Q100=2,1,0),IF($X100&lt;30,1,0))</formula>
    </cfRule>
    <cfRule type="expression" dxfId="2201" priority="493">
      <formula>AND(IF($Q100=3,1,0),IF($X100&lt;30,1,0))</formula>
    </cfRule>
    <cfRule type="expression" dxfId="2200" priority="494">
      <formula>AND(IF($Q100=3,1,IF($Q100=4,1,0)),IF($F100&lt;=85,1,0))</formula>
    </cfRule>
  </conditionalFormatting>
  <conditionalFormatting sqref="AI100">
    <cfRule type="expression" dxfId="2199" priority="487">
      <formula>AND(IF(OR($Q100=1,$Q100=2),1,0),IF($X100&lt;=20,1,0))</formula>
    </cfRule>
    <cfRule type="expression" dxfId="2198" priority="488">
      <formula>AND(IF($Q100=2,1,0),IF($X100&lt;30,1,0))</formula>
    </cfRule>
    <cfRule type="expression" dxfId="2197" priority="489">
      <formula>AND(IF($Q100=3,1,0),IF($X100&lt;30,1,0))</formula>
    </cfRule>
    <cfRule type="expression" dxfId="2196" priority="490">
      <formula>AND(IF($Q100=3,1,IF($Q100=4,1,0)),IF($F100&lt;=85,1,0))</formula>
    </cfRule>
  </conditionalFormatting>
  <conditionalFormatting sqref="AV101">
    <cfRule type="expression" dxfId="2195" priority="485">
      <formula>AV101="X"</formula>
    </cfRule>
    <cfRule type="expression" dxfId="2194" priority="486">
      <formula>AV101="후보"</formula>
    </cfRule>
  </conditionalFormatting>
  <conditionalFormatting sqref="Z101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193" priority="482" operator="greaterThan">
      <formula>0.9</formula>
    </cfRule>
    <cfRule type="cellIs" dxfId="2192" priority="483" operator="greaterThan">
      <formula>0.85</formula>
    </cfRule>
  </conditionalFormatting>
  <conditionalFormatting sqref="N101">
    <cfRule type="cellIs" dxfId="2191" priority="480" operator="greaterThan">
      <formula>0.9</formula>
    </cfRule>
    <cfRule type="cellIs" dxfId="2190" priority="481" operator="greaterThan">
      <formula>0.85</formula>
    </cfRule>
  </conditionalFormatting>
  <conditionalFormatting sqref="E101">
    <cfRule type="expression" dxfId="2189" priority="476">
      <formula>AND(IF(OR($Q101=1,$Q101=2),1,0),IF($X101&lt;=20,1,0))</formula>
    </cfRule>
    <cfRule type="expression" dxfId="2188" priority="477">
      <formula>AND(IF($Q101=2,1,0),IF($X101&lt;30,1,0))</formula>
    </cfRule>
    <cfRule type="expression" dxfId="2187" priority="478">
      <formula>AND(IF($Q101=3,1,0),IF($X101&lt;30,1,0))</formula>
    </cfRule>
    <cfRule type="expression" dxfId="2186" priority="479">
      <formula>AND(IF($Q101=3,1,IF($Q101=4,1,0)),IF($F101&lt;=85,1,0))</formula>
    </cfRule>
  </conditionalFormatting>
  <conditionalFormatting sqref="X101">
    <cfRule type="expression" dxfId="2185" priority="472">
      <formula>AND(IF(OR($Q101=1,$Q101=2),1,0),IF($X101&lt;=20,1,0))</formula>
    </cfRule>
    <cfRule type="expression" dxfId="2184" priority="473">
      <formula>AND(IF($Q101=2,1,0),IF($X101&lt;30,1,0))</formula>
    </cfRule>
    <cfRule type="expression" dxfId="2183" priority="474">
      <formula>AND(IF($Q101=3,1,0),IF($X101&lt;30,1,0))</formula>
    </cfRule>
    <cfRule type="expression" dxfId="2182" priority="475">
      <formula>AND(IF($Q101=3,1,IF($Q101=4,1,0)),IF($F101&lt;=85,1,0))</formula>
    </cfRule>
  </conditionalFormatting>
  <conditionalFormatting sqref="AI101">
    <cfRule type="expression" dxfId="2181" priority="468">
      <formula>AND(IF(OR($Q101=1,$Q101=2),1,0),IF($X101&lt;=20,1,0))</formula>
    </cfRule>
    <cfRule type="expression" dxfId="2180" priority="469">
      <formula>AND(IF($Q101=2,1,0),IF($X101&lt;30,1,0))</formula>
    </cfRule>
    <cfRule type="expression" dxfId="2179" priority="470">
      <formula>AND(IF($Q101=3,1,0),IF($X101&lt;30,1,0))</formula>
    </cfRule>
    <cfRule type="expression" dxfId="2178" priority="471">
      <formula>AND(IF($Q101=3,1,IF($Q101=4,1,0)),IF($F101&lt;=85,1,0))</formula>
    </cfRule>
  </conditionalFormatting>
  <conditionalFormatting sqref="AV102">
    <cfRule type="expression" dxfId="2177" priority="466">
      <formula>AV102="X"</formula>
    </cfRule>
    <cfRule type="expression" dxfId="2176" priority="467">
      <formula>AV102="후보"</formula>
    </cfRule>
  </conditionalFormatting>
  <conditionalFormatting sqref="Z102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2175" priority="463" operator="greaterThan">
      <formula>0.9</formula>
    </cfRule>
    <cfRule type="cellIs" dxfId="2174" priority="464" operator="greaterThan">
      <formula>0.85</formula>
    </cfRule>
  </conditionalFormatting>
  <conditionalFormatting sqref="AV103">
    <cfRule type="expression" dxfId="2173" priority="461">
      <formula>AV103="X"</formula>
    </cfRule>
    <cfRule type="expression" dxfId="2172" priority="462">
      <formula>AV103="후보"</formula>
    </cfRule>
  </conditionalFormatting>
  <conditionalFormatting sqref="Z103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171" priority="458" operator="greaterThan">
      <formula>0.9</formula>
    </cfRule>
    <cfRule type="cellIs" dxfId="2170" priority="459" operator="greaterThan">
      <formula>0.85</formula>
    </cfRule>
  </conditionalFormatting>
  <conditionalFormatting sqref="N103">
    <cfRule type="cellIs" dxfId="2169" priority="456" operator="greaterThan">
      <formula>0.9</formula>
    </cfRule>
    <cfRule type="cellIs" dxfId="2168" priority="457" operator="greaterThan">
      <formula>0.85</formula>
    </cfRule>
  </conditionalFormatting>
  <conditionalFormatting sqref="E103">
    <cfRule type="expression" dxfId="2167" priority="452">
      <formula>AND(IF(OR($Q103=1,$Q103=2),1,0),IF($X103&lt;=20,1,0))</formula>
    </cfRule>
    <cfRule type="expression" dxfId="2166" priority="453">
      <formula>AND(IF($Q103=2,1,0),IF($X103&lt;30,1,0))</formula>
    </cfRule>
    <cfRule type="expression" dxfId="2165" priority="454">
      <formula>AND(IF($Q103=3,1,0),IF($X103&lt;30,1,0))</formula>
    </cfRule>
    <cfRule type="expression" dxfId="2164" priority="455">
      <formula>AND(IF($Q103=3,1,IF($Q103=4,1,0)),IF($F103&lt;=85,1,0))</formula>
    </cfRule>
  </conditionalFormatting>
  <conditionalFormatting sqref="X103">
    <cfRule type="expression" dxfId="2163" priority="448">
      <formula>AND(IF(OR($Q103=1,$Q103=2),1,0),IF($X103&lt;=20,1,0))</formula>
    </cfRule>
    <cfRule type="expression" dxfId="2162" priority="449">
      <formula>AND(IF($Q103=2,1,0),IF($X103&lt;30,1,0))</formula>
    </cfRule>
    <cfRule type="expression" dxfId="2161" priority="450">
      <formula>AND(IF($Q103=3,1,0),IF($X103&lt;30,1,0))</formula>
    </cfRule>
    <cfRule type="expression" dxfId="2160" priority="451">
      <formula>AND(IF($Q103=3,1,IF($Q103=4,1,0)),IF($F103&lt;=85,1,0))</formula>
    </cfRule>
  </conditionalFormatting>
  <conditionalFormatting sqref="AI103">
    <cfRule type="expression" dxfId="2159" priority="444">
      <formula>AND(IF(OR($Q103=1,$Q103=2),1,0),IF($X103&lt;=20,1,0))</formula>
    </cfRule>
    <cfRule type="expression" dxfId="2158" priority="445">
      <formula>AND(IF($Q103=2,1,0),IF($X103&lt;30,1,0))</formula>
    </cfRule>
    <cfRule type="expression" dxfId="2157" priority="446">
      <formula>AND(IF($Q103=3,1,0),IF($X103&lt;30,1,0))</formula>
    </cfRule>
    <cfRule type="expression" dxfId="2156" priority="447">
      <formula>AND(IF($Q103=3,1,IF($Q103=4,1,0)),IF($F103&lt;=85,1,0))</formula>
    </cfRule>
  </conditionalFormatting>
  <conditionalFormatting sqref="AV104">
    <cfRule type="expression" dxfId="2155" priority="442">
      <formula>AV104="X"</formula>
    </cfRule>
    <cfRule type="expression" dxfId="2154" priority="443">
      <formula>AV104="후보"</formula>
    </cfRule>
  </conditionalFormatting>
  <conditionalFormatting sqref="Z104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153" priority="439" operator="greaterThan">
      <formula>0.9</formula>
    </cfRule>
    <cfRule type="cellIs" dxfId="2152" priority="440" operator="greaterThan">
      <formula>0.85</formula>
    </cfRule>
  </conditionalFormatting>
  <conditionalFormatting sqref="N104">
    <cfRule type="cellIs" dxfId="2151" priority="437" operator="greaterThan">
      <formula>0.9</formula>
    </cfRule>
    <cfRule type="cellIs" dxfId="2150" priority="438" operator="greaterThan">
      <formula>0.85</formula>
    </cfRule>
  </conditionalFormatting>
  <conditionalFormatting sqref="E104">
    <cfRule type="expression" dxfId="2149" priority="433">
      <formula>AND(IF(OR($Q104=1,$Q104=2),1,0),IF($X104&lt;=20,1,0))</formula>
    </cfRule>
    <cfRule type="expression" dxfId="2148" priority="434">
      <formula>AND(IF($Q104=2,1,0),IF($X104&lt;30,1,0))</formula>
    </cfRule>
    <cfRule type="expression" dxfId="2147" priority="435">
      <formula>AND(IF($Q104=3,1,0),IF($X104&lt;30,1,0))</formula>
    </cfRule>
    <cfRule type="expression" dxfId="2146" priority="436">
      <formula>AND(IF($Q104=3,1,IF($Q104=4,1,0)),IF($F104&lt;=85,1,0))</formula>
    </cfRule>
  </conditionalFormatting>
  <conditionalFormatting sqref="X104">
    <cfRule type="expression" dxfId="2145" priority="429">
      <formula>AND(IF(OR($Q104=1,$Q104=2),1,0),IF($X104&lt;=20,1,0))</formula>
    </cfRule>
    <cfRule type="expression" dxfId="2144" priority="430">
      <formula>AND(IF($Q104=2,1,0),IF($X104&lt;30,1,0))</formula>
    </cfRule>
    <cfRule type="expression" dxfId="2143" priority="431">
      <formula>AND(IF($Q104=3,1,0),IF($X104&lt;30,1,0))</formula>
    </cfRule>
    <cfRule type="expression" dxfId="2142" priority="432">
      <formula>AND(IF($Q104=3,1,IF($Q104=4,1,0)),IF($F104&lt;=85,1,0))</formula>
    </cfRule>
  </conditionalFormatting>
  <conditionalFormatting sqref="AI104">
    <cfRule type="expression" dxfId="2141" priority="425">
      <formula>AND(IF(OR($Q104=1,$Q104=2),1,0),IF($X104&lt;=20,1,0))</formula>
    </cfRule>
    <cfRule type="expression" dxfId="2140" priority="426">
      <formula>AND(IF($Q104=2,1,0),IF($X104&lt;30,1,0))</formula>
    </cfRule>
    <cfRule type="expression" dxfId="2139" priority="427">
      <formula>AND(IF($Q104=3,1,0),IF($X104&lt;30,1,0))</formula>
    </cfRule>
    <cfRule type="expression" dxfId="2138" priority="428">
      <formula>AND(IF($Q104=3,1,IF($Q104=4,1,0)),IF($F104&lt;=85,1,0))</formula>
    </cfRule>
  </conditionalFormatting>
  <conditionalFormatting sqref="AV105">
    <cfRule type="expression" dxfId="2137" priority="423">
      <formula>AV105="X"</formula>
    </cfRule>
    <cfRule type="expression" dxfId="2136" priority="424">
      <formula>AV105="후보"</formula>
    </cfRule>
  </conditionalFormatting>
  <conditionalFormatting sqref="Z105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135" priority="420" operator="greaterThan">
      <formula>0.9</formula>
    </cfRule>
    <cfRule type="cellIs" dxfId="2134" priority="421" operator="greaterThan">
      <formula>0.85</formula>
    </cfRule>
  </conditionalFormatting>
  <conditionalFormatting sqref="N105">
    <cfRule type="cellIs" dxfId="2133" priority="418" operator="greaterThan">
      <formula>0.9</formula>
    </cfRule>
    <cfRule type="cellIs" dxfId="2132" priority="419" operator="greaterThan">
      <formula>0.85</formula>
    </cfRule>
  </conditionalFormatting>
  <conditionalFormatting sqref="E105">
    <cfRule type="expression" dxfId="2131" priority="414">
      <formula>AND(IF(OR($Q105=1,$Q105=2),1,0),IF($X105&lt;=20,1,0))</formula>
    </cfRule>
    <cfRule type="expression" dxfId="2130" priority="415">
      <formula>AND(IF($Q105=2,1,0),IF($X105&lt;30,1,0))</formula>
    </cfRule>
    <cfRule type="expression" dxfId="2129" priority="416">
      <formula>AND(IF($Q105=3,1,0),IF($X105&lt;30,1,0))</formula>
    </cfRule>
    <cfRule type="expression" dxfId="2128" priority="417">
      <formula>AND(IF($Q105=3,1,IF($Q105=4,1,0)),IF($F105&lt;=85,1,0))</formula>
    </cfRule>
  </conditionalFormatting>
  <conditionalFormatting sqref="X105">
    <cfRule type="expression" dxfId="2127" priority="410">
      <formula>AND(IF(OR($Q105=1,$Q105=2),1,0),IF($X105&lt;=20,1,0))</formula>
    </cfRule>
    <cfRule type="expression" dxfId="2126" priority="411">
      <formula>AND(IF($Q105=2,1,0),IF($X105&lt;30,1,0))</formula>
    </cfRule>
    <cfRule type="expression" dxfId="2125" priority="412">
      <formula>AND(IF($Q105=3,1,0),IF($X105&lt;30,1,0))</formula>
    </cfRule>
    <cfRule type="expression" dxfId="2124" priority="413">
      <formula>AND(IF($Q105=3,1,IF($Q105=4,1,0)),IF($F105&lt;=85,1,0))</formula>
    </cfRule>
  </conditionalFormatting>
  <conditionalFormatting sqref="AI105">
    <cfRule type="expression" dxfId="2123" priority="406">
      <formula>AND(IF(OR($Q105=1,$Q105=2),1,0),IF($X105&lt;=20,1,0))</formula>
    </cfRule>
    <cfRule type="expression" dxfId="2122" priority="407">
      <formula>AND(IF($Q105=2,1,0),IF($X105&lt;30,1,0))</formula>
    </cfRule>
    <cfRule type="expression" dxfId="2121" priority="408">
      <formula>AND(IF($Q105=3,1,0),IF($X105&lt;30,1,0))</formula>
    </cfRule>
    <cfRule type="expression" dxfId="2120" priority="409">
      <formula>AND(IF($Q105=3,1,IF($Q105=4,1,0)),IF($F105&lt;=85,1,0))</formula>
    </cfRule>
  </conditionalFormatting>
  <conditionalFormatting sqref="AV106">
    <cfRule type="expression" dxfId="2119" priority="404">
      <formula>AV106="X"</formula>
    </cfRule>
    <cfRule type="expression" dxfId="2118" priority="405">
      <formula>AV106="후보"</formula>
    </cfRule>
  </conditionalFormatting>
  <conditionalFormatting sqref="Z106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2117" priority="401" operator="greaterThan">
      <formula>0.9</formula>
    </cfRule>
    <cfRule type="cellIs" dxfId="2116" priority="402" operator="greaterThan">
      <formula>0.85</formula>
    </cfRule>
  </conditionalFormatting>
  <conditionalFormatting sqref="AV107">
    <cfRule type="expression" dxfId="2115" priority="399">
      <formula>AV107="X"</formula>
    </cfRule>
    <cfRule type="expression" dxfId="2114" priority="400">
      <formula>AV107="후보"</formula>
    </cfRule>
  </conditionalFormatting>
  <conditionalFormatting sqref="Z107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113" priority="396" operator="greaterThan">
      <formula>0.9</formula>
    </cfRule>
    <cfRule type="cellIs" dxfId="2112" priority="397" operator="greaterThan">
      <formula>0.85</formula>
    </cfRule>
  </conditionalFormatting>
  <conditionalFormatting sqref="N107">
    <cfRule type="cellIs" dxfId="2111" priority="394" operator="greaterThan">
      <formula>0.9</formula>
    </cfRule>
    <cfRule type="cellIs" dxfId="2110" priority="395" operator="greaterThan">
      <formula>0.85</formula>
    </cfRule>
  </conditionalFormatting>
  <conditionalFormatting sqref="E107">
    <cfRule type="expression" dxfId="2109" priority="390">
      <formula>AND(IF(OR($Q107=1,$Q107=2),1,0),IF($X107&lt;=20,1,0))</formula>
    </cfRule>
    <cfRule type="expression" dxfId="2108" priority="391">
      <formula>AND(IF($Q107=2,1,0),IF($X107&lt;30,1,0))</formula>
    </cfRule>
    <cfRule type="expression" dxfId="2107" priority="392">
      <formula>AND(IF($Q107=3,1,0),IF($X107&lt;30,1,0))</formula>
    </cfRule>
    <cfRule type="expression" dxfId="2106" priority="393">
      <formula>AND(IF($Q107=3,1,IF($Q107=4,1,0)),IF($F107&lt;=85,1,0))</formula>
    </cfRule>
  </conditionalFormatting>
  <conditionalFormatting sqref="X107">
    <cfRule type="expression" dxfId="2105" priority="386">
      <formula>AND(IF(OR($Q107=1,$Q107=2),1,0),IF($X107&lt;=20,1,0))</formula>
    </cfRule>
    <cfRule type="expression" dxfId="2104" priority="387">
      <formula>AND(IF($Q107=2,1,0),IF($X107&lt;30,1,0))</formula>
    </cfRule>
    <cfRule type="expression" dxfId="2103" priority="388">
      <formula>AND(IF($Q107=3,1,0),IF($X107&lt;30,1,0))</formula>
    </cfRule>
    <cfRule type="expression" dxfId="2102" priority="389">
      <formula>AND(IF($Q107=3,1,IF($Q107=4,1,0)),IF($F107&lt;=85,1,0))</formula>
    </cfRule>
  </conditionalFormatting>
  <conditionalFormatting sqref="AI107">
    <cfRule type="expression" dxfId="2101" priority="382">
      <formula>AND(IF(OR($Q107=1,$Q107=2),1,0),IF($X107&lt;=20,1,0))</formula>
    </cfRule>
    <cfRule type="expression" dxfId="2100" priority="383">
      <formula>AND(IF($Q107=2,1,0),IF($X107&lt;30,1,0))</formula>
    </cfRule>
    <cfRule type="expression" dxfId="2099" priority="384">
      <formula>AND(IF($Q107=3,1,0),IF($X107&lt;30,1,0))</formula>
    </cfRule>
    <cfRule type="expression" dxfId="2098" priority="385">
      <formula>AND(IF($Q107=3,1,IF($Q107=4,1,0)),IF($F107&lt;=85,1,0))</formula>
    </cfRule>
  </conditionalFormatting>
  <conditionalFormatting sqref="AV108">
    <cfRule type="expression" dxfId="2097" priority="380">
      <formula>AV108="X"</formula>
    </cfRule>
    <cfRule type="expression" dxfId="2096" priority="381">
      <formula>AV108="후보"</formula>
    </cfRule>
  </conditionalFormatting>
  <conditionalFormatting sqref="Z108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095" priority="377" operator="greaterThan">
      <formula>0.9</formula>
    </cfRule>
    <cfRule type="cellIs" dxfId="2094" priority="378" operator="greaterThan">
      <formula>0.85</formula>
    </cfRule>
  </conditionalFormatting>
  <conditionalFormatting sqref="N108">
    <cfRule type="cellIs" dxfId="2093" priority="375" operator="greaterThan">
      <formula>0.9</formula>
    </cfRule>
    <cfRule type="cellIs" dxfId="2092" priority="376" operator="greaterThan">
      <formula>0.85</formula>
    </cfRule>
  </conditionalFormatting>
  <conditionalFormatting sqref="E108">
    <cfRule type="expression" dxfId="2091" priority="371">
      <formula>AND(IF(OR($Q108=1,$Q108=2),1,0),IF($X108&lt;=20,1,0))</formula>
    </cfRule>
    <cfRule type="expression" dxfId="2090" priority="372">
      <formula>AND(IF($Q108=2,1,0),IF($X108&lt;30,1,0))</formula>
    </cfRule>
    <cfRule type="expression" dxfId="2089" priority="373">
      <formula>AND(IF($Q108=3,1,0),IF($X108&lt;30,1,0))</formula>
    </cfRule>
    <cfRule type="expression" dxfId="2088" priority="374">
      <formula>AND(IF($Q108=3,1,IF($Q108=4,1,0)),IF($F108&lt;=85,1,0))</formula>
    </cfRule>
  </conditionalFormatting>
  <conditionalFormatting sqref="X108">
    <cfRule type="expression" dxfId="2087" priority="367">
      <formula>AND(IF(OR($Q108=1,$Q108=2),1,0),IF($X108&lt;=20,1,0))</formula>
    </cfRule>
    <cfRule type="expression" dxfId="2086" priority="368">
      <formula>AND(IF($Q108=2,1,0),IF($X108&lt;30,1,0))</formula>
    </cfRule>
    <cfRule type="expression" dxfId="2085" priority="369">
      <formula>AND(IF($Q108=3,1,0),IF($X108&lt;30,1,0))</formula>
    </cfRule>
    <cfRule type="expression" dxfId="2084" priority="370">
      <formula>AND(IF($Q108=3,1,IF($Q108=4,1,0)),IF($F108&lt;=85,1,0))</formula>
    </cfRule>
  </conditionalFormatting>
  <conditionalFormatting sqref="AI108">
    <cfRule type="expression" dxfId="2083" priority="363">
      <formula>AND(IF(OR($Q108=1,$Q108=2),1,0),IF($X108&lt;=20,1,0))</formula>
    </cfRule>
    <cfRule type="expression" dxfId="2082" priority="364">
      <formula>AND(IF($Q108=2,1,0),IF($X108&lt;30,1,0))</formula>
    </cfRule>
    <cfRule type="expression" dxfId="2081" priority="365">
      <formula>AND(IF($Q108=3,1,0),IF($X108&lt;30,1,0))</formula>
    </cfRule>
    <cfRule type="expression" dxfId="2080" priority="366">
      <formula>AND(IF($Q108=3,1,IF($Q108=4,1,0)),IF($F108&lt;=85,1,0))</formula>
    </cfRule>
  </conditionalFormatting>
  <conditionalFormatting sqref="AV109">
    <cfRule type="expression" dxfId="2079" priority="361">
      <formula>AV109="X"</formula>
    </cfRule>
    <cfRule type="expression" dxfId="2078" priority="362">
      <formula>AV109="후보"</formula>
    </cfRule>
  </conditionalFormatting>
  <conditionalFormatting sqref="Z109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077" priority="358" operator="greaterThan">
      <formula>0.9</formula>
    </cfRule>
    <cfRule type="cellIs" dxfId="2076" priority="359" operator="greaterThan">
      <formula>0.85</formula>
    </cfRule>
  </conditionalFormatting>
  <conditionalFormatting sqref="N109">
    <cfRule type="cellIs" dxfId="2075" priority="356" operator="greaterThan">
      <formula>0.9</formula>
    </cfRule>
    <cfRule type="cellIs" dxfId="2074" priority="357" operator="greaterThan">
      <formula>0.85</formula>
    </cfRule>
  </conditionalFormatting>
  <conditionalFormatting sqref="E109">
    <cfRule type="expression" dxfId="2073" priority="352">
      <formula>AND(IF(OR($Q109=1,$Q109=2),1,0),IF($X109&lt;=20,1,0))</formula>
    </cfRule>
    <cfRule type="expression" dxfId="2072" priority="353">
      <formula>AND(IF($Q109=2,1,0),IF($X109&lt;30,1,0))</formula>
    </cfRule>
    <cfRule type="expression" dxfId="2071" priority="354">
      <formula>AND(IF($Q109=3,1,0),IF($X109&lt;30,1,0))</formula>
    </cfRule>
    <cfRule type="expression" dxfId="2070" priority="355">
      <formula>AND(IF($Q109=3,1,IF($Q109=4,1,0)),IF($F109&lt;=85,1,0))</formula>
    </cfRule>
  </conditionalFormatting>
  <conditionalFormatting sqref="X109">
    <cfRule type="expression" dxfId="2069" priority="348">
      <formula>AND(IF(OR($Q109=1,$Q109=2),1,0),IF($X109&lt;=20,1,0))</formula>
    </cfRule>
    <cfRule type="expression" dxfId="2068" priority="349">
      <formula>AND(IF($Q109=2,1,0),IF($X109&lt;30,1,0))</formula>
    </cfRule>
    <cfRule type="expression" dxfId="2067" priority="350">
      <formula>AND(IF($Q109=3,1,0),IF($X109&lt;30,1,0))</formula>
    </cfRule>
    <cfRule type="expression" dxfId="2066" priority="351">
      <formula>AND(IF($Q109=3,1,IF($Q109=4,1,0)),IF($F109&lt;=85,1,0))</formula>
    </cfRule>
  </conditionalFormatting>
  <conditionalFormatting sqref="AI109">
    <cfRule type="expression" dxfId="2065" priority="344">
      <formula>AND(IF(OR($Q109=1,$Q109=2),1,0),IF($X109&lt;=20,1,0))</formula>
    </cfRule>
    <cfRule type="expression" dxfId="2064" priority="345">
      <formula>AND(IF($Q109=2,1,0),IF($X109&lt;30,1,0))</formula>
    </cfRule>
    <cfRule type="expression" dxfId="2063" priority="346">
      <formula>AND(IF($Q109=3,1,0),IF($X109&lt;30,1,0))</formula>
    </cfRule>
    <cfRule type="expression" dxfId="2062" priority="347">
      <formula>AND(IF($Q109=3,1,IF($Q109=4,1,0)),IF($F109&lt;=85,1,0))</formula>
    </cfRule>
  </conditionalFormatting>
  <conditionalFormatting sqref="AV110">
    <cfRule type="expression" dxfId="2061" priority="342">
      <formula>AV110="X"</formula>
    </cfRule>
    <cfRule type="expression" dxfId="2060" priority="343">
      <formula>AV110="후보"</formula>
    </cfRule>
  </conditionalFormatting>
  <conditionalFormatting sqref="Z110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2059" priority="339" operator="greaterThan">
      <formula>0.9</formula>
    </cfRule>
    <cfRule type="cellIs" dxfId="2058" priority="340" operator="greaterThan">
      <formula>0.85</formula>
    </cfRule>
  </conditionalFormatting>
  <conditionalFormatting sqref="AV111">
    <cfRule type="expression" dxfId="2057" priority="337">
      <formula>AV111="X"</formula>
    </cfRule>
    <cfRule type="expression" dxfId="2056" priority="338">
      <formula>AV111="후보"</formula>
    </cfRule>
  </conditionalFormatting>
  <conditionalFormatting sqref="Z111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055" priority="334" operator="greaterThan">
      <formula>0.9</formula>
    </cfRule>
    <cfRule type="cellIs" dxfId="2054" priority="335" operator="greaterThan">
      <formula>0.85</formula>
    </cfRule>
  </conditionalFormatting>
  <conditionalFormatting sqref="N111">
    <cfRule type="cellIs" dxfId="2053" priority="332" operator="greaterThan">
      <formula>0.9</formula>
    </cfRule>
    <cfRule type="cellIs" dxfId="2052" priority="333" operator="greaterThan">
      <formula>0.85</formula>
    </cfRule>
  </conditionalFormatting>
  <conditionalFormatting sqref="E111">
    <cfRule type="expression" dxfId="2051" priority="328">
      <formula>AND(IF(OR($Q111=1,$Q111=2),1,0),IF($X111&lt;=20,1,0))</formula>
    </cfRule>
    <cfRule type="expression" dxfId="2050" priority="329">
      <formula>AND(IF($Q111=2,1,0),IF($X111&lt;30,1,0))</formula>
    </cfRule>
    <cfRule type="expression" dxfId="2049" priority="330">
      <formula>AND(IF($Q111=3,1,0),IF($X111&lt;30,1,0))</formula>
    </cfRule>
    <cfRule type="expression" dxfId="2048" priority="331">
      <formula>AND(IF($Q111=3,1,IF($Q111=4,1,0)),IF($F111&lt;=85,1,0))</formula>
    </cfRule>
  </conditionalFormatting>
  <conditionalFormatting sqref="X111">
    <cfRule type="expression" dxfId="2047" priority="324">
      <formula>AND(IF(OR($Q111=1,$Q111=2),1,0),IF($X111&lt;=20,1,0))</formula>
    </cfRule>
    <cfRule type="expression" dxfId="2046" priority="325">
      <formula>AND(IF($Q111=2,1,0),IF($X111&lt;30,1,0))</formula>
    </cfRule>
    <cfRule type="expression" dxfId="2045" priority="326">
      <formula>AND(IF($Q111=3,1,0),IF($X111&lt;30,1,0))</formula>
    </cfRule>
    <cfRule type="expression" dxfId="2044" priority="327">
      <formula>AND(IF($Q111=3,1,IF($Q111=4,1,0)),IF($F111&lt;=85,1,0))</formula>
    </cfRule>
  </conditionalFormatting>
  <conditionalFormatting sqref="AI111">
    <cfRule type="expression" dxfId="2043" priority="320">
      <formula>AND(IF(OR($Q111=1,$Q111=2),1,0),IF($X111&lt;=20,1,0))</formula>
    </cfRule>
    <cfRule type="expression" dxfId="2042" priority="321">
      <formula>AND(IF($Q111=2,1,0),IF($X111&lt;30,1,0))</formula>
    </cfRule>
    <cfRule type="expression" dxfId="2041" priority="322">
      <formula>AND(IF($Q111=3,1,0),IF($X111&lt;30,1,0))</formula>
    </cfRule>
    <cfRule type="expression" dxfId="2040" priority="323">
      <formula>AND(IF($Q111=3,1,IF($Q111=4,1,0)),IF($F111&lt;=85,1,0))</formula>
    </cfRule>
  </conditionalFormatting>
  <conditionalFormatting sqref="AV112">
    <cfRule type="expression" dxfId="2039" priority="318">
      <formula>AV112="X"</formula>
    </cfRule>
    <cfRule type="expression" dxfId="2038" priority="319">
      <formula>AV112="후보"</formula>
    </cfRule>
  </conditionalFormatting>
  <conditionalFormatting sqref="Z112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037" priority="315" operator="greaterThan">
      <formula>0.9</formula>
    </cfRule>
    <cfRule type="cellIs" dxfId="2036" priority="316" operator="greaterThan">
      <formula>0.85</formula>
    </cfRule>
  </conditionalFormatting>
  <conditionalFormatting sqref="N112">
    <cfRule type="cellIs" dxfId="2035" priority="313" operator="greaterThan">
      <formula>0.9</formula>
    </cfRule>
    <cfRule type="cellIs" dxfId="2034" priority="314" operator="greaterThan">
      <formula>0.85</formula>
    </cfRule>
  </conditionalFormatting>
  <conditionalFormatting sqref="E112">
    <cfRule type="expression" dxfId="2033" priority="309">
      <formula>AND(IF(OR($Q112=1,$Q112=2),1,0),IF($X112&lt;=20,1,0))</formula>
    </cfRule>
    <cfRule type="expression" dxfId="2032" priority="310">
      <formula>AND(IF($Q112=2,1,0),IF($X112&lt;30,1,0))</formula>
    </cfRule>
    <cfRule type="expression" dxfId="2031" priority="311">
      <formula>AND(IF($Q112=3,1,0),IF($X112&lt;30,1,0))</formula>
    </cfRule>
    <cfRule type="expression" dxfId="2030" priority="312">
      <formula>AND(IF($Q112=3,1,IF($Q112=4,1,0)),IF($F112&lt;=85,1,0))</formula>
    </cfRule>
  </conditionalFormatting>
  <conditionalFormatting sqref="X112">
    <cfRule type="expression" dxfId="2029" priority="305">
      <formula>AND(IF(OR($Q112=1,$Q112=2),1,0),IF($X112&lt;=20,1,0))</formula>
    </cfRule>
    <cfRule type="expression" dxfId="2028" priority="306">
      <formula>AND(IF($Q112=2,1,0),IF($X112&lt;30,1,0))</formula>
    </cfRule>
    <cfRule type="expression" dxfId="2027" priority="307">
      <formula>AND(IF($Q112=3,1,0),IF($X112&lt;30,1,0))</formula>
    </cfRule>
    <cfRule type="expression" dxfId="2026" priority="308">
      <formula>AND(IF($Q112=3,1,IF($Q112=4,1,0)),IF($F112&lt;=85,1,0))</formula>
    </cfRule>
  </conditionalFormatting>
  <conditionalFormatting sqref="AI112">
    <cfRule type="expression" dxfId="2025" priority="301">
      <formula>AND(IF(OR($Q112=1,$Q112=2),1,0),IF($X112&lt;=20,1,0))</formula>
    </cfRule>
    <cfRule type="expression" dxfId="2024" priority="302">
      <formula>AND(IF($Q112=2,1,0),IF($X112&lt;30,1,0))</formula>
    </cfRule>
    <cfRule type="expression" dxfId="2023" priority="303">
      <formula>AND(IF($Q112=3,1,0),IF($X112&lt;30,1,0))</formula>
    </cfRule>
    <cfRule type="expression" dxfId="2022" priority="304">
      <formula>AND(IF($Q112=3,1,IF($Q112=4,1,0)),IF($F112&lt;=85,1,0))</formula>
    </cfRule>
  </conditionalFormatting>
  <conditionalFormatting sqref="AV113">
    <cfRule type="expression" dxfId="2021" priority="299">
      <formula>AV113="X"</formula>
    </cfRule>
    <cfRule type="expression" dxfId="2020" priority="300">
      <formula>AV113="후보"</formula>
    </cfRule>
  </conditionalFormatting>
  <conditionalFormatting sqref="Z113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019" priority="296" operator="greaterThan">
      <formula>0.9</formula>
    </cfRule>
    <cfRule type="cellIs" dxfId="2018" priority="297" operator="greaterThan">
      <formula>0.85</formula>
    </cfRule>
  </conditionalFormatting>
  <conditionalFormatting sqref="N113">
    <cfRule type="cellIs" dxfId="2017" priority="294" operator="greaterThan">
      <formula>0.9</formula>
    </cfRule>
    <cfRule type="cellIs" dxfId="2016" priority="295" operator="greaterThan">
      <formula>0.85</formula>
    </cfRule>
  </conditionalFormatting>
  <conditionalFormatting sqref="E113">
    <cfRule type="expression" dxfId="2015" priority="290">
      <formula>AND(IF(OR($Q113=1,$Q113=2),1,0),IF($X113&lt;=20,1,0))</formula>
    </cfRule>
    <cfRule type="expression" dxfId="2014" priority="291">
      <formula>AND(IF($Q113=2,1,0),IF($X113&lt;30,1,0))</formula>
    </cfRule>
    <cfRule type="expression" dxfId="2013" priority="292">
      <formula>AND(IF($Q113=3,1,0),IF($X113&lt;30,1,0))</formula>
    </cfRule>
    <cfRule type="expression" dxfId="2012" priority="293">
      <formula>AND(IF($Q113=3,1,IF($Q113=4,1,0)),IF($F113&lt;=85,1,0))</formula>
    </cfRule>
  </conditionalFormatting>
  <conditionalFormatting sqref="X113">
    <cfRule type="expression" dxfId="2011" priority="286">
      <formula>AND(IF(OR($Q113=1,$Q113=2),1,0),IF($X113&lt;=20,1,0))</formula>
    </cfRule>
    <cfRule type="expression" dxfId="2010" priority="287">
      <formula>AND(IF($Q113=2,1,0),IF($X113&lt;30,1,0))</formula>
    </cfRule>
    <cfRule type="expression" dxfId="2009" priority="288">
      <formula>AND(IF($Q113=3,1,0),IF($X113&lt;30,1,0))</formula>
    </cfRule>
    <cfRule type="expression" dxfId="2008" priority="289">
      <formula>AND(IF($Q113=3,1,IF($Q113=4,1,0)),IF($F113&lt;=85,1,0))</formula>
    </cfRule>
  </conditionalFormatting>
  <conditionalFormatting sqref="AI113">
    <cfRule type="expression" dxfId="2007" priority="282">
      <formula>AND(IF(OR($Q113=1,$Q113=2),1,0),IF($X113&lt;=20,1,0))</formula>
    </cfRule>
    <cfRule type="expression" dxfId="2006" priority="283">
      <formula>AND(IF($Q113=2,1,0),IF($X113&lt;30,1,0))</formula>
    </cfRule>
    <cfRule type="expression" dxfId="2005" priority="284">
      <formula>AND(IF($Q113=3,1,0),IF($X113&lt;30,1,0))</formula>
    </cfRule>
    <cfRule type="expression" dxfId="2004" priority="285">
      <formula>AND(IF($Q113=3,1,IF($Q113=4,1,0)),IF($F113&lt;=85,1,0))</formula>
    </cfRule>
  </conditionalFormatting>
  <conditionalFormatting sqref="AV114">
    <cfRule type="expression" dxfId="2003" priority="280">
      <formula>AV114="X"</formula>
    </cfRule>
    <cfRule type="expression" dxfId="2002" priority="281">
      <formula>AV114="후보"</formula>
    </cfRule>
  </conditionalFormatting>
  <conditionalFormatting sqref="Z114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001" priority="277" operator="greaterThan">
      <formula>0.9</formula>
    </cfRule>
    <cfRule type="cellIs" dxfId="2000" priority="278" operator="greaterThan">
      <formula>0.85</formula>
    </cfRule>
  </conditionalFormatting>
  <conditionalFormatting sqref="N114">
    <cfRule type="cellIs" dxfId="1999" priority="275" operator="greaterThan">
      <formula>0.9</formula>
    </cfRule>
    <cfRule type="cellIs" dxfId="1998" priority="276" operator="greaterThan">
      <formula>0.85</formula>
    </cfRule>
  </conditionalFormatting>
  <conditionalFormatting sqref="E114">
    <cfRule type="expression" dxfId="1997" priority="271">
      <formula>AND(IF(OR($Q114=1,$Q114=2),1,0),IF($X114&lt;=20,1,0))</formula>
    </cfRule>
    <cfRule type="expression" dxfId="1996" priority="272">
      <formula>AND(IF($Q114=2,1,0),IF($X114&lt;30,1,0))</formula>
    </cfRule>
    <cfRule type="expression" dxfId="1995" priority="273">
      <formula>AND(IF($Q114=3,1,0),IF($X114&lt;30,1,0))</formula>
    </cfRule>
    <cfRule type="expression" dxfId="1994" priority="274">
      <formula>AND(IF($Q114=3,1,IF($Q114=4,1,0)),IF($F114&lt;=85,1,0))</formula>
    </cfRule>
  </conditionalFormatting>
  <conditionalFormatting sqref="X114">
    <cfRule type="expression" dxfId="1993" priority="267">
      <formula>AND(IF(OR($Q114=1,$Q114=2),1,0),IF($X114&lt;=20,1,0))</formula>
    </cfRule>
    <cfRule type="expression" dxfId="1992" priority="268">
      <formula>AND(IF($Q114=2,1,0),IF($X114&lt;30,1,0))</formula>
    </cfRule>
    <cfRule type="expression" dxfId="1991" priority="269">
      <formula>AND(IF($Q114=3,1,0),IF($X114&lt;30,1,0))</formula>
    </cfRule>
    <cfRule type="expression" dxfId="1990" priority="270">
      <formula>AND(IF($Q114=3,1,IF($Q114=4,1,0)),IF($F114&lt;=85,1,0))</formula>
    </cfRule>
  </conditionalFormatting>
  <conditionalFormatting sqref="AI114">
    <cfRule type="expression" dxfId="1989" priority="263">
      <formula>AND(IF(OR($Q114=1,$Q114=2),1,0),IF($X114&lt;=20,1,0))</formula>
    </cfRule>
    <cfRule type="expression" dxfId="1988" priority="264">
      <formula>AND(IF($Q114=2,1,0),IF($X114&lt;30,1,0))</formula>
    </cfRule>
    <cfRule type="expression" dxfId="1987" priority="265">
      <formula>AND(IF($Q114=3,1,0),IF($X114&lt;30,1,0))</formula>
    </cfRule>
    <cfRule type="expression" dxfId="1986" priority="266">
      <formula>AND(IF($Q114=3,1,IF($Q114=4,1,0)),IF($F114&lt;=85,1,0))</formula>
    </cfRule>
  </conditionalFormatting>
  <conditionalFormatting sqref="AV115">
    <cfRule type="expression" dxfId="1985" priority="261">
      <formula>AV115="X"</formula>
    </cfRule>
    <cfRule type="expression" dxfId="1984" priority="262">
      <formula>AV115="후보"</formula>
    </cfRule>
  </conditionalFormatting>
  <conditionalFormatting sqref="Z115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983" priority="258" operator="greaterThan">
      <formula>0.9</formula>
    </cfRule>
    <cfRule type="cellIs" dxfId="1982" priority="259" operator="greaterThan">
      <formula>0.85</formula>
    </cfRule>
  </conditionalFormatting>
  <conditionalFormatting sqref="N115">
    <cfRule type="cellIs" dxfId="1981" priority="256" operator="greaterThan">
      <formula>0.9</formula>
    </cfRule>
    <cfRule type="cellIs" dxfId="1980" priority="257" operator="greaterThan">
      <formula>0.85</formula>
    </cfRule>
  </conditionalFormatting>
  <conditionalFormatting sqref="E115">
    <cfRule type="expression" dxfId="1979" priority="252">
      <formula>AND(IF(OR($Q115=1,$Q115=2),1,0),IF($X115&lt;=20,1,0))</formula>
    </cfRule>
    <cfRule type="expression" dxfId="1978" priority="253">
      <formula>AND(IF($Q115=2,1,0),IF($X115&lt;30,1,0))</formula>
    </cfRule>
    <cfRule type="expression" dxfId="1977" priority="254">
      <formula>AND(IF($Q115=3,1,0),IF($X115&lt;30,1,0))</formula>
    </cfRule>
    <cfRule type="expression" dxfId="1976" priority="255">
      <formula>AND(IF($Q115=3,1,IF($Q115=4,1,0)),IF($F115&lt;=85,1,0))</formula>
    </cfRule>
  </conditionalFormatting>
  <conditionalFormatting sqref="X115">
    <cfRule type="expression" dxfId="1975" priority="248">
      <formula>AND(IF(OR($Q115=1,$Q115=2),1,0),IF($X115&lt;=20,1,0))</formula>
    </cfRule>
    <cfRule type="expression" dxfId="1974" priority="249">
      <formula>AND(IF($Q115=2,1,0),IF($X115&lt;30,1,0))</formula>
    </cfRule>
    <cfRule type="expression" dxfId="1973" priority="250">
      <formula>AND(IF($Q115=3,1,0),IF($X115&lt;30,1,0))</formula>
    </cfRule>
    <cfRule type="expression" dxfId="1972" priority="251">
      <formula>AND(IF($Q115=3,1,IF($Q115=4,1,0)),IF($F115&lt;=85,1,0))</formula>
    </cfRule>
  </conditionalFormatting>
  <conditionalFormatting sqref="AI115">
    <cfRule type="expression" dxfId="1971" priority="244">
      <formula>AND(IF(OR($Q115=1,$Q115=2),1,0),IF($X115&lt;=20,1,0))</formula>
    </cfRule>
    <cfRule type="expression" dxfId="1970" priority="245">
      <formula>AND(IF($Q115=2,1,0),IF($X115&lt;30,1,0))</formula>
    </cfRule>
    <cfRule type="expression" dxfId="1969" priority="246">
      <formula>AND(IF($Q115=3,1,0),IF($X115&lt;30,1,0))</formula>
    </cfRule>
    <cfRule type="expression" dxfId="1968" priority="247">
      <formula>AND(IF($Q115=3,1,IF($Q115=4,1,0)),IF($F115&lt;=85,1,0))</formula>
    </cfRule>
  </conditionalFormatting>
  <conditionalFormatting sqref="AV116">
    <cfRule type="expression" dxfId="1967" priority="242">
      <formula>AV116="X"</formula>
    </cfRule>
    <cfRule type="expression" dxfId="1966" priority="243">
      <formula>AV116="후보"</formula>
    </cfRule>
  </conditionalFormatting>
  <conditionalFormatting sqref="Z11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 N116">
    <cfRule type="cellIs" dxfId="1965" priority="239" operator="greaterThan">
      <formula>0.9</formula>
    </cfRule>
    <cfRule type="cellIs" dxfId="1964" priority="240" operator="greaterThan">
      <formula>0.85</formula>
    </cfRule>
  </conditionalFormatting>
  <conditionalFormatting sqref="AV117">
    <cfRule type="expression" dxfId="1963" priority="237">
      <formula>AV117="X"</formula>
    </cfRule>
    <cfRule type="expression" dxfId="1962" priority="238">
      <formula>AV117="후보"</formula>
    </cfRule>
  </conditionalFormatting>
  <conditionalFormatting sqref="Z117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961" priority="234" operator="greaterThan">
      <formula>0.9</formula>
    </cfRule>
    <cfRule type="cellIs" dxfId="1960" priority="235" operator="greaterThan">
      <formula>0.85</formula>
    </cfRule>
  </conditionalFormatting>
  <conditionalFormatting sqref="N117">
    <cfRule type="cellIs" dxfId="1959" priority="232" operator="greaterThan">
      <formula>0.9</formula>
    </cfRule>
    <cfRule type="cellIs" dxfId="1958" priority="233" operator="greaterThan">
      <formula>0.85</formula>
    </cfRule>
  </conditionalFormatting>
  <conditionalFormatting sqref="E117">
    <cfRule type="expression" dxfId="1957" priority="228">
      <formula>AND(IF(OR($Q117=1,$Q117=2),1,0),IF($X117&lt;=20,1,0))</formula>
    </cfRule>
    <cfRule type="expression" dxfId="1956" priority="229">
      <formula>AND(IF($Q117=2,1,0),IF($X117&lt;30,1,0))</formula>
    </cfRule>
    <cfRule type="expression" dxfId="1955" priority="230">
      <formula>AND(IF($Q117=3,1,0),IF($X117&lt;30,1,0))</formula>
    </cfRule>
    <cfRule type="expression" dxfId="1954" priority="231">
      <formula>AND(IF($Q117=3,1,IF($Q117=4,1,0)),IF($F117&lt;=85,1,0))</formula>
    </cfRule>
  </conditionalFormatting>
  <conditionalFormatting sqref="X117">
    <cfRule type="expression" dxfId="1953" priority="224">
      <formula>AND(IF(OR($Q117=1,$Q117=2),1,0),IF($X117&lt;=20,1,0))</formula>
    </cfRule>
    <cfRule type="expression" dxfId="1952" priority="225">
      <formula>AND(IF($Q117=2,1,0),IF($X117&lt;30,1,0))</formula>
    </cfRule>
    <cfRule type="expression" dxfId="1951" priority="226">
      <formula>AND(IF($Q117=3,1,0),IF($X117&lt;30,1,0))</formula>
    </cfRule>
    <cfRule type="expression" dxfId="1950" priority="227">
      <formula>AND(IF($Q117=3,1,IF($Q117=4,1,0)),IF($F117&lt;=85,1,0))</formula>
    </cfRule>
  </conditionalFormatting>
  <conditionalFormatting sqref="AI117">
    <cfRule type="expression" dxfId="1949" priority="220">
      <formula>AND(IF(OR($Q117=1,$Q117=2),1,0),IF($X117&lt;=20,1,0))</formula>
    </cfRule>
    <cfRule type="expression" dxfId="1948" priority="221">
      <formula>AND(IF($Q117=2,1,0),IF($X117&lt;30,1,0))</formula>
    </cfRule>
    <cfRule type="expression" dxfId="1947" priority="222">
      <formula>AND(IF($Q117=3,1,0),IF($X117&lt;30,1,0))</formula>
    </cfRule>
    <cfRule type="expression" dxfId="1946" priority="223">
      <formula>AND(IF($Q117=3,1,IF($Q117=4,1,0)),IF($F117&lt;=85,1,0))</formula>
    </cfRule>
  </conditionalFormatting>
  <conditionalFormatting sqref="AV118">
    <cfRule type="expression" dxfId="1945" priority="218">
      <formula>AV118="X"</formula>
    </cfRule>
    <cfRule type="expression" dxfId="1944" priority="219">
      <formula>AV118="후보"</formula>
    </cfRule>
  </conditionalFormatting>
  <conditionalFormatting sqref="Z118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943" priority="215" operator="greaterThan">
      <formula>0.9</formula>
    </cfRule>
    <cfRule type="cellIs" dxfId="1942" priority="216" operator="greaterThan">
      <formula>0.85</formula>
    </cfRule>
  </conditionalFormatting>
  <conditionalFormatting sqref="N118">
    <cfRule type="cellIs" dxfId="1941" priority="213" operator="greaterThan">
      <formula>0.9</formula>
    </cfRule>
    <cfRule type="cellIs" dxfId="1940" priority="214" operator="greaterThan">
      <formula>0.85</formula>
    </cfRule>
  </conditionalFormatting>
  <conditionalFormatting sqref="E118">
    <cfRule type="expression" dxfId="1939" priority="209">
      <formula>AND(IF(OR($Q118=1,$Q118=2),1,0),IF($X118&lt;=20,1,0))</formula>
    </cfRule>
    <cfRule type="expression" dxfId="1938" priority="210">
      <formula>AND(IF($Q118=2,1,0),IF($X118&lt;30,1,0))</formula>
    </cfRule>
    <cfRule type="expression" dxfId="1937" priority="211">
      <formula>AND(IF($Q118=3,1,0),IF($X118&lt;30,1,0))</formula>
    </cfRule>
    <cfRule type="expression" dxfId="1936" priority="212">
      <formula>AND(IF($Q118=3,1,IF($Q118=4,1,0)),IF($F118&lt;=85,1,0))</formula>
    </cfRule>
  </conditionalFormatting>
  <conditionalFormatting sqref="X118">
    <cfRule type="expression" dxfId="1935" priority="205">
      <formula>AND(IF(OR($Q118=1,$Q118=2),1,0),IF($X118&lt;=20,1,0))</formula>
    </cfRule>
    <cfRule type="expression" dxfId="1934" priority="206">
      <formula>AND(IF($Q118=2,1,0),IF($X118&lt;30,1,0))</formula>
    </cfRule>
    <cfRule type="expression" dxfId="1933" priority="207">
      <formula>AND(IF($Q118=3,1,0),IF($X118&lt;30,1,0))</formula>
    </cfRule>
    <cfRule type="expression" dxfId="1932" priority="208">
      <formula>AND(IF($Q118=3,1,IF($Q118=4,1,0)),IF($F118&lt;=85,1,0))</formula>
    </cfRule>
  </conditionalFormatting>
  <conditionalFormatting sqref="AI118">
    <cfRule type="expression" dxfId="1931" priority="201">
      <formula>AND(IF(OR($Q118=1,$Q118=2),1,0),IF($X118&lt;=20,1,0))</formula>
    </cfRule>
    <cfRule type="expression" dxfId="1930" priority="202">
      <formula>AND(IF($Q118=2,1,0),IF($X118&lt;30,1,0))</formula>
    </cfRule>
    <cfRule type="expression" dxfId="1929" priority="203">
      <formula>AND(IF($Q118=3,1,0),IF($X118&lt;30,1,0))</formula>
    </cfRule>
    <cfRule type="expression" dxfId="1928" priority="204">
      <formula>AND(IF($Q118=3,1,IF($Q118=4,1,0)),IF($F118&lt;=85,1,0))</formula>
    </cfRule>
  </conditionalFormatting>
  <conditionalFormatting sqref="AV119">
    <cfRule type="expression" dxfId="1927" priority="199">
      <formula>AV119="X"</formula>
    </cfRule>
    <cfRule type="expression" dxfId="1926" priority="200">
      <formula>AV119="후보"</formula>
    </cfRule>
  </conditionalFormatting>
  <conditionalFormatting sqref="Z119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925" priority="196" operator="greaterThan">
      <formula>0.9</formula>
    </cfRule>
    <cfRule type="cellIs" dxfId="1924" priority="197" operator="greaterThan">
      <formula>0.85</formula>
    </cfRule>
  </conditionalFormatting>
  <conditionalFormatting sqref="N119">
    <cfRule type="cellIs" dxfId="1923" priority="194" operator="greaterThan">
      <formula>0.9</formula>
    </cfRule>
    <cfRule type="cellIs" dxfId="1922" priority="195" operator="greaterThan">
      <formula>0.85</formula>
    </cfRule>
  </conditionalFormatting>
  <conditionalFormatting sqref="E119">
    <cfRule type="expression" dxfId="1921" priority="190">
      <formula>AND(IF(OR($Q119=1,$Q119=2),1,0),IF($X119&lt;=20,1,0))</formula>
    </cfRule>
    <cfRule type="expression" dxfId="1920" priority="191">
      <formula>AND(IF($Q119=2,1,0),IF($X119&lt;30,1,0))</formula>
    </cfRule>
    <cfRule type="expression" dxfId="1919" priority="192">
      <formula>AND(IF($Q119=3,1,0),IF($X119&lt;30,1,0))</formula>
    </cfRule>
    <cfRule type="expression" dxfId="1918" priority="193">
      <formula>AND(IF($Q119=3,1,IF($Q119=4,1,0)),IF($F119&lt;=85,1,0))</formula>
    </cfRule>
  </conditionalFormatting>
  <conditionalFormatting sqref="X119">
    <cfRule type="expression" dxfId="1917" priority="186">
      <formula>AND(IF(OR($Q119=1,$Q119=2),1,0),IF($X119&lt;=20,1,0))</formula>
    </cfRule>
    <cfRule type="expression" dxfId="1916" priority="187">
      <formula>AND(IF($Q119=2,1,0),IF($X119&lt;30,1,0))</formula>
    </cfRule>
    <cfRule type="expression" dxfId="1915" priority="188">
      <formula>AND(IF($Q119=3,1,0),IF($X119&lt;30,1,0))</formula>
    </cfRule>
    <cfRule type="expression" dxfId="1914" priority="189">
      <formula>AND(IF($Q119=3,1,IF($Q119=4,1,0)),IF($F119&lt;=85,1,0))</formula>
    </cfRule>
  </conditionalFormatting>
  <conditionalFormatting sqref="AI119">
    <cfRule type="expression" dxfId="1913" priority="182">
      <formula>AND(IF(OR($Q119=1,$Q119=2),1,0),IF($X119&lt;=20,1,0))</formula>
    </cfRule>
    <cfRule type="expression" dxfId="1912" priority="183">
      <formula>AND(IF($Q119=2,1,0),IF($X119&lt;30,1,0))</formula>
    </cfRule>
    <cfRule type="expression" dxfId="1911" priority="184">
      <formula>AND(IF($Q119=3,1,0),IF($X119&lt;30,1,0))</formula>
    </cfRule>
    <cfRule type="expression" dxfId="1910" priority="185">
      <formula>AND(IF($Q119=3,1,IF($Q119=4,1,0)),IF($F119&lt;=85,1,0))</formula>
    </cfRule>
  </conditionalFormatting>
  <conditionalFormatting sqref="AV120">
    <cfRule type="expression" dxfId="1909" priority="180">
      <formula>AV120="X"</formula>
    </cfRule>
    <cfRule type="expression" dxfId="1908" priority="181">
      <formula>AV120="후보"</formula>
    </cfRule>
  </conditionalFormatting>
  <conditionalFormatting sqref="Z12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907" priority="177" operator="greaterThan">
      <formula>0.9</formula>
    </cfRule>
    <cfRule type="cellIs" dxfId="1906" priority="178" operator="greaterThan">
      <formula>0.85</formula>
    </cfRule>
  </conditionalFormatting>
  <conditionalFormatting sqref="N120">
    <cfRule type="cellIs" dxfId="1905" priority="175" operator="greaterThan">
      <formula>0.9</formula>
    </cfRule>
    <cfRule type="cellIs" dxfId="1904" priority="176" operator="greaterThan">
      <formula>0.85</formula>
    </cfRule>
  </conditionalFormatting>
  <conditionalFormatting sqref="E120">
    <cfRule type="expression" dxfId="1903" priority="171">
      <formula>AND(IF(OR($Q120=1,$Q120=2),1,0),IF($X120&lt;=20,1,0))</formula>
    </cfRule>
    <cfRule type="expression" dxfId="1902" priority="172">
      <formula>AND(IF($Q120=2,1,0),IF($X120&lt;30,1,0))</formula>
    </cfRule>
    <cfRule type="expression" dxfId="1901" priority="173">
      <formula>AND(IF($Q120=3,1,0),IF($X120&lt;30,1,0))</formula>
    </cfRule>
    <cfRule type="expression" dxfId="1900" priority="174">
      <formula>AND(IF($Q120=3,1,IF($Q120=4,1,0)),IF($F120&lt;=85,1,0))</formula>
    </cfRule>
  </conditionalFormatting>
  <conditionalFormatting sqref="X120">
    <cfRule type="expression" dxfId="1899" priority="167">
      <formula>AND(IF(OR($Q120=1,$Q120=2),1,0),IF($X120&lt;=20,1,0))</formula>
    </cfRule>
    <cfRule type="expression" dxfId="1898" priority="168">
      <formula>AND(IF($Q120=2,1,0),IF($X120&lt;30,1,0))</formula>
    </cfRule>
    <cfRule type="expression" dxfId="1897" priority="169">
      <formula>AND(IF($Q120=3,1,0),IF($X120&lt;30,1,0))</formula>
    </cfRule>
    <cfRule type="expression" dxfId="1896" priority="170">
      <formula>AND(IF($Q120=3,1,IF($Q120=4,1,0)),IF($F120&lt;=85,1,0))</formula>
    </cfRule>
  </conditionalFormatting>
  <conditionalFormatting sqref="AI120">
    <cfRule type="expression" dxfId="1895" priority="163">
      <formula>AND(IF(OR($Q120=1,$Q120=2),1,0),IF($X120&lt;=20,1,0))</formula>
    </cfRule>
    <cfRule type="expression" dxfId="1894" priority="164">
      <formula>AND(IF($Q120=2,1,0),IF($X120&lt;30,1,0))</formula>
    </cfRule>
    <cfRule type="expression" dxfId="1893" priority="165">
      <formula>AND(IF($Q120=3,1,0),IF($X120&lt;30,1,0))</formula>
    </cfRule>
    <cfRule type="expression" dxfId="1892" priority="166">
      <formula>AND(IF($Q120=3,1,IF($Q120=4,1,0)),IF($F120&lt;=85,1,0))</formula>
    </cfRule>
  </conditionalFormatting>
  <conditionalFormatting sqref="AV121">
    <cfRule type="expression" dxfId="1891" priority="161">
      <formula>AV121="X"</formula>
    </cfRule>
    <cfRule type="expression" dxfId="1890" priority="162">
      <formula>AV121="후보"</formula>
    </cfRule>
  </conditionalFormatting>
  <conditionalFormatting sqref="Z12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889" priority="158" operator="greaterThan">
      <formula>0.9</formula>
    </cfRule>
    <cfRule type="cellIs" dxfId="1888" priority="159" operator="greaterThan">
      <formula>0.85</formula>
    </cfRule>
  </conditionalFormatting>
  <conditionalFormatting sqref="N121">
    <cfRule type="cellIs" dxfId="1887" priority="156" operator="greaterThan">
      <formula>0.9</formula>
    </cfRule>
    <cfRule type="cellIs" dxfId="1886" priority="157" operator="greaterThan">
      <formula>0.85</formula>
    </cfRule>
  </conditionalFormatting>
  <conditionalFormatting sqref="E121">
    <cfRule type="expression" dxfId="1885" priority="152">
      <formula>AND(IF(OR($Q121=1,$Q121=2),1,0),IF($X121&lt;=20,1,0))</formula>
    </cfRule>
    <cfRule type="expression" dxfId="1884" priority="153">
      <formula>AND(IF($Q121=2,1,0),IF($X121&lt;30,1,0))</formula>
    </cfRule>
    <cfRule type="expression" dxfId="1883" priority="154">
      <formula>AND(IF($Q121=3,1,0),IF($X121&lt;30,1,0))</formula>
    </cfRule>
    <cfRule type="expression" dxfId="1882" priority="155">
      <formula>AND(IF($Q121=3,1,IF($Q121=4,1,0)),IF($F121&lt;=85,1,0))</formula>
    </cfRule>
  </conditionalFormatting>
  <conditionalFormatting sqref="X121">
    <cfRule type="expression" dxfId="1881" priority="148">
      <formula>AND(IF(OR($Q121=1,$Q121=2),1,0),IF($X121&lt;=20,1,0))</formula>
    </cfRule>
    <cfRule type="expression" dxfId="1880" priority="149">
      <formula>AND(IF($Q121=2,1,0),IF($X121&lt;30,1,0))</formula>
    </cfRule>
    <cfRule type="expression" dxfId="1879" priority="150">
      <formula>AND(IF($Q121=3,1,0),IF($X121&lt;30,1,0))</formula>
    </cfRule>
    <cfRule type="expression" dxfId="1878" priority="151">
      <formula>AND(IF($Q121=3,1,IF($Q121=4,1,0)),IF($F121&lt;=85,1,0))</formula>
    </cfRule>
  </conditionalFormatting>
  <conditionalFormatting sqref="AI121">
    <cfRule type="expression" dxfId="1877" priority="144">
      <formula>AND(IF(OR($Q121=1,$Q121=2),1,0),IF($X121&lt;=20,1,0))</formula>
    </cfRule>
    <cfRule type="expression" dxfId="1876" priority="145">
      <formula>AND(IF($Q121=2,1,0),IF($X121&lt;30,1,0))</formula>
    </cfRule>
    <cfRule type="expression" dxfId="1875" priority="146">
      <formula>AND(IF($Q121=3,1,0),IF($X121&lt;30,1,0))</formula>
    </cfRule>
    <cfRule type="expression" dxfId="1874" priority="147">
      <formula>AND(IF($Q121=3,1,IF($Q121=4,1,0)),IF($F121&lt;=85,1,0))</formula>
    </cfRule>
  </conditionalFormatting>
  <conditionalFormatting sqref="AV122">
    <cfRule type="expression" dxfId="1873" priority="142">
      <formula>AV122="X"</formula>
    </cfRule>
    <cfRule type="expression" dxfId="1872" priority="143">
      <formula>AV122="후보"</formula>
    </cfRule>
  </conditionalFormatting>
  <conditionalFormatting sqref="Z122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871" priority="139" operator="greaterThan">
      <formula>0.9</formula>
    </cfRule>
    <cfRule type="cellIs" dxfId="1870" priority="140" operator="greaterThan">
      <formula>0.85</formula>
    </cfRule>
  </conditionalFormatting>
  <conditionalFormatting sqref="N122">
    <cfRule type="cellIs" dxfId="1869" priority="137" operator="greaterThan">
      <formula>0.9</formula>
    </cfRule>
    <cfRule type="cellIs" dxfId="1868" priority="138" operator="greaterThan">
      <formula>0.85</formula>
    </cfRule>
  </conditionalFormatting>
  <conditionalFormatting sqref="E122">
    <cfRule type="expression" dxfId="1867" priority="133">
      <formula>AND(IF(OR($Q122=1,$Q122=2),1,0),IF($X122&lt;=20,1,0))</formula>
    </cfRule>
    <cfRule type="expression" dxfId="1866" priority="134">
      <formula>AND(IF($Q122=2,1,0),IF($X122&lt;30,1,0))</formula>
    </cfRule>
    <cfRule type="expression" dxfId="1865" priority="135">
      <formula>AND(IF($Q122=3,1,0),IF($X122&lt;30,1,0))</formula>
    </cfRule>
    <cfRule type="expression" dxfId="1864" priority="136">
      <formula>AND(IF($Q122=3,1,IF($Q122=4,1,0)),IF($F122&lt;=85,1,0))</formula>
    </cfRule>
  </conditionalFormatting>
  <conditionalFormatting sqref="X122">
    <cfRule type="expression" dxfId="1863" priority="129">
      <formula>AND(IF(OR($Q122=1,$Q122=2),1,0),IF($X122&lt;=20,1,0))</formula>
    </cfRule>
    <cfRule type="expression" dxfId="1862" priority="130">
      <formula>AND(IF($Q122=2,1,0),IF($X122&lt;30,1,0))</formula>
    </cfRule>
    <cfRule type="expression" dxfId="1861" priority="131">
      <formula>AND(IF($Q122=3,1,0),IF($X122&lt;30,1,0))</formula>
    </cfRule>
    <cfRule type="expression" dxfId="1860" priority="132">
      <formula>AND(IF($Q122=3,1,IF($Q122=4,1,0)),IF($F122&lt;=85,1,0))</formula>
    </cfRule>
  </conditionalFormatting>
  <conditionalFormatting sqref="AI122">
    <cfRule type="expression" dxfId="1859" priority="125">
      <formula>AND(IF(OR($Q122=1,$Q122=2),1,0),IF($X122&lt;=20,1,0))</formula>
    </cfRule>
    <cfRule type="expression" dxfId="1858" priority="126">
      <formula>AND(IF($Q122=2,1,0),IF($X122&lt;30,1,0))</formula>
    </cfRule>
    <cfRule type="expression" dxfId="1857" priority="127">
      <formula>AND(IF($Q122=3,1,0),IF($X122&lt;30,1,0))</formula>
    </cfRule>
    <cfRule type="expression" dxfId="1856" priority="128">
      <formula>AND(IF($Q122=3,1,IF($Q122=4,1,0)),IF($F122&lt;=85,1,0))</formula>
    </cfRule>
  </conditionalFormatting>
  <conditionalFormatting sqref="AV123">
    <cfRule type="expression" dxfId="1855" priority="123">
      <formula>AV123="X"</formula>
    </cfRule>
    <cfRule type="expression" dxfId="1854" priority="124">
      <formula>AV123="후보"</formula>
    </cfRule>
  </conditionalFormatting>
  <conditionalFormatting sqref="Z123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853" priority="120" operator="greaterThan">
      <formula>0.9</formula>
    </cfRule>
    <cfRule type="cellIs" dxfId="1852" priority="121" operator="greaterThan">
      <formula>0.85</formula>
    </cfRule>
  </conditionalFormatting>
  <conditionalFormatting sqref="N123">
    <cfRule type="cellIs" dxfId="1851" priority="118" operator="greaterThan">
      <formula>0.9</formula>
    </cfRule>
    <cfRule type="cellIs" dxfId="1850" priority="119" operator="greaterThan">
      <formula>0.85</formula>
    </cfRule>
  </conditionalFormatting>
  <conditionalFormatting sqref="E123">
    <cfRule type="expression" dxfId="1849" priority="114">
      <formula>AND(IF(OR($Q123=1,$Q123=2),1,0),IF($X123&lt;=20,1,0))</formula>
    </cfRule>
    <cfRule type="expression" dxfId="1848" priority="115">
      <formula>AND(IF($Q123=2,1,0),IF($X123&lt;30,1,0))</formula>
    </cfRule>
    <cfRule type="expression" dxfId="1847" priority="116">
      <formula>AND(IF($Q123=3,1,0),IF($X123&lt;30,1,0))</formula>
    </cfRule>
    <cfRule type="expression" dxfId="1846" priority="117">
      <formula>AND(IF($Q123=3,1,IF($Q123=4,1,0)),IF($F123&lt;=85,1,0))</formula>
    </cfRule>
  </conditionalFormatting>
  <conditionalFormatting sqref="X123">
    <cfRule type="expression" dxfId="1845" priority="110">
      <formula>AND(IF(OR($Q123=1,$Q123=2),1,0),IF($X123&lt;=20,1,0))</formula>
    </cfRule>
    <cfRule type="expression" dxfId="1844" priority="111">
      <formula>AND(IF($Q123=2,1,0),IF($X123&lt;30,1,0))</formula>
    </cfRule>
    <cfRule type="expression" dxfId="1843" priority="112">
      <formula>AND(IF($Q123=3,1,0),IF($X123&lt;30,1,0))</formula>
    </cfRule>
    <cfRule type="expression" dxfId="1842" priority="113">
      <formula>AND(IF($Q123=3,1,IF($Q123=4,1,0)),IF($F123&lt;=85,1,0))</formula>
    </cfRule>
  </conditionalFormatting>
  <conditionalFormatting sqref="AI123">
    <cfRule type="expression" dxfId="1841" priority="106">
      <formula>AND(IF(OR($Q123=1,$Q123=2),1,0),IF($X123&lt;=20,1,0))</formula>
    </cfRule>
    <cfRule type="expression" dxfId="1840" priority="107">
      <formula>AND(IF($Q123=2,1,0),IF($X123&lt;30,1,0))</formula>
    </cfRule>
    <cfRule type="expression" dxfId="1839" priority="108">
      <formula>AND(IF($Q123=3,1,0),IF($X123&lt;30,1,0))</formula>
    </cfRule>
    <cfRule type="expression" dxfId="1838" priority="109">
      <formula>AND(IF($Q123=3,1,IF($Q123=4,1,0)),IF($F123&lt;=85,1,0))</formula>
    </cfRule>
  </conditionalFormatting>
  <conditionalFormatting sqref="AV124">
    <cfRule type="expression" dxfId="1837" priority="104">
      <formula>AV124="X"</formula>
    </cfRule>
    <cfRule type="expression" dxfId="1836" priority="105">
      <formula>AV124="후보"</formula>
    </cfRule>
  </conditionalFormatting>
  <conditionalFormatting sqref="Z124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835" priority="101" operator="greaterThan">
      <formula>0.9</formula>
    </cfRule>
    <cfRule type="cellIs" dxfId="1834" priority="102" operator="greaterThan">
      <formula>0.85</formula>
    </cfRule>
  </conditionalFormatting>
  <conditionalFormatting sqref="N124">
    <cfRule type="cellIs" dxfId="1833" priority="99" operator="greaterThan">
      <formula>0.9</formula>
    </cfRule>
    <cfRule type="cellIs" dxfId="1832" priority="100" operator="greaterThan">
      <formula>0.85</formula>
    </cfRule>
  </conditionalFormatting>
  <conditionalFormatting sqref="E124">
    <cfRule type="expression" dxfId="1831" priority="95">
      <formula>AND(IF(OR($Q124=1,$Q124=2),1,0),IF($X124&lt;=20,1,0))</formula>
    </cfRule>
    <cfRule type="expression" dxfId="1830" priority="96">
      <formula>AND(IF($Q124=2,1,0),IF($X124&lt;30,1,0))</formula>
    </cfRule>
    <cfRule type="expression" dxfId="1829" priority="97">
      <formula>AND(IF($Q124=3,1,0),IF($X124&lt;30,1,0))</formula>
    </cfRule>
    <cfRule type="expression" dxfId="1828" priority="98">
      <formula>AND(IF($Q124=3,1,IF($Q124=4,1,0)),IF($F124&lt;=85,1,0))</formula>
    </cfRule>
  </conditionalFormatting>
  <conditionalFormatting sqref="X124">
    <cfRule type="expression" dxfId="1827" priority="91">
      <formula>AND(IF(OR($Q124=1,$Q124=2),1,0),IF($X124&lt;=20,1,0))</formula>
    </cfRule>
    <cfRule type="expression" dxfId="1826" priority="92">
      <formula>AND(IF($Q124=2,1,0),IF($X124&lt;30,1,0))</formula>
    </cfRule>
    <cfRule type="expression" dxfId="1825" priority="93">
      <formula>AND(IF($Q124=3,1,0),IF($X124&lt;30,1,0))</formula>
    </cfRule>
    <cfRule type="expression" dxfId="1824" priority="94">
      <formula>AND(IF($Q124=3,1,IF($Q124=4,1,0)),IF($F124&lt;=85,1,0))</formula>
    </cfRule>
  </conditionalFormatting>
  <conditionalFormatting sqref="AI124">
    <cfRule type="expression" dxfId="1823" priority="87">
      <formula>AND(IF(OR($Q124=1,$Q124=2),1,0),IF($X124&lt;=20,1,0))</formula>
    </cfRule>
    <cfRule type="expression" dxfId="1822" priority="88">
      <formula>AND(IF($Q124=2,1,0),IF($X124&lt;30,1,0))</formula>
    </cfRule>
    <cfRule type="expression" dxfId="1821" priority="89">
      <formula>AND(IF($Q124=3,1,0),IF($X124&lt;30,1,0))</formula>
    </cfRule>
    <cfRule type="expression" dxfId="1820" priority="90">
      <formula>AND(IF($Q124=3,1,IF($Q124=4,1,0)),IF($F124&lt;=85,1,0))</formula>
    </cfRule>
  </conditionalFormatting>
  <conditionalFormatting sqref="AV125">
    <cfRule type="expression" dxfId="1819" priority="85">
      <formula>AV125="X"</formula>
    </cfRule>
    <cfRule type="expression" dxfId="1818" priority="86">
      <formula>AV125="후보"</formula>
    </cfRule>
  </conditionalFormatting>
  <conditionalFormatting sqref="Z125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 N125">
    <cfRule type="cellIs" dxfId="1817" priority="82" operator="greaterThan">
      <formula>0.9</formula>
    </cfRule>
    <cfRule type="cellIs" dxfId="1816" priority="83" operator="greaterThan">
      <formula>0.85</formula>
    </cfRule>
  </conditionalFormatting>
  <conditionalFormatting sqref="AV126">
    <cfRule type="expression" dxfId="1815" priority="80">
      <formula>AV126="X"</formula>
    </cfRule>
    <cfRule type="expression" dxfId="1814" priority="81">
      <formula>AV126="후보"</formula>
    </cfRule>
  </conditionalFormatting>
  <conditionalFormatting sqref="Z12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813" priority="77" operator="greaterThan">
      <formula>0.9</formula>
    </cfRule>
    <cfRule type="cellIs" dxfId="1812" priority="78" operator="greaterThan">
      <formula>0.85</formula>
    </cfRule>
  </conditionalFormatting>
  <conditionalFormatting sqref="N126">
    <cfRule type="cellIs" dxfId="1811" priority="75" operator="greaterThan">
      <formula>0.9</formula>
    </cfRule>
    <cfRule type="cellIs" dxfId="1810" priority="76" operator="greaterThan">
      <formula>0.85</formula>
    </cfRule>
  </conditionalFormatting>
  <conditionalFormatting sqref="E126">
    <cfRule type="expression" dxfId="1809" priority="71">
      <formula>AND(IF(OR($Q126=1,$Q126=2),1,0),IF($X126&lt;=20,1,0))</formula>
    </cfRule>
    <cfRule type="expression" dxfId="1808" priority="72">
      <formula>AND(IF($Q126=2,1,0),IF($X126&lt;30,1,0))</formula>
    </cfRule>
    <cfRule type="expression" dxfId="1807" priority="73">
      <formula>AND(IF($Q126=3,1,0),IF($X126&lt;30,1,0))</formula>
    </cfRule>
    <cfRule type="expression" dxfId="1806" priority="74">
      <formula>AND(IF($Q126=3,1,IF($Q126=4,1,0)),IF($F126&lt;=85,1,0))</formula>
    </cfRule>
  </conditionalFormatting>
  <conditionalFormatting sqref="X126">
    <cfRule type="expression" dxfId="1805" priority="67">
      <formula>AND(IF(OR($Q126=1,$Q126=2),1,0),IF($X126&lt;=20,1,0))</formula>
    </cfRule>
    <cfRule type="expression" dxfId="1804" priority="68">
      <formula>AND(IF($Q126=2,1,0),IF($X126&lt;30,1,0))</formula>
    </cfRule>
    <cfRule type="expression" dxfId="1803" priority="69">
      <formula>AND(IF($Q126=3,1,0),IF($X126&lt;30,1,0))</formula>
    </cfRule>
    <cfRule type="expression" dxfId="1802" priority="70">
      <formula>AND(IF($Q126=3,1,IF($Q126=4,1,0)),IF($F126&lt;=85,1,0))</formula>
    </cfRule>
  </conditionalFormatting>
  <conditionalFormatting sqref="AI126">
    <cfRule type="expression" dxfId="1801" priority="63">
      <formula>AND(IF(OR($Q126=1,$Q126=2),1,0),IF($X126&lt;=20,1,0))</formula>
    </cfRule>
    <cfRule type="expression" dxfId="1800" priority="64">
      <formula>AND(IF($Q126=2,1,0),IF($X126&lt;30,1,0))</formula>
    </cfRule>
    <cfRule type="expression" dxfId="1799" priority="65">
      <formula>AND(IF($Q126=3,1,0),IF($X126&lt;30,1,0))</formula>
    </cfRule>
    <cfRule type="expression" dxfId="1798" priority="66">
      <formula>AND(IF($Q126=3,1,IF($Q126=4,1,0)),IF($F126&lt;=85,1,0))</formula>
    </cfRule>
  </conditionalFormatting>
  <conditionalFormatting sqref="AV127">
    <cfRule type="expression" dxfId="1797" priority="61">
      <formula>AV127="X"</formula>
    </cfRule>
    <cfRule type="expression" dxfId="1796" priority="62">
      <formula>AV127="후보"</formula>
    </cfRule>
  </conditionalFormatting>
  <conditionalFormatting sqref="Z127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795" priority="58" operator="greaterThan">
      <formula>0.9</formula>
    </cfRule>
    <cfRule type="cellIs" dxfId="1794" priority="59" operator="greaterThan">
      <formula>0.85</formula>
    </cfRule>
  </conditionalFormatting>
  <conditionalFormatting sqref="N127">
    <cfRule type="cellIs" dxfId="1793" priority="56" operator="greaterThan">
      <formula>0.9</formula>
    </cfRule>
    <cfRule type="cellIs" dxfId="1792" priority="57" operator="greaterThan">
      <formula>0.85</formula>
    </cfRule>
  </conditionalFormatting>
  <conditionalFormatting sqref="E127">
    <cfRule type="expression" dxfId="1791" priority="52">
      <formula>AND(IF(OR($Q127=1,$Q127=2),1,0),IF($X127&lt;=20,1,0))</formula>
    </cfRule>
    <cfRule type="expression" dxfId="1790" priority="53">
      <formula>AND(IF($Q127=2,1,0),IF($X127&lt;30,1,0))</formula>
    </cfRule>
    <cfRule type="expression" dxfId="1789" priority="54">
      <formula>AND(IF($Q127=3,1,0),IF($X127&lt;30,1,0))</formula>
    </cfRule>
    <cfRule type="expression" dxfId="1788" priority="55">
      <formula>AND(IF($Q127=3,1,IF($Q127=4,1,0)),IF($F127&lt;=85,1,0))</formula>
    </cfRule>
  </conditionalFormatting>
  <conditionalFormatting sqref="X127">
    <cfRule type="expression" dxfId="1787" priority="48">
      <formula>AND(IF(OR($Q127=1,$Q127=2),1,0),IF($X127&lt;=20,1,0))</formula>
    </cfRule>
    <cfRule type="expression" dxfId="1786" priority="49">
      <formula>AND(IF($Q127=2,1,0),IF($X127&lt;30,1,0))</formula>
    </cfRule>
    <cfRule type="expression" dxfId="1785" priority="50">
      <formula>AND(IF($Q127=3,1,0),IF($X127&lt;30,1,0))</formula>
    </cfRule>
    <cfRule type="expression" dxfId="1784" priority="51">
      <formula>AND(IF($Q127=3,1,IF($Q127=4,1,0)),IF($F127&lt;=85,1,0))</formula>
    </cfRule>
  </conditionalFormatting>
  <conditionalFormatting sqref="AI127">
    <cfRule type="expression" dxfId="1783" priority="44">
      <formula>AND(IF(OR($Q127=1,$Q127=2),1,0),IF($X127&lt;=20,1,0))</formula>
    </cfRule>
    <cfRule type="expression" dxfId="1782" priority="45">
      <formula>AND(IF($Q127=2,1,0),IF($X127&lt;30,1,0))</formula>
    </cfRule>
    <cfRule type="expression" dxfId="1781" priority="46">
      <formula>AND(IF($Q127=3,1,0),IF($X127&lt;30,1,0))</formula>
    </cfRule>
    <cfRule type="expression" dxfId="1780" priority="47">
      <formula>AND(IF($Q127=3,1,IF($Q127=4,1,0)),IF($F127&lt;=85,1,0))</formula>
    </cfRule>
  </conditionalFormatting>
  <conditionalFormatting sqref="AV128">
    <cfRule type="expression" dxfId="1779" priority="42">
      <formula>AV128="X"</formula>
    </cfRule>
    <cfRule type="expression" dxfId="1778" priority="43">
      <formula>AV128="후보"</formula>
    </cfRule>
  </conditionalFormatting>
  <conditionalFormatting sqref="Z128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1777" priority="39" operator="greaterThan">
      <formula>0.9</formula>
    </cfRule>
    <cfRule type="cellIs" dxfId="1776" priority="40" operator="greaterThan">
      <formula>0.85</formula>
    </cfRule>
  </conditionalFormatting>
  <conditionalFormatting sqref="AV129">
    <cfRule type="expression" dxfId="1775" priority="37">
      <formula>AV129="X"</formula>
    </cfRule>
    <cfRule type="expression" dxfId="1774" priority="38">
      <formula>AV129="후보"</formula>
    </cfRule>
  </conditionalFormatting>
  <conditionalFormatting sqref="Z12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773" priority="34" operator="greaterThan">
      <formula>0.9</formula>
    </cfRule>
    <cfRule type="cellIs" dxfId="1772" priority="35" operator="greaterThan">
      <formula>0.85</formula>
    </cfRule>
  </conditionalFormatting>
  <conditionalFormatting sqref="N129">
    <cfRule type="cellIs" dxfId="1771" priority="32" operator="greaterThan">
      <formula>0.9</formula>
    </cfRule>
    <cfRule type="cellIs" dxfId="1770" priority="33" operator="greaterThan">
      <formula>0.85</formula>
    </cfRule>
  </conditionalFormatting>
  <conditionalFormatting sqref="E129">
    <cfRule type="expression" dxfId="1769" priority="28">
      <formula>AND(IF(OR($Q129=1,$Q129=2),1,0),IF($X129&lt;=20,1,0))</formula>
    </cfRule>
    <cfRule type="expression" dxfId="1768" priority="29">
      <formula>AND(IF($Q129=2,1,0),IF($X129&lt;30,1,0))</formula>
    </cfRule>
    <cfRule type="expression" dxfId="1767" priority="30">
      <formula>AND(IF($Q129=3,1,0),IF($X129&lt;30,1,0))</formula>
    </cfRule>
    <cfRule type="expression" dxfId="1766" priority="31">
      <formula>AND(IF($Q129=3,1,IF($Q129=4,1,0)),IF($F129&lt;=85,1,0))</formula>
    </cfRule>
  </conditionalFormatting>
  <conditionalFormatting sqref="X129">
    <cfRule type="expression" dxfId="1765" priority="24">
      <formula>AND(IF(OR($Q129=1,$Q129=2),1,0),IF($X129&lt;=20,1,0))</formula>
    </cfRule>
    <cfRule type="expression" dxfId="1764" priority="25">
      <formula>AND(IF($Q129=2,1,0),IF($X129&lt;30,1,0))</formula>
    </cfRule>
    <cfRule type="expression" dxfId="1763" priority="26">
      <formula>AND(IF($Q129=3,1,0),IF($X129&lt;30,1,0))</formula>
    </cfRule>
    <cfRule type="expression" dxfId="1762" priority="27">
      <formula>AND(IF($Q129=3,1,IF($Q129=4,1,0)),IF($F129&lt;=85,1,0))</formula>
    </cfRule>
  </conditionalFormatting>
  <conditionalFormatting sqref="AI129">
    <cfRule type="expression" dxfId="1761" priority="20">
      <formula>AND(IF(OR($Q129=1,$Q129=2),1,0),IF($X129&lt;=20,1,0))</formula>
    </cfRule>
    <cfRule type="expression" dxfId="1760" priority="21">
      <formula>AND(IF($Q129=2,1,0),IF($X129&lt;30,1,0))</formula>
    </cfRule>
    <cfRule type="expression" dxfId="1759" priority="22">
      <formula>AND(IF($Q129=3,1,0),IF($X129&lt;30,1,0))</formula>
    </cfRule>
    <cfRule type="expression" dxfId="1758" priority="23">
      <formula>AND(IF($Q129=3,1,IF($Q129=4,1,0)),IF($F129&lt;=85,1,0))</formula>
    </cfRule>
  </conditionalFormatting>
  <conditionalFormatting sqref="AV130">
    <cfRule type="expression" dxfId="1757" priority="18">
      <formula>AV130="X"</formula>
    </cfRule>
    <cfRule type="expression" dxfId="1756" priority="19">
      <formula>AV130="후보"</formula>
    </cfRule>
  </conditionalFormatting>
  <conditionalFormatting sqref="Z13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755" priority="15" operator="greaterThan">
      <formula>0.9</formula>
    </cfRule>
    <cfRule type="cellIs" dxfId="1754" priority="16" operator="greaterThan">
      <formula>0.85</formula>
    </cfRule>
  </conditionalFormatting>
  <conditionalFormatting sqref="N130">
    <cfRule type="cellIs" dxfId="1753" priority="13" operator="greaterThan">
      <formula>0.9</formula>
    </cfRule>
    <cfRule type="cellIs" dxfId="1752" priority="14" operator="greaterThan">
      <formula>0.85</formula>
    </cfRule>
  </conditionalFormatting>
  <conditionalFormatting sqref="E130">
    <cfRule type="expression" dxfId="1751" priority="9">
      <formula>AND(IF(OR($Q130=1,$Q130=2),1,0),IF($X130&lt;=20,1,0))</formula>
    </cfRule>
    <cfRule type="expression" dxfId="1750" priority="10">
      <formula>AND(IF($Q130=2,1,0),IF($X130&lt;30,1,0))</formula>
    </cfRule>
    <cfRule type="expression" dxfId="1749" priority="11">
      <formula>AND(IF($Q130=3,1,0),IF($X130&lt;30,1,0))</formula>
    </cfRule>
    <cfRule type="expression" dxfId="1748" priority="12">
      <formula>AND(IF($Q130=3,1,IF($Q130=4,1,0)),IF($F130&lt;=85,1,0))</formula>
    </cfRule>
  </conditionalFormatting>
  <conditionalFormatting sqref="X130">
    <cfRule type="expression" dxfId="1747" priority="5">
      <formula>AND(IF(OR($Q130=1,$Q130=2),1,0),IF($X130&lt;=20,1,0))</formula>
    </cfRule>
    <cfRule type="expression" dxfId="1746" priority="6">
      <formula>AND(IF($Q130=2,1,0),IF($X130&lt;30,1,0))</formula>
    </cfRule>
    <cfRule type="expression" dxfId="1745" priority="7">
      <formula>AND(IF($Q130=3,1,0),IF($X130&lt;30,1,0))</formula>
    </cfRule>
    <cfRule type="expression" dxfId="1744" priority="8">
      <formula>AND(IF($Q130=3,1,IF($Q130=4,1,0)),IF($F130&lt;=85,1,0))</formula>
    </cfRule>
  </conditionalFormatting>
  <conditionalFormatting sqref="AI130">
    <cfRule type="expression" dxfId="1743" priority="1">
      <formula>AND(IF(OR($Q130=1,$Q130=2),1,0),IF($X130&lt;=20,1,0))</formula>
    </cfRule>
    <cfRule type="expression" dxfId="1742" priority="2">
      <formula>AND(IF($Q130=2,1,0),IF($X130&lt;30,1,0))</formula>
    </cfRule>
    <cfRule type="expression" dxfId="1741" priority="3">
      <formula>AND(IF($Q130=3,1,0),IF($X130&lt;30,1,0))</formula>
    </cfRule>
    <cfRule type="expression" dxfId="1740" priority="4">
      <formula>AND(IF($Q130=3,1,IF($Q130=4,1,0)),IF($F130&lt;=85,1,0))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12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효성동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1547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효성동 태산('97.10.,1178^)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1548</v>
      </c>
      <c r="B6" s="16" t="s">
        <v>1441</v>
      </c>
      <c r="C6" s="28">
        <v>1178</v>
      </c>
      <c r="D6" s="25">
        <v>78.3</v>
      </c>
      <c r="E6" s="106">
        <v>24</v>
      </c>
      <c r="F6" s="25">
        <v>60</v>
      </c>
      <c r="G6" s="27">
        <v>18</v>
      </c>
      <c r="H6" s="28">
        <v>524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64</v>
      </c>
      <c r="T6" s="8">
        <v>78</v>
      </c>
      <c r="U6" s="13"/>
      <c r="W6" s="25">
        <f>D6</f>
        <v>78.3</v>
      </c>
      <c r="X6" s="106">
        <f>E6</f>
        <v>24</v>
      </c>
      <c r="Y6" s="32">
        <f>H6</f>
        <v>524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태산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1548</v>
      </c>
      <c r="B7" s="16" t="s">
        <v>1441</v>
      </c>
      <c r="C7" s="28">
        <v>1178</v>
      </c>
      <c r="D7" s="25">
        <v>109.4</v>
      </c>
      <c r="E7" s="106">
        <v>33</v>
      </c>
      <c r="F7" s="25">
        <v>84.8</v>
      </c>
      <c r="G7" s="27">
        <v>26</v>
      </c>
      <c r="H7" s="28">
        <v>654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>
        <v>109</v>
      </c>
      <c r="U7" s="13"/>
      <c r="W7" s="25">
        <f>D7</f>
        <v>109.4</v>
      </c>
      <c r="X7" s="106">
        <f>E7</f>
        <v>33</v>
      </c>
      <c r="Y7" s="32">
        <f>H7</f>
        <v>654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태산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효성동 백영('96.05.,208^)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1549</v>
      </c>
      <c r="B9" s="16" t="s">
        <v>1550</v>
      </c>
      <c r="C9" s="28">
        <v>208</v>
      </c>
      <c r="D9" s="25">
        <v>85.4</v>
      </c>
      <c r="E9" s="106">
        <v>26</v>
      </c>
      <c r="F9" s="25">
        <v>60</v>
      </c>
      <c r="G9" s="27">
        <v>18</v>
      </c>
      <c r="H9" s="28">
        <v>133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64</v>
      </c>
      <c r="T9" s="8">
        <v>85</v>
      </c>
      <c r="U9" s="13"/>
      <c r="W9" s="25">
        <f>D9</f>
        <v>85.4</v>
      </c>
      <c r="X9" s="106">
        <f>E9</f>
        <v>26</v>
      </c>
      <c r="Y9" s="32">
        <f>H9</f>
        <v>133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백영</v>
      </c>
      <c r="AI9" s="106">
        <f>IF(E9="","",E9)</f>
        <v>26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1549</v>
      </c>
      <c r="B10" s="16" t="s">
        <v>1550</v>
      </c>
      <c r="C10" s="28">
        <v>208</v>
      </c>
      <c r="D10" s="25">
        <v>88.3</v>
      </c>
      <c r="E10" s="106">
        <v>27</v>
      </c>
      <c r="F10" s="25">
        <v>60</v>
      </c>
      <c r="G10" s="27">
        <v>18</v>
      </c>
      <c r="H10" s="28">
        <v>75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1384</v>
      </c>
      <c r="T10" s="8">
        <v>88</v>
      </c>
      <c r="U10" s="13"/>
      <c r="W10" s="25">
        <f>D10</f>
        <v>88.3</v>
      </c>
      <c r="X10" s="106">
        <f>E10</f>
        <v>27</v>
      </c>
      <c r="Y10" s="32">
        <f>H10</f>
        <v>75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복</v>
      </c>
      <c r="AF10" s="15" t="str">
        <f>Q10&amp;"/"&amp;R10</f>
        <v>3/1</v>
      </c>
      <c r="AH10" s="36" t="str">
        <f>IF(A10="","",A10)</f>
        <v>백영</v>
      </c>
      <c r="AI10" s="106">
        <f>IF(E10="","",E10)</f>
        <v>27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효성동 현대3차('92.11.,374^)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1496</v>
      </c>
      <c r="B12" s="16" t="s">
        <v>1497</v>
      </c>
      <c r="C12" s="28">
        <v>374</v>
      </c>
      <c r="D12" s="25">
        <v>79.2</v>
      </c>
      <c r="E12" s="106">
        <v>24</v>
      </c>
      <c r="F12" s="25">
        <v>55.3</v>
      </c>
      <c r="G12" s="27">
        <v>17</v>
      </c>
      <c r="H12" s="28">
        <v>36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64</v>
      </c>
      <c r="T12" s="8">
        <v>79</v>
      </c>
      <c r="U12" s="13"/>
      <c r="W12" s="25">
        <f>D12</f>
        <v>79.2</v>
      </c>
      <c r="X12" s="106">
        <f>E12</f>
        <v>24</v>
      </c>
      <c r="Y12" s="32">
        <f>H12</f>
        <v>36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2/1</v>
      </c>
      <c r="AH12" s="36" t="str">
        <f>IF(A12="","",A12)</f>
        <v>현대3차</v>
      </c>
      <c r="AI12" s="106">
        <f>IF(E12="","",E12)</f>
        <v>24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1496</v>
      </c>
      <c r="B13" s="16" t="s">
        <v>1497</v>
      </c>
      <c r="C13" s="28">
        <v>374</v>
      </c>
      <c r="D13" s="25">
        <v>87.4</v>
      </c>
      <c r="E13" s="106">
        <v>26</v>
      </c>
      <c r="F13" s="25">
        <v>71.5</v>
      </c>
      <c r="G13" s="27">
        <v>22</v>
      </c>
      <c r="H13" s="28">
        <v>72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64</v>
      </c>
      <c r="T13" s="8">
        <v>87</v>
      </c>
      <c r="U13" s="13"/>
      <c r="W13" s="25">
        <f>D13</f>
        <v>87.4</v>
      </c>
      <c r="X13" s="106">
        <f>E13</f>
        <v>26</v>
      </c>
      <c r="Y13" s="32">
        <f>H13</f>
        <v>72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현대3차</v>
      </c>
      <c r="AI13" s="106">
        <f>IF(E13="","",E13)</f>
        <v>26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1496</v>
      </c>
      <c r="B14" s="16" t="s">
        <v>1497</v>
      </c>
      <c r="C14" s="28">
        <v>374</v>
      </c>
      <c r="D14" s="25">
        <v>102.4</v>
      </c>
      <c r="E14" s="106">
        <v>31</v>
      </c>
      <c r="F14" s="25">
        <v>85</v>
      </c>
      <c r="G14" s="27">
        <v>26</v>
      </c>
      <c r="H14" s="28">
        <v>266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64</v>
      </c>
      <c r="T14" s="8">
        <v>102</v>
      </c>
      <c r="U14" s="13"/>
      <c r="W14" s="25">
        <f>D14</f>
        <v>102.4</v>
      </c>
      <c r="X14" s="106">
        <f>E14</f>
        <v>31</v>
      </c>
      <c r="Y14" s="32">
        <f>H14</f>
        <v>266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현대3차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효성동 현대2차('92.11.,340^)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1551</v>
      </c>
      <c r="B16" s="16" t="s">
        <v>1497</v>
      </c>
      <c r="C16" s="28">
        <v>340</v>
      </c>
      <c r="D16" s="25">
        <v>102.1</v>
      </c>
      <c r="E16" s="106">
        <v>31</v>
      </c>
      <c r="F16" s="25">
        <v>84.9</v>
      </c>
      <c r="G16" s="27">
        <v>26</v>
      </c>
      <c r="H16" s="28">
        <v>240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64</v>
      </c>
      <c r="T16" s="8">
        <v>102</v>
      </c>
      <c r="U16" s="13"/>
      <c r="W16" s="25">
        <f>D16</f>
        <v>102.1</v>
      </c>
      <c r="X16" s="106">
        <f>E16</f>
        <v>31</v>
      </c>
      <c r="Y16" s="32">
        <f>H16</f>
        <v>240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현대2차</v>
      </c>
      <c r="AI16" s="106">
        <f>IF(E16="","",E16)</f>
        <v>31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1551</v>
      </c>
      <c r="B17" s="16" t="s">
        <v>1497</v>
      </c>
      <c r="C17" s="28">
        <v>340</v>
      </c>
      <c r="D17" s="25">
        <v>155</v>
      </c>
      <c r="E17" s="106">
        <v>47</v>
      </c>
      <c r="F17" s="25">
        <v>129</v>
      </c>
      <c r="G17" s="27">
        <v>39</v>
      </c>
      <c r="H17" s="28">
        <v>100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64</v>
      </c>
      <c r="T17" s="8">
        <v>155</v>
      </c>
      <c r="U17" s="13"/>
      <c r="W17" s="25">
        <f>D17</f>
        <v>155</v>
      </c>
      <c r="X17" s="106">
        <f>E17</f>
        <v>47</v>
      </c>
      <c r="Y17" s="32">
        <f>H17</f>
        <v>100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현대2차</v>
      </c>
      <c r="AI17" s="106">
        <f>IF(E17="","",E17)</f>
        <v>47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효성동 하나('96.09.,498^)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1371</v>
      </c>
      <c r="B19" s="16" t="s">
        <v>1552</v>
      </c>
      <c r="C19" s="28">
        <v>498</v>
      </c>
      <c r="D19" s="25">
        <v>79.099999999999994</v>
      </c>
      <c r="E19" s="106">
        <v>24</v>
      </c>
      <c r="F19" s="25">
        <v>59.8</v>
      </c>
      <c r="G19" s="27">
        <v>18</v>
      </c>
      <c r="H19" s="28">
        <v>250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64</v>
      </c>
      <c r="T19" s="8">
        <v>79</v>
      </c>
      <c r="U19" s="13"/>
      <c r="W19" s="25">
        <f>D19</f>
        <v>79.099999999999994</v>
      </c>
      <c r="X19" s="106">
        <f>E19</f>
        <v>24</v>
      </c>
      <c r="Y19" s="32">
        <f>H19</f>
        <v>250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하나</v>
      </c>
      <c r="AI19" s="106">
        <f>IF(E19="","",E19)</f>
        <v>24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1371</v>
      </c>
      <c r="B20" s="16" t="s">
        <v>1552</v>
      </c>
      <c r="C20" s="28">
        <v>498</v>
      </c>
      <c r="D20" s="25">
        <v>107</v>
      </c>
      <c r="E20" s="106">
        <v>32</v>
      </c>
      <c r="F20" s="25">
        <v>84.9</v>
      </c>
      <c r="G20" s="27">
        <v>26</v>
      </c>
      <c r="H20" s="28">
        <v>176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64</v>
      </c>
      <c r="T20" s="8">
        <v>107</v>
      </c>
      <c r="U20" s="13"/>
      <c r="W20" s="25">
        <f>D20</f>
        <v>107</v>
      </c>
      <c r="X20" s="106">
        <f>E20</f>
        <v>32</v>
      </c>
      <c r="Y20" s="32">
        <f>H20</f>
        <v>176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하나</v>
      </c>
      <c r="AI20" s="106">
        <f>IF(E20="","",E20)</f>
        <v>32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1371</v>
      </c>
      <c r="B21" s="16" t="s">
        <v>1552</v>
      </c>
      <c r="C21" s="28">
        <v>498</v>
      </c>
      <c r="D21" s="25">
        <v>130.19999999999999</v>
      </c>
      <c r="E21" s="106">
        <v>39</v>
      </c>
      <c r="F21" s="25">
        <v>104.5</v>
      </c>
      <c r="G21" s="27">
        <v>32</v>
      </c>
      <c r="H21" s="28">
        <v>72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64</v>
      </c>
      <c r="T21" s="8">
        <v>130</v>
      </c>
      <c r="U21" s="13"/>
      <c r="W21" s="25">
        <f>D21</f>
        <v>130.19999999999999</v>
      </c>
      <c r="X21" s="106">
        <f>E21</f>
        <v>39</v>
      </c>
      <c r="Y21" s="32">
        <f>H21</f>
        <v>72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하나</v>
      </c>
      <c r="AI21" s="106">
        <f>IF(E21="","",E21)</f>
        <v>39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효성동 새사미('85.01.,280^)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1553</v>
      </c>
      <c r="B23" s="16" t="s">
        <v>1554</v>
      </c>
      <c r="C23" s="28">
        <v>280</v>
      </c>
      <c r="D23" s="25">
        <v>61.4</v>
      </c>
      <c r="E23" s="106">
        <v>19</v>
      </c>
      <c r="F23" s="25">
        <v>48.9</v>
      </c>
      <c r="G23" s="27">
        <v>15</v>
      </c>
      <c r="H23" s="28">
        <v>140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64</v>
      </c>
      <c r="T23" s="8">
        <v>61</v>
      </c>
      <c r="U23" s="13"/>
      <c r="W23" s="25">
        <f>D23</f>
        <v>61.4</v>
      </c>
      <c r="X23" s="106">
        <f>E23</f>
        <v>19</v>
      </c>
      <c r="Y23" s="32">
        <f>H23</f>
        <v>140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새사미</v>
      </c>
      <c r="AI23" s="106">
        <f>IF(E23="","",E23)</f>
        <v>19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1553</v>
      </c>
      <c r="B24" s="16" t="s">
        <v>1554</v>
      </c>
      <c r="C24" s="28">
        <v>280</v>
      </c>
      <c r="D24" s="25">
        <v>71.400000000000006</v>
      </c>
      <c r="E24" s="106">
        <v>22</v>
      </c>
      <c r="F24" s="25">
        <v>57.8</v>
      </c>
      <c r="G24" s="27">
        <v>17</v>
      </c>
      <c r="H24" s="28">
        <v>140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64</v>
      </c>
      <c r="T24" s="8">
        <v>71</v>
      </c>
      <c r="U24" s="13"/>
      <c r="W24" s="25">
        <f>D24</f>
        <v>71.400000000000006</v>
      </c>
      <c r="X24" s="106">
        <f>E24</f>
        <v>22</v>
      </c>
      <c r="Y24" s="32">
        <f>H24</f>
        <v>140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새사미</v>
      </c>
      <c r="AI24" s="106">
        <f>IF(E24="","",E24)</f>
        <v>22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효성동 뉴서울6차('95.05.,370^)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1555</v>
      </c>
      <c r="B26" s="16" t="s">
        <v>1556</v>
      </c>
      <c r="C26" s="28">
        <v>370</v>
      </c>
      <c r="D26" s="25">
        <v>76.8</v>
      </c>
      <c r="E26" s="106">
        <v>23</v>
      </c>
      <c r="F26" s="25">
        <v>59.8</v>
      </c>
      <c r="G26" s="27">
        <v>18</v>
      </c>
      <c r="H26" s="28">
        <v>224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64</v>
      </c>
      <c r="T26" s="8">
        <v>76</v>
      </c>
      <c r="U26" s="13"/>
      <c r="W26" s="25">
        <f>D26</f>
        <v>76.8</v>
      </c>
      <c r="X26" s="106">
        <f>E26</f>
        <v>23</v>
      </c>
      <c r="Y26" s="32">
        <f>H26</f>
        <v>224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뉴서울6차</v>
      </c>
      <c r="AI26" s="106">
        <f>IF(E26="","",E26)</f>
        <v>23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1555</v>
      </c>
      <c r="B27" s="16" t="s">
        <v>1556</v>
      </c>
      <c r="C27" s="28">
        <v>370</v>
      </c>
      <c r="D27" s="25">
        <v>95.3</v>
      </c>
      <c r="E27" s="106">
        <v>29</v>
      </c>
      <c r="F27" s="25">
        <v>75.7</v>
      </c>
      <c r="G27" s="27">
        <v>23</v>
      </c>
      <c r="H27" s="28">
        <v>20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64</v>
      </c>
      <c r="T27" s="8">
        <v>95</v>
      </c>
      <c r="U27" s="13"/>
      <c r="W27" s="25">
        <f>D27</f>
        <v>95.3</v>
      </c>
      <c r="X27" s="106">
        <f>E27</f>
        <v>29</v>
      </c>
      <c r="Y27" s="32">
        <f>H27</f>
        <v>20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3/1</v>
      </c>
      <c r="AH27" s="36" t="str">
        <f>IF(A27="","",A27)</f>
        <v>뉴서울6차</v>
      </c>
      <c r="AI27" s="106">
        <f>IF(E27="","",E27)</f>
        <v>29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1555</v>
      </c>
      <c r="B28" s="16" t="s">
        <v>1556</v>
      </c>
      <c r="C28" s="28">
        <v>370</v>
      </c>
      <c r="D28" s="25">
        <v>103.8</v>
      </c>
      <c r="E28" s="106">
        <v>31</v>
      </c>
      <c r="F28" s="25">
        <v>85</v>
      </c>
      <c r="G28" s="27">
        <v>26</v>
      </c>
      <c r="H28" s="28">
        <v>126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64</v>
      </c>
      <c r="T28" s="8">
        <v>103</v>
      </c>
      <c r="U28" s="13"/>
      <c r="W28" s="25">
        <f>D28</f>
        <v>103.8</v>
      </c>
      <c r="X28" s="106">
        <f>E28</f>
        <v>31</v>
      </c>
      <c r="Y28" s="32">
        <f>H28</f>
        <v>126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뉴서울6차</v>
      </c>
      <c r="AI28" s="106">
        <f>IF(E28="","",E28)</f>
        <v>31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효성동 효성대림('99.09.,298^)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1557</v>
      </c>
      <c r="B30" s="16" t="s">
        <v>1558</v>
      </c>
      <c r="C30" s="28">
        <v>298</v>
      </c>
      <c r="D30" s="25">
        <v>74.5</v>
      </c>
      <c r="E30" s="106">
        <v>23</v>
      </c>
      <c r="F30" s="25">
        <v>52.2</v>
      </c>
      <c r="G30" s="27">
        <v>16</v>
      </c>
      <c r="H30" s="28">
        <v>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64</v>
      </c>
      <c r="T30" s="8">
        <v>74</v>
      </c>
      <c r="U30" s="13"/>
      <c r="W30" s="25">
        <f>D30</f>
        <v>74.5</v>
      </c>
      <c r="X30" s="106">
        <f>E30</f>
        <v>23</v>
      </c>
      <c r="Y30" s="32">
        <f>H30</f>
        <v>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효성대림</v>
      </c>
      <c r="AI30" s="106">
        <f>IF(E30="","",E30)</f>
        <v>23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X</v>
      </c>
      <c r="AV30" s="113" t="str">
        <f>IF(AO30="","",IF(AND(AO30="O",AP30="O",AR30="O",AT30="O",AU30="O"),"후보","X"))</f>
        <v/>
      </c>
    </row>
    <row r="31" spans="1:48" x14ac:dyDescent="0.3">
      <c r="A31" s="5" t="s">
        <v>1557</v>
      </c>
      <c r="B31" s="16" t="s">
        <v>1558</v>
      </c>
      <c r="C31" s="28">
        <v>298</v>
      </c>
      <c r="D31" s="25">
        <v>81.5</v>
      </c>
      <c r="E31" s="106">
        <v>25</v>
      </c>
      <c r="F31" s="25">
        <v>59.2</v>
      </c>
      <c r="G31" s="27">
        <v>18</v>
      </c>
      <c r="H31" s="28">
        <v>123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64</v>
      </c>
      <c r="T31" s="8">
        <v>81</v>
      </c>
      <c r="U31" s="13"/>
      <c r="W31" s="25">
        <f>D31</f>
        <v>81.5</v>
      </c>
      <c r="X31" s="106">
        <f>E31</f>
        <v>25</v>
      </c>
      <c r="Y31" s="32">
        <f>H31</f>
        <v>123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효성대림</v>
      </c>
      <c r="AI31" s="106">
        <f>IF(E31="","",E31)</f>
        <v>25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X</v>
      </c>
      <c r="AV31" s="113" t="str">
        <f>IF(AO31="","",IF(AND(AO31="O",AP31="O",AR31="O",AT31="O",AU31="O"),"후보","X"))</f>
        <v/>
      </c>
    </row>
    <row r="32" spans="1:48" x14ac:dyDescent="0.3">
      <c r="A32" s="5" t="s">
        <v>1557</v>
      </c>
      <c r="B32" s="16" t="s">
        <v>1558</v>
      </c>
      <c r="C32" s="28">
        <v>298</v>
      </c>
      <c r="D32" s="25">
        <v>108.9</v>
      </c>
      <c r="E32" s="106">
        <v>33</v>
      </c>
      <c r="F32" s="25">
        <v>84</v>
      </c>
      <c r="G32" s="27">
        <v>25</v>
      </c>
      <c r="H32" s="28">
        <v>137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64</v>
      </c>
      <c r="T32" s="8" t="s">
        <v>1161</v>
      </c>
      <c r="U32" s="13"/>
      <c r="W32" s="25">
        <f>D32</f>
        <v>108.9</v>
      </c>
      <c r="X32" s="106">
        <f>E32</f>
        <v>33</v>
      </c>
      <c r="Y32" s="32">
        <f>H32</f>
        <v>137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효성대림</v>
      </c>
      <c r="AI32" s="106">
        <f>IF(E32="","",E32)</f>
        <v>33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1557</v>
      </c>
      <c r="B33" s="16" t="s">
        <v>1558</v>
      </c>
      <c r="C33" s="28">
        <v>298</v>
      </c>
      <c r="D33" s="25">
        <v>110</v>
      </c>
      <c r="E33" s="106">
        <v>33</v>
      </c>
      <c r="F33" s="25">
        <v>84.1</v>
      </c>
      <c r="G33" s="27">
        <v>25</v>
      </c>
      <c r="H33" s="28">
        <v>36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64</v>
      </c>
      <c r="T33" s="8" t="s">
        <v>431</v>
      </c>
      <c r="U33" s="13"/>
      <c r="W33" s="25">
        <f>D33</f>
        <v>110</v>
      </c>
      <c r="X33" s="106">
        <f>E33</f>
        <v>33</v>
      </c>
      <c r="Y33" s="32">
        <f>H33</f>
        <v>36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효성대림</v>
      </c>
      <c r="AI33" s="106">
        <f>IF(E33="","",E33)</f>
        <v>33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효성동 중앙하이츠('96.11.,375^)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1559</v>
      </c>
      <c r="B35" s="16" t="s">
        <v>1560</v>
      </c>
      <c r="C35" s="28">
        <v>375</v>
      </c>
      <c r="D35" s="25">
        <v>81</v>
      </c>
      <c r="E35" s="106">
        <v>24</v>
      </c>
      <c r="F35" s="25">
        <v>60</v>
      </c>
      <c r="G35" s="27">
        <v>18</v>
      </c>
      <c r="H35" s="28">
        <v>194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1384</v>
      </c>
      <c r="T35" s="8">
        <v>80</v>
      </c>
      <c r="U35" s="13"/>
      <c r="W35" s="25">
        <f>D35</f>
        <v>81</v>
      </c>
      <c r="X35" s="106">
        <f>E35</f>
        <v>24</v>
      </c>
      <c r="Y35" s="32">
        <f>H35</f>
        <v>194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복</v>
      </c>
      <c r="AF35" s="15" t="str">
        <f>Q35&amp;"/"&amp;R35</f>
        <v>3/1</v>
      </c>
      <c r="AH35" s="36" t="str">
        <f>IF(A35="","",A35)</f>
        <v>중앙하이츠</v>
      </c>
      <c r="AI35" s="106">
        <f>IF(E35="","",E35)</f>
        <v>24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1559</v>
      </c>
      <c r="B36" s="16" t="s">
        <v>1560</v>
      </c>
      <c r="C36" s="28">
        <v>375</v>
      </c>
      <c r="D36" s="25">
        <v>107.4</v>
      </c>
      <c r="E36" s="106">
        <v>33</v>
      </c>
      <c r="F36" s="25">
        <v>84.9</v>
      </c>
      <c r="G36" s="27">
        <v>26</v>
      </c>
      <c r="H36" s="28">
        <v>164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64</v>
      </c>
      <c r="T36" s="8">
        <v>107</v>
      </c>
      <c r="U36" s="13"/>
      <c r="W36" s="25">
        <f>D36</f>
        <v>107.4</v>
      </c>
      <c r="X36" s="106">
        <f>E36</f>
        <v>33</v>
      </c>
      <c r="Y36" s="32">
        <f>H36</f>
        <v>164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중앙하이츠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1559</v>
      </c>
      <c r="B37" s="16" t="s">
        <v>1560</v>
      </c>
      <c r="C37" s="28">
        <v>375</v>
      </c>
      <c r="D37" s="25">
        <v>116.7</v>
      </c>
      <c r="E37" s="106">
        <v>35</v>
      </c>
      <c r="F37" s="25">
        <v>89.2</v>
      </c>
      <c r="G37" s="27">
        <v>27</v>
      </c>
      <c r="H37" s="28">
        <v>17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64</v>
      </c>
      <c r="T37" s="8">
        <v>116</v>
      </c>
      <c r="U37" s="13"/>
      <c r="W37" s="25">
        <f>D37</f>
        <v>116.7</v>
      </c>
      <c r="X37" s="106">
        <f>E37</f>
        <v>35</v>
      </c>
      <c r="Y37" s="32">
        <f>H37</f>
        <v>17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중앙하이츠</v>
      </c>
      <c r="AI37" s="106">
        <f>IF(E37="","",E37)</f>
        <v>35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효성동 미도('85.01.,205^)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1516</v>
      </c>
      <c r="B39" s="16" t="s">
        <v>1554</v>
      </c>
      <c r="C39" s="28">
        <v>205</v>
      </c>
      <c r="D39" s="25">
        <v>54.5</v>
      </c>
      <c r="E39" s="106">
        <v>16</v>
      </c>
      <c r="F39" s="25">
        <v>46</v>
      </c>
      <c r="G39" s="27">
        <v>14</v>
      </c>
      <c r="H39" s="28">
        <v>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64</v>
      </c>
      <c r="T39" s="8">
        <v>54</v>
      </c>
      <c r="U39" s="13"/>
      <c r="W39" s="25">
        <f>D39</f>
        <v>54.5</v>
      </c>
      <c r="X39" s="106">
        <f>E39</f>
        <v>16</v>
      </c>
      <c r="Y39" s="32">
        <f>H39</f>
        <v>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2/1</v>
      </c>
      <c r="AH39" s="36" t="str">
        <f>IF(A39="","",A39)</f>
        <v>미도</v>
      </c>
      <c r="AI39" s="106">
        <f>IF(E39="","",E39)</f>
        <v>16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5" t="s">
        <v>1516</v>
      </c>
      <c r="B40" s="16" t="s">
        <v>1554</v>
      </c>
      <c r="C40" s="28">
        <v>205</v>
      </c>
      <c r="D40" s="25">
        <v>71</v>
      </c>
      <c r="E40" s="106">
        <v>21</v>
      </c>
      <c r="F40" s="25">
        <v>59.9</v>
      </c>
      <c r="G40" s="27">
        <v>18</v>
      </c>
      <c r="H40" s="28">
        <v>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64</v>
      </c>
      <c r="T40" s="8">
        <v>71</v>
      </c>
      <c r="U40" s="13"/>
      <c r="W40" s="25">
        <f>D40</f>
        <v>71</v>
      </c>
      <c r="X40" s="106">
        <f>E40</f>
        <v>21</v>
      </c>
      <c r="Y40" s="32">
        <f>H40</f>
        <v>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미도</v>
      </c>
      <c r="AI40" s="106">
        <f>IF(E40="","",E40)</f>
        <v>21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1516</v>
      </c>
      <c r="B41" s="16" t="s">
        <v>1554</v>
      </c>
      <c r="C41" s="28">
        <v>205</v>
      </c>
      <c r="D41" s="25">
        <v>78.400000000000006</v>
      </c>
      <c r="E41" s="106">
        <v>24</v>
      </c>
      <c r="F41" s="25">
        <v>66</v>
      </c>
      <c r="G41" s="27">
        <v>20</v>
      </c>
      <c r="H41" s="28">
        <v>70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64</v>
      </c>
      <c r="T41" s="8">
        <v>78</v>
      </c>
      <c r="U41" s="13"/>
      <c r="W41" s="25">
        <f>D41</f>
        <v>78.400000000000006</v>
      </c>
      <c r="X41" s="106">
        <f>E41</f>
        <v>24</v>
      </c>
      <c r="Y41" s="32">
        <f>H41</f>
        <v>70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2/1</v>
      </c>
      <c r="AH41" s="36" t="str">
        <f>IF(A41="","",A41)</f>
        <v>미도</v>
      </c>
      <c r="AI41" s="106">
        <f>IF(E41="","",E41)</f>
        <v>24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1516</v>
      </c>
      <c r="B42" s="16" t="s">
        <v>1554</v>
      </c>
      <c r="C42" s="28">
        <v>205</v>
      </c>
      <c r="D42" s="25">
        <v>80.8</v>
      </c>
      <c r="E42" s="106">
        <v>24</v>
      </c>
      <c r="F42" s="25">
        <v>68</v>
      </c>
      <c r="G42" s="27">
        <v>21</v>
      </c>
      <c r="H42" s="28">
        <v>40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64</v>
      </c>
      <c r="T42" s="8">
        <v>80</v>
      </c>
      <c r="U42" s="13"/>
      <c r="W42" s="25">
        <f>D42</f>
        <v>80.8</v>
      </c>
      <c r="X42" s="106">
        <f>E42</f>
        <v>24</v>
      </c>
      <c r="Y42" s="32">
        <f>H42</f>
        <v>40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미도</v>
      </c>
      <c r="AI42" s="106">
        <f>IF(E42="","",E42)</f>
        <v>24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5" t="s">
        <v>1516</v>
      </c>
      <c r="B43" s="16" t="s">
        <v>1554</v>
      </c>
      <c r="C43" s="28">
        <v>205</v>
      </c>
      <c r="D43" s="25">
        <v>85.2</v>
      </c>
      <c r="E43" s="106">
        <v>26</v>
      </c>
      <c r="F43" s="25">
        <v>71.599999999999994</v>
      </c>
      <c r="G43" s="27">
        <v>22</v>
      </c>
      <c r="H43" s="28">
        <v>20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2</v>
      </c>
      <c r="R43" s="15">
        <v>1</v>
      </c>
      <c r="S43" s="113" t="s">
        <v>64</v>
      </c>
      <c r="T43" s="8">
        <v>85</v>
      </c>
      <c r="U43" s="13"/>
      <c r="W43" s="25">
        <f>D43</f>
        <v>85.2</v>
      </c>
      <c r="X43" s="106">
        <f>E43</f>
        <v>26</v>
      </c>
      <c r="Y43" s="32">
        <f>H43</f>
        <v>20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2/1</v>
      </c>
      <c r="AH43" s="36" t="str">
        <f>IF(A43="","",A43)</f>
        <v>미도</v>
      </c>
      <c r="AI43" s="106">
        <f>IF(E43="","",E43)</f>
        <v>26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X</v>
      </c>
      <c r="AV43" s="113" t="str">
        <f>IF(AO43="","",IF(AND(AO43="O",AP43="O",AR43="O",AT43="O",AU43="O"),"후보","X"))</f>
        <v/>
      </c>
    </row>
    <row r="44" spans="1:48" x14ac:dyDescent="0.3">
      <c r="A44" s="5" t="s">
        <v>1516</v>
      </c>
      <c r="B44" s="16" t="s">
        <v>1554</v>
      </c>
      <c r="C44" s="28">
        <v>205</v>
      </c>
      <c r="D44" s="25">
        <v>94.8</v>
      </c>
      <c r="E44" s="106">
        <v>29</v>
      </c>
      <c r="F44" s="25">
        <v>79.7</v>
      </c>
      <c r="G44" s="27">
        <v>24</v>
      </c>
      <c r="H44" s="28">
        <v>60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64</v>
      </c>
      <c r="T44" s="8">
        <v>94</v>
      </c>
      <c r="U44" s="13"/>
      <c r="W44" s="25">
        <f>D44</f>
        <v>94.8</v>
      </c>
      <c r="X44" s="106">
        <f>E44</f>
        <v>29</v>
      </c>
      <c r="Y44" s="32">
        <f>H44</f>
        <v>60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3/1</v>
      </c>
      <c r="AH44" s="36" t="str">
        <f>IF(A44="","",A44)</f>
        <v>미도</v>
      </c>
      <c r="AI44" s="106">
        <f>IF(E44="","",E44)</f>
        <v>29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X</v>
      </c>
      <c r="AV44" s="113" t="str">
        <f>IF(AO44="","",IF(AND(AO44="O",AP44="O",AR44="O",AT44="O",AU44="O"),"후보","X"))</f>
        <v/>
      </c>
    </row>
    <row r="45" spans="1:48" x14ac:dyDescent="0.3">
      <c r="A45" s="5" t="s">
        <v>1516</v>
      </c>
      <c r="B45" s="16" t="s">
        <v>1554</v>
      </c>
      <c r="C45" s="28">
        <v>205</v>
      </c>
      <c r="D45" s="25">
        <v>106.6</v>
      </c>
      <c r="E45" s="106">
        <v>32</v>
      </c>
      <c r="F45" s="25">
        <v>89.6</v>
      </c>
      <c r="G45" s="27">
        <v>27</v>
      </c>
      <c r="H45" s="28">
        <v>5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64</v>
      </c>
      <c r="T45" s="8">
        <v>106</v>
      </c>
      <c r="U45" s="13"/>
      <c r="W45" s="25">
        <f>D45</f>
        <v>106.6</v>
      </c>
      <c r="X45" s="106">
        <f>E45</f>
        <v>32</v>
      </c>
      <c r="Y45" s="32">
        <f>H45</f>
        <v>5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미도</v>
      </c>
      <c r="AI45" s="106">
        <f>IF(E45="","",E45)</f>
        <v>32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X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효성동 뉴서울5차('94.12.,648^)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1561</v>
      </c>
      <c r="B47" s="16" t="s">
        <v>1562</v>
      </c>
      <c r="C47" s="28">
        <v>648</v>
      </c>
      <c r="D47" s="25">
        <v>74.599999999999994</v>
      </c>
      <c r="E47" s="106">
        <v>23</v>
      </c>
      <c r="F47" s="25">
        <v>59.7</v>
      </c>
      <c r="G47" s="27">
        <v>18</v>
      </c>
      <c r="H47" s="28">
        <v>260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64</v>
      </c>
      <c r="T47" s="8">
        <v>74</v>
      </c>
      <c r="U47" s="13"/>
      <c r="W47" s="25">
        <f>D47</f>
        <v>74.599999999999994</v>
      </c>
      <c r="X47" s="106">
        <f>E47</f>
        <v>23</v>
      </c>
      <c r="Y47" s="32">
        <f>H47</f>
        <v>260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뉴서울5차</v>
      </c>
      <c r="AI47" s="106">
        <f>IF(E47="","",E47)</f>
        <v>23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1561</v>
      </c>
      <c r="B48" s="16" t="s">
        <v>1562</v>
      </c>
      <c r="C48" s="28">
        <v>648</v>
      </c>
      <c r="D48" s="25">
        <v>105.5</v>
      </c>
      <c r="E48" s="106">
        <v>32</v>
      </c>
      <c r="F48" s="25">
        <v>84.4</v>
      </c>
      <c r="G48" s="27">
        <v>26</v>
      </c>
      <c r="H48" s="28">
        <v>388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>
        <v>105</v>
      </c>
      <c r="U48" s="13"/>
      <c r="W48" s="25">
        <f>D48</f>
        <v>105.5</v>
      </c>
      <c r="X48" s="106">
        <f>E48</f>
        <v>32</v>
      </c>
      <c r="Y48" s="32">
        <f>H48</f>
        <v>388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뉴서울5차</v>
      </c>
      <c r="AI48" s="106">
        <f>IF(E48="","",E48)</f>
        <v>32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효성동 유승그린('96.11.,279^)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1563</v>
      </c>
      <c r="B50" s="16" t="s">
        <v>1560</v>
      </c>
      <c r="C50" s="28">
        <v>279</v>
      </c>
      <c r="D50" s="25">
        <v>84.1</v>
      </c>
      <c r="E50" s="106">
        <v>25</v>
      </c>
      <c r="F50" s="25">
        <v>59.9</v>
      </c>
      <c r="G50" s="27">
        <v>18</v>
      </c>
      <c r="H50" s="28">
        <v>279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1</v>
      </c>
      <c r="S50" s="113" t="s">
        <v>1384</v>
      </c>
      <c r="T50" s="8">
        <v>84</v>
      </c>
      <c r="U50" s="13"/>
      <c r="W50" s="25">
        <f>D50</f>
        <v>84.1</v>
      </c>
      <c r="X50" s="106">
        <f>E50</f>
        <v>25</v>
      </c>
      <c r="Y50" s="32">
        <f>H50</f>
        <v>279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복</v>
      </c>
      <c r="AF50" s="15" t="str">
        <f>Q50&amp;"/"&amp;R50</f>
        <v>3/1</v>
      </c>
      <c r="AH50" s="36" t="str">
        <f>IF(A50="","",A50)</f>
        <v>유승그린</v>
      </c>
      <c r="AI50" s="106">
        <f>IF(E50="","",E50)</f>
        <v>25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효성동 뉴서울1차('85.06.,460^)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1528</v>
      </c>
      <c r="B52" s="16" t="s">
        <v>1564</v>
      </c>
      <c r="C52" s="28">
        <v>460</v>
      </c>
      <c r="D52" s="25">
        <v>56.5</v>
      </c>
      <c r="E52" s="106">
        <v>17</v>
      </c>
      <c r="F52" s="25">
        <v>40.299999999999997</v>
      </c>
      <c r="G52" s="27">
        <v>12</v>
      </c>
      <c r="H52" s="28">
        <v>50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64</v>
      </c>
      <c r="T52" s="8">
        <v>56</v>
      </c>
      <c r="U52" s="13"/>
      <c r="W52" s="25">
        <f>D52</f>
        <v>56.5</v>
      </c>
      <c r="X52" s="106">
        <f>E52</f>
        <v>17</v>
      </c>
      <c r="Y52" s="32">
        <f>H52</f>
        <v>50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2/1</v>
      </c>
      <c r="AH52" s="36" t="str">
        <f>IF(A52="","",A52)</f>
        <v>뉴서울1차</v>
      </c>
      <c r="AI52" s="106">
        <f>IF(E52="","",E52)</f>
        <v>17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1528</v>
      </c>
      <c r="B53" s="16" t="s">
        <v>1564</v>
      </c>
      <c r="C53" s="28">
        <v>460</v>
      </c>
      <c r="D53" s="25">
        <v>58.5</v>
      </c>
      <c r="E53" s="106">
        <v>18</v>
      </c>
      <c r="F53" s="25">
        <v>41.7</v>
      </c>
      <c r="G53" s="27">
        <v>13</v>
      </c>
      <c r="H53" s="28">
        <v>150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64</v>
      </c>
      <c r="T53" s="8">
        <v>58</v>
      </c>
      <c r="U53" s="13"/>
      <c r="W53" s="25">
        <f>D53</f>
        <v>58.5</v>
      </c>
      <c r="X53" s="106">
        <f>E53</f>
        <v>18</v>
      </c>
      <c r="Y53" s="32">
        <f>H53</f>
        <v>150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3/1</v>
      </c>
      <c r="AH53" s="36" t="str">
        <f>IF(A53="","",A53)</f>
        <v>뉴서울1차</v>
      </c>
      <c r="AI53" s="106">
        <f>IF(E53="","",E53)</f>
        <v>18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1528</v>
      </c>
      <c r="B54" s="16" t="s">
        <v>1564</v>
      </c>
      <c r="C54" s="28">
        <v>460</v>
      </c>
      <c r="D54" s="25">
        <v>61.4</v>
      </c>
      <c r="E54" s="106">
        <v>19</v>
      </c>
      <c r="F54" s="25">
        <v>44</v>
      </c>
      <c r="G54" s="27">
        <v>13</v>
      </c>
      <c r="H54" s="28">
        <v>90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64</v>
      </c>
      <c r="T54" s="8">
        <v>61</v>
      </c>
      <c r="U54" s="13"/>
      <c r="W54" s="25">
        <f>D54</f>
        <v>61.4</v>
      </c>
      <c r="X54" s="106">
        <f>E54</f>
        <v>19</v>
      </c>
      <c r="Y54" s="32">
        <f>H54</f>
        <v>90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뉴서울1차</v>
      </c>
      <c r="AI54" s="106">
        <f>IF(E54="","",E54)</f>
        <v>19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1528</v>
      </c>
      <c r="B55" s="16" t="s">
        <v>1564</v>
      </c>
      <c r="C55" s="28">
        <v>460</v>
      </c>
      <c r="D55" s="25">
        <v>67.400000000000006</v>
      </c>
      <c r="E55" s="106">
        <v>20</v>
      </c>
      <c r="F55" s="25">
        <v>49</v>
      </c>
      <c r="G55" s="27">
        <v>15</v>
      </c>
      <c r="H55" s="28">
        <v>100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64</v>
      </c>
      <c r="T55" s="8">
        <v>67</v>
      </c>
      <c r="U55" s="13"/>
      <c r="W55" s="25">
        <f>D55</f>
        <v>67.400000000000006</v>
      </c>
      <c r="X55" s="106">
        <f>E55</f>
        <v>20</v>
      </c>
      <c r="Y55" s="32">
        <f>H55</f>
        <v>100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뉴서울1차</v>
      </c>
      <c r="AI55" s="106">
        <f>IF(E55="","",E55)</f>
        <v>20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1528</v>
      </c>
      <c r="B56" s="16" t="s">
        <v>1564</v>
      </c>
      <c r="C56" s="28">
        <v>460</v>
      </c>
      <c r="D56" s="25">
        <v>70.5</v>
      </c>
      <c r="E56" s="106">
        <v>21</v>
      </c>
      <c r="F56" s="25">
        <v>51.6</v>
      </c>
      <c r="G56" s="27">
        <v>16</v>
      </c>
      <c r="H56" s="28">
        <v>70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64</v>
      </c>
      <c r="T56" s="8">
        <v>70</v>
      </c>
      <c r="U56" s="13"/>
      <c r="W56" s="25">
        <f>D56</f>
        <v>70.5</v>
      </c>
      <c r="X56" s="106">
        <f>E56</f>
        <v>21</v>
      </c>
      <c r="Y56" s="32">
        <f>H56</f>
        <v>70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뉴서울1차</v>
      </c>
      <c r="AI56" s="106">
        <f>IF(E56="","",E56)</f>
        <v>21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효성동 풍림('97.07.,342^)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1565</v>
      </c>
      <c r="B58" s="16" t="s">
        <v>1348</v>
      </c>
      <c r="C58" s="28">
        <v>342</v>
      </c>
      <c r="D58" s="25">
        <v>81.2</v>
      </c>
      <c r="E58" s="106">
        <v>25</v>
      </c>
      <c r="F58" s="25">
        <v>60</v>
      </c>
      <c r="G58" s="27">
        <v>18</v>
      </c>
      <c r="H58" s="28">
        <v>130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64</v>
      </c>
      <c r="T58" s="8">
        <v>81</v>
      </c>
      <c r="U58" s="13"/>
      <c r="W58" s="25">
        <f>D58</f>
        <v>81.2</v>
      </c>
      <c r="X58" s="106">
        <f>E58</f>
        <v>25</v>
      </c>
      <c r="Y58" s="32">
        <f>H58</f>
        <v>130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3/1</v>
      </c>
      <c r="AH58" s="36" t="str">
        <f>IF(A58="","",A58)</f>
        <v>풍림</v>
      </c>
      <c r="AI58" s="106">
        <f>IF(E58="","",E58)</f>
        <v>25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1565</v>
      </c>
      <c r="B59" s="16" t="s">
        <v>1348</v>
      </c>
      <c r="C59" s="28">
        <v>342</v>
      </c>
      <c r="D59" s="25">
        <v>108.6</v>
      </c>
      <c r="E59" s="106">
        <v>33</v>
      </c>
      <c r="F59" s="25">
        <v>84.9</v>
      </c>
      <c r="G59" s="27">
        <v>26</v>
      </c>
      <c r="H59" s="28">
        <v>156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>
        <v>108</v>
      </c>
      <c r="U59" s="13"/>
      <c r="W59" s="25">
        <f>D59</f>
        <v>108.6</v>
      </c>
      <c r="X59" s="106">
        <f>E59</f>
        <v>33</v>
      </c>
      <c r="Y59" s="32">
        <f>H59</f>
        <v>156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풍림</v>
      </c>
      <c r="AI59" s="106">
        <f>IF(E59="","",E59)</f>
        <v>33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1565</v>
      </c>
      <c r="B60" s="16" t="s">
        <v>1348</v>
      </c>
      <c r="C60" s="28">
        <v>342</v>
      </c>
      <c r="D60" s="25">
        <v>137.4</v>
      </c>
      <c r="E60" s="106">
        <v>42</v>
      </c>
      <c r="F60" s="25">
        <v>111</v>
      </c>
      <c r="G60" s="27">
        <v>34</v>
      </c>
      <c r="H60" s="28">
        <v>6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64</v>
      </c>
      <c r="T60" s="8">
        <v>137</v>
      </c>
      <c r="U60" s="13"/>
      <c r="W60" s="25">
        <f>D60</f>
        <v>137.4</v>
      </c>
      <c r="X60" s="106">
        <f>E60</f>
        <v>42</v>
      </c>
      <c r="Y60" s="32">
        <f>H60</f>
        <v>6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풍림</v>
      </c>
      <c r="AI60" s="106">
        <f>IF(E60="","",E60)</f>
        <v>42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1565</v>
      </c>
      <c r="B61" s="16" t="s">
        <v>1348</v>
      </c>
      <c r="C61" s="28">
        <v>342</v>
      </c>
      <c r="D61" s="25">
        <v>144.69999999999999</v>
      </c>
      <c r="E61" s="106">
        <v>44</v>
      </c>
      <c r="F61" s="25">
        <v>117.7</v>
      </c>
      <c r="G61" s="27">
        <v>36</v>
      </c>
      <c r="H61" s="28">
        <v>40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64</v>
      </c>
      <c r="T61" s="8">
        <v>144</v>
      </c>
      <c r="U61" s="13"/>
      <c r="W61" s="25">
        <f>D61</f>
        <v>144.69999999999999</v>
      </c>
      <c r="X61" s="106">
        <f>E61</f>
        <v>44</v>
      </c>
      <c r="Y61" s="32">
        <f>H61</f>
        <v>40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풍림</v>
      </c>
      <c r="AI61" s="106">
        <f>IF(E61="","",E61)</f>
        <v>44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1565</v>
      </c>
      <c r="B62" s="16" t="s">
        <v>1348</v>
      </c>
      <c r="C62" s="28">
        <v>342</v>
      </c>
      <c r="D62" s="25">
        <v>186.5</v>
      </c>
      <c r="E62" s="106">
        <v>56</v>
      </c>
      <c r="F62" s="25">
        <v>155.6</v>
      </c>
      <c r="G62" s="27">
        <v>47</v>
      </c>
      <c r="H62" s="28">
        <v>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3</v>
      </c>
      <c r="S62" s="113" t="s">
        <v>64</v>
      </c>
      <c r="T62" s="8">
        <v>186</v>
      </c>
      <c r="U62" s="13"/>
      <c r="W62" s="25">
        <f>D62</f>
        <v>186.5</v>
      </c>
      <c r="X62" s="106">
        <f>E62</f>
        <v>56</v>
      </c>
      <c r="Y62" s="32">
        <f>H62</f>
        <v>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4/3</v>
      </c>
      <c r="AH62" s="36" t="str">
        <f>IF(A62="","",A62)</f>
        <v>풍림</v>
      </c>
      <c r="AI62" s="106">
        <f>IF(E62="","",E62)</f>
        <v>56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1565</v>
      </c>
      <c r="B63" s="16" t="s">
        <v>1348</v>
      </c>
      <c r="C63" s="28">
        <v>342</v>
      </c>
      <c r="D63" s="25">
        <v>239.7</v>
      </c>
      <c r="E63" s="106">
        <v>72</v>
      </c>
      <c r="F63" s="25">
        <v>203.9</v>
      </c>
      <c r="G63" s="27">
        <v>62</v>
      </c>
      <c r="H63" s="28">
        <v>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7</v>
      </c>
      <c r="R63" s="15">
        <v>4</v>
      </c>
      <c r="S63" s="113" t="s">
        <v>64</v>
      </c>
      <c r="T63" s="8">
        <v>239</v>
      </c>
      <c r="U63" s="13"/>
      <c r="W63" s="25">
        <f>D63</f>
        <v>239.7</v>
      </c>
      <c r="X63" s="106">
        <f>E63</f>
        <v>72</v>
      </c>
      <c r="Y63" s="32">
        <f>H63</f>
        <v>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7/4</v>
      </c>
      <c r="AH63" s="36" t="str">
        <f>IF(A63="","",A63)</f>
        <v>풍림</v>
      </c>
      <c r="AI63" s="106">
        <f>IF(E63="","",E63)</f>
        <v>72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효성동 동아('86.05.,270^)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1566</v>
      </c>
      <c r="B65" s="16" t="s">
        <v>1567</v>
      </c>
      <c r="C65" s="28">
        <v>270</v>
      </c>
      <c r="D65" s="25">
        <v>57.5</v>
      </c>
      <c r="E65" s="106">
        <v>17</v>
      </c>
      <c r="F65" s="25">
        <v>45.2</v>
      </c>
      <c r="G65" s="27">
        <v>14</v>
      </c>
      <c r="H65" s="28">
        <v>140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64</v>
      </c>
      <c r="T65" s="8">
        <v>57</v>
      </c>
      <c r="U65" s="13"/>
      <c r="W65" s="25">
        <f>D65</f>
        <v>57.5</v>
      </c>
      <c r="X65" s="106">
        <f>E65</f>
        <v>17</v>
      </c>
      <c r="Y65" s="32">
        <f>H65</f>
        <v>140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2/1</v>
      </c>
      <c r="AH65" s="36" t="str">
        <f>IF(A65="","",A65)</f>
        <v>동아</v>
      </c>
      <c r="AI65" s="106">
        <f>IF(E65="","",E65)</f>
        <v>17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1566</v>
      </c>
      <c r="B66" s="16" t="s">
        <v>1567</v>
      </c>
      <c r="C66" s="28">
        <v>270</v>
      </c>
      <c r="D66" s="25">
        <v>66.5</v>
      </c>
      <c r="E66" s="106">
        <v>20</v>
      </c>
      <c r="F66" s="25">
        <v>52.9</v>
      </c>
      <c r="G66" s="27">
        <v>16</v>
      </c>
      <c r="H66" s="28">
        <v>120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1</v>
      </c>
      <c r="S66" s="113" t="s">
        <v>64</v>
      </c>
      <c r="T66" s="8">
        <v>66</v>
      </c>
      <c r="U66" s="13"/>
      <c r="W66" s="25">
        <f>D66</f>
        <v>66.5</v>
      </c>
      <c r="X66" s="106">
        <f>E66</f>
        <v>20</v>
      </c>
      <c r="Y66" s="32">
        <f>H66</f>
        <v>120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3/1</v>
      </c>
      <c r="AH66" s="36" t="str">
        <f>IF(A66="","",A66)</f>
        <v>동아</v>
      </c>
      <c r="AI66" s="106">
        <f>IF(E66="","",E66)</f>
        <v>20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5" t="s">
        <v>1566</v>
      </c>
      <c r="B67" s="16" t="s">
        <v>1567</v>
      </c>
      <c r="C67" s="28">
        <v>270</v>
      </c>
      <c r="D67" s="25">
        <v>71</v>
      </c>
      <c r="E67" s="106">
        <v>21</v>
      </c>
      <c r="F67" s="25">
        <v>52.1</v>
      </c>
      <c r="G67" s="27">
        <v>16</v>
      </c>
      <c r="H67" s="28">
        <v>5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2</v>
      </c>
      <c r="R67" s="15">
        <v>1</v>
      </c>
      <c r="S67" s="113" t="s">
        <v>1568</v>
      </c>
      <c r="T67" s="8">
        <v>70</v>
      </c>
      <c r="U67" s="13"/>
      <c r="W67" s="25">
        <f>D67</f>
        <v>71</v>
      </c>
      <c r="X67" s="106">
        <f>E67</f>
        <v>21</v>
      </c>
      <c r="Y67" s="32">
        <f>H67</f>
        <v>5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합</v>
      </c>
      <c r="AF67" s="15" t="str">
        <f>Q67&amp;"/"&amp;R67</f>
        <v>2/1</v>
      </c>
      <c r="AH67" s="36" t="str">
        <f>IF(A67="","",A67)</f>
        <v>동아</v>
      </c>
      <c r="AI67" s="106">
        <f>IF(E67="","",E67)</f>
        <v>21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X</v>
      </c>
      <c r="AV67" s="113" t="str">
        <f>IF(AO67="","",IF(AND(AO67="O",AP67="O",AR67="O",AT67="O",AU67="O"),"후보","X"))</f>
        <v/>
      </c>
    </row>
    <row r="68" spans="1:48" x14ac:dyDescent="0.3">
      <c r="A68" s="5" t="s">
        <v>1566</v>
      </c>
      <c r="B68" s="16" t="s">
        <v>1567</v>
      </c>
      <c r="C68" s="28">
        <v>270</v>
      </c>
      <c r="D68" s="25">
        <v>77.599999999999994</v>
      </c>
      <c r="E68" s="106">
        <v>23</v>
      </c>
      <c r="F68" s="25">
        <v>58.3</v>
      </c>
      <c r="G68" s="27">
        <v>18</v>
      </c>
      <c r="H68" s="28">
        <v>5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64</v>
      </c>
      <c r="T68" s="8">
        <v>77</v>
      </c>
      <c r="U68" s="13"/>
      <c r="W68" s="25">
        <f>D68</f>
        <v>77.599999999999994</v>
      </c>
      <c r="X68" s="106">
        <f>E68</f>
        <v>23</v>
      </c>
      <c r="Y68" s="32">
        <f>H68</f>
        <v>5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3/1</v>
      </c>
      <c r="AH68" s="36" t="str">
        <f>IF(A68="","",A68)</f>
        <v>동아</v>
      </c>
      <c r="AI68" s="106">
        <f>IF(E68="","",E68)</f>
        <v>23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X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효성동 경남1차('87.07.,310^)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1569</v>
      </c>
      <c r="B70" s="16" t="s">
        <v>1570</v>
      </c>
      <c r="C70" s="28">
        <v>310</v>
      </c>
      <c r="D70" s="25">
        <v>61.6</v>
      </c>
      <c r="E70" s="106">
        <v>19</v>
      </c>
      <c r="F70" s="25">
        <v>49.9</v>
      </c>
      <c r="G70" s="27">
        <v>15</v>
      </c>
      <c r="H70" s="28">
        <v>290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1</v>
      </c>
      <c r="S70" s="113" t="s">
        <v>64</v>
      </c>
      <c r="T70" s="8">
        <v>61</v>
      </c>
      <c r="U70" s="13"/>
      <c r="W70" s="25">
        <f>D70</f>
        <v>61.6</v>
      </c>
      <c r="X70" s="106">
        <f>E70</f>
        <v>19</v>
      </c>
      <c r="Y70" s="32">
        <f>H70</f>
        <v>290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2/1</v>
      </c>
      <c r="AH70" s="36" t="str">
        <f>IF(A70="","",A70)</f>
        <v>경남1차</v>
      </c>
      <c r="AI70" s="106">
        <f>IF(E70="","",E70)</f>
        <v>19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1569</v>
      </c>
      <c r="B71" s="16" t="s">
        <v>1570</v>
      </c>
      <c r="C71" s="28">
        <v>310</v>
      </c>
      <c r="D71" s="25">
        <v>72.2</v>
      </c>
      <c r="E71" s="106">
        <v>22</v>
      </c>
      <c r="F71" s="25">
        <v>59.4</v>
      </c>
      <c r="G71" s="27">
        <v>18</v>
      </c>
      <c r="H71" s="28">
        <v>20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64</v>
      </c>
      <c r="T71" s="8">
        <v>72</v>
      </c>
      <c r="U71" s="13"/>
      <c r="W71" s="25">
        <f>D71</f>
        <v>72.2</v>
      </c>
      <c r="X71" s="106">
        <f>E71</f>
        <v>22</v>
      </c>
      <c r="Y71" s="32">
        <f>H71</f>
        <v>20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3/1</v>
      </c>
      <c r="AH71" s="36" t="str">
        <f>IF(A71="","",A71)</f>
        <v>경남1차</v>
      </c>
      <c r="AI71" s="106">
        <f>IF(E71="","",E71)</f>
        <v>22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효성동 뉴서울3차('93.08.,542^)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1571</v>
      </c>
      <c r="B73" s="16" t="s">
        <v>1572</v>
      </c>
      <c r="C73" s="28">
        <v>542</v>
      </c>
      <c r="D73" s="25">
        <v>105.8</v>
      </c>
      <c r="E73" s="106">
        <v>32</v>
      </c>
      <c r="F73" s="25">
        <v>84.7</v>
      </c>
      <c r="G73" s="27">
        <v>26</v>
      </c>
      <c r="H73" s="28">
        <v>432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>
        <v>105</v>
      </c>
      <c r="U73" s="13"/>
      <c r="W73" s="25">
        <f>D73</f>
        <v>105.8</v>
      </c>
      <c r="X73" s="106">
        <f>E73</f>
        <v>32</v>
      </c>
      <c r="Y73" s="32">
        <f>H73</f>
        <v>432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뉴서울3차</v>
      </c>
      <c r="AI73" s="106">
        <f>IF(E73="","",E73)</f>
        <v>32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1571</v>
      </c>
      <c r="B74" s="16" t="s">
        <v>1572</v>
      </c>
      <c r="C74" s="28">
        <v>542</v>
      </c>
      <c r="D74" s="25">
        <v>109.1</v>
      </c>
      <c r="E74" s="106">
        <v>33</v>
      </c>
      <c r="F74" s="25">
        <v>84.5</v>
      </c>
      <c r="G74" s="27">
        <v>26</v>
      </c>
      <c r="H74" s="28">
        <v>110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1</v>
      </c>
      <c r="S74" s="113" t="s">
        <v>1384</v>
      </c>
      <c r="T74" s="8">
        <v>109</v>
      </c>
      <c r="U74" s="13"/>
      <c r="W74" s="25">
        <f>D74</f>
        <v>109.1</v>
      </c>
      <c r="X74" s="106">
        <f>E74</f>
        <v>33</v>
      </c>
      <c r="Y74" s="32">
        <f>H74</f>
        <v>110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복</v>
      </c>
      <c r="AF74" s="15" t="str">
        <f>Q74&amp;"/"&amp;R74</f>
        <v>3/1</v>
      </c>
      <c r="AH74" s="36" t="str">
        <f>IF(A74="","",A74)</f>
        <v>뉴서울3차</v>
      </c>
      <c r="AI74" s="106">
        <f>IF(E74="","",E74)</f>
        <v>33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효성동 현대1차('91.11.,874^)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1495</v>
      </c>
      <c r="B76" s="16" t="s">
        <v>1573</v>
      </c>
      <c r="C76" s="28">
        <v>874</v>
      </c>
      <c r="D76" s="25">
        <v>86.8</v>
      </c>
      <c r="E76" s="106">
        <v>26</v>
      </c>
      <c r="F76" s="25">
        <v>71.2</v>
      </c>
      <c r="G76" s="27">
        <v>22</v>
      </c>
      <c r="H76" s="28">
        <v>234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64</v>
      </c>
      <c r="T76" s="8" t="s">
        <v>1038</v>
      </c>
      <c r="U76" s="13"/>
      <c r="W76" s="25">
        <f>D76</f>
        <v>86.8</v>
      </c>
      <c r="X76" s="106">
        <f>E76</f>
        <v>26</v>
      </c>
      <c r="Y76" s="32">
        <f>H76</f>
        <v>234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현대1차</v>
      </c>
      <c r="AI76" s="106">
        <f>IF(E76="","",E76)</f>
        <v>26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1495</v>
      </c>
      <c r="B77" s="16" t="s">
        <v>1573</v>
      </c>
      <c r="C77" s="28">
        <v>874</v>
      </c>
      <c r="D77" s="25">
        <v>86.8</v>
      </c>
      <c r="E77" s="106">
        <v>26</v>
      </c>
      <c r="F77" s="25">
        <v>71.2</v>
      </c>
      <c r="G77" s="27">
        <v>22</v>
      </c>
      <c r="H77" s="28">
        <v>3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 t="s">
        <v>1229</v>
      </c>
      <c r="U77" s="13"/>
      <c r="W77" s="25">
        <f>D77</f>
        <v>86.8</v>
      </c>
      <c r="X77" s="106">
        <f>E77</f>
        <v>26</v>
      </c>
      <c r="Y77" s="32">
        <f>H77</f>
        <v>3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현대1차</v>
      </c>
      <c r="AI77" s="106">
        <f>IF(E77="","",E77)</f>
        <v>26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1495</v>
      </c>
      <c r="B78" s="16" t="s">
        <v>1573</v>
      </c>
      <c r="C78" s="28">
        <v>874</v>
      </c>
      <c r="D78" s="25">
        <v>103.6</v>
      </c>
      <c r="E78" s="106">
        <v>31</v>
      </c>
      <c r="F78" s="25">
        <v>84.9</v>
      </c>
      <c r="G78" s="27">
        <v>26</v>
      </c>
      <c r="H78" s="28">
        <v>517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>
        <v>103</v>
      </c>
      <c r="U78" s="13"/>
      <c r="W78" s="25">
        <f>D78</f>
        <v>103.6</v>
      </c>
      <c r="X78" s="106">
        <f>E78</f>
        <v>31</v>
      </c>
      <c r="Y78" s="32">
        <f>H78</f>
        <v>517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현대1차</v>
      </c>
      <c r="AI78" s="106">
        <f>IF(E78="","",E78)</f>
        <v>31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1495</v>
      </c>
      <c r="B79" s="16" t="s">
        <v>1573</v>
      </c>
      <c r="C79" s="28">
        <v>874</v>
      </c>
      <c r="D79" s="25">
        <v>158.30000000000001</v>
      </c>
      <c r="E79" s="106">
        <v>48</v>
      </c>
      <c r="F79" s="25">
        <v>129.69999999999999</v>
      </c>
      <c r="G79" s="27">
        <v>39</v>
      </c>
      <c r="H79" s="28">
        <v>120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64</v>
      </c>
      <c r="T79" s="8">
        <v>158</v>
      </c>
      <c r="U79" s="13"/>
      <c r="W79" s="25">
        <f>D79</f>
        <v>158.30000000000001</v>
      </c>
      <c r="X79" s="106">
        <f>E79</f>
        <v>48</v>
      </c>
      <c r="Y79" s="32">
        <f>H79</f>
        <v>120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현대1차</v>
      </c>
      <c r="AI79" s="106">
        <f>IF(E79="","",E79)</f>
        <v>48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효성동 현대4차('95.12.,919^)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1574</v>
      </c>
      <c r="B81" s="16" t="s">
        <v>1575</v>
      </c>
      <c r="C81" s="28">
        <v>919</v>
      </c>
      <c r="D81" s="25">
        <v>74.8</v>
      </c>
      <c r="E81" s="106">
        <v>23</v>
      </c>
      <c r="F81" s="25">
        <v>59.4</v>
      </c>
      <c r="G81" s="27">
        <v>18</v>
      </c>
      <c r="H81" s="28">
        <v>375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1</v>
      </c>
      <c r="S81" s="113" t="s">
        <v>1384</v>
      </c>
      <c r="T81" s="8">
        <v>74</v>
      </c>
      <c r="U81" s="13"/>
      <c r="W81" s="25">
        <f>D81</f>
        <v>74.8</v>
      </c>
      <c r="X81" s="106">
        <f>E81</f>
        <v>23</v>
      </c>
      <c r="Y81" s="32">
        <f>H81</f>
        <v>375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복</v>
      </c>
      <c r="AF81" s="15" t="str">
        <f>Q81&amp;"/"&amp;R81</f>
        <v>3/1</v>
      </c>
      <c r="AH81" s="36" t="str">
        <f>IF(A81="","",A81)</f>
        <v>현대4차</v>
      </c>
      <c r="AI81" s="106">
        <f>IF(E81="","",E81)</f>
        <v>23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1574</v>
      </c>
      <c r="B82" s="16" t="s">
        <v>1575</v>
      </c>
      <c r="C82" s="28">
        <v>919</v>
      </c>
      <c r="D82" s="25">
        <v>75.099999999999994</v>
      </c>
      <c r="E82" s="106">
        <v>23</v>
      </c>
      <c r="F82" s="25">
        <v>59.6</v>
      </c>
      <c r="G82" s="27">
        <v>18</v>
      </c>
      <c r="H82" s="28">
        <v>25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1</v>
      </c>
      <c r="S82" s="113" t="s">
        <v>1384</v>
      </c>
      <c r="T82" s="8" t="s">
        <v>1235</v>
      </c>
      <c r="U82" s="13"/>
      <c r="W82" s="25">
        <f>D82</f>
        <v>75.099999999999994</v>
      </c>
      <c r="X82" s="106">
        <f>E82</f>
        <v>23</v>
      </c>
      <c r="Y82" s="32">
        <f>H82</f>
        <v>25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복</v>
      </c>
      <c r="AF82" s="15" t="str">
        <f>Q82&amp;"/"&amp;R82</f>
        <v>3/1</v>
      </c>
      <c r="AH82" s="36" t="str">
        <f>IF(A82="","",A82)</f>
        <v>현대4차</v>
      </c>
      <c r="AI82" s="106">
        <f>IF(E82="","",E82)</f>
        <v>23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1574</v>
      </c>
      <c r="B83" s="16" t="s">
        <v>1575</v>
      </c>
      <c r="C83" s="28">
        <v>919</v>
      </c>
      <c r="D83" s="25">
        <v>105.9</v>
      </c>
      <c r="E83" s="106">
        <v>32</v>
      </c>
      <c r="F83" s="25">
        <v>84.1</v>
      </c>
      <c r="G83" s="27">
        <v>25</v>
      </c>
      <c r="H83" s="28">
        <v>25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 t="s">
        <v>860</v>
      </c>
      <c r="U83" s="13"/>
      <c r="W83" s="25">
        <f>D83</f>
        <v>105.9</v>
      </c>
      <c r="X83" s="106">
        <f>E83</f>
        <v>32</v>
      </c>
      <c r="Y83" s="32">
        <f>H83</f>
        <v>25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현대4차</v>
      </c>
      <c r="AI83" s="106">
        <f>IF(E83="","",E83)</f>
        <v>32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1574</v>
      </c>
      <c r="B84" s="16" t="s">
        <v>1575</v>
      </c>
      <c r="C84" s="28">
        <v>919</v>
      </c>
      <c r="D84" s="25">
        <v>106.5</v>
      </c>
      <c r="E84" s="106">
        <v>32</v>
      </c>
      <c r="F84" s="25">
        <v>84.6</v>
      </c>
      <c r="G84" s="27">
        <v>26</v>
      </c>
      <c r="H84" s="28">
        <v>394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>
        <v>106</v>
      </c>
      <c r="U84" s="13"/>
      <c r="W84" s="25">
        <f>D84</f>
        <v>106.5</v>
      </c>
      <c r="X84" s="106">
        <f>E84</f>
        <v>32</v>
      </c>
      <c r="Y84" s="32">
        <f>H84</f>
        <v>394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현대4차</v>
      </c>
      <c r="AI84" s="106">
        <f>IF(E84="","",E84)</f>
        <v>32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1574</v>
      </c>
      <c r="B85" s="16" t="s">
        <v>1575</v>
      </c>
      <c r="C85" s="28">
        <v>919</v>
      </c>
      <c r="D85" s="25">
        <v>167.3</v>
      </c>
      <c r="E85" s="106">
        <v>51</v>
      </c>
      <c r="F85" s="25">
        <v>132.9</v>
      </c>
      <c r="G85" s="27">
        <v>40</v>
      </c>
      <c r="H85" s="28">
        <v>100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64</v>
      </c>
      <c r="T85" s="8">
        <v>167</v>
      </c>
      <c r="U85" s="13"/>
      <c r="W85" s="25">
        <f>D85</f>
        <v>167.3</v>
      </c>
      <c r="X85" s="106">
        <f>E85</f>
        <v>51</v>
      </c>
      <c r="Y85" s="32">
        <f>H85</f>
        <v>100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현대4차</v>
      </c>
      <c r="AI85" s="106">
        <f>IF(E85="","",E85)</f>
        <v>51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효성동 신진('84.12.,285^)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1510</v>
      </c>
      <c r="B87" s="16" t="s">
        <v>1576</v>
      </c>
      <c r="C87" s="28">
        <v>285</v>
      </c>
      <c r="D87" s="25">
        <v>63.9</v>
      </c>
      <c r="E87" s="106">
        <v>19</v>
      </c>
      <c r="F87" s="25">
        <v>53.3</v>
      </c>
      <c r="G87" s="27">
        <v>16</v>
      </c>
      <c r="H87" s="28">
        <v>80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1</v>
      </c>
      <c r="S87" s="113" t="s">
        <v>64</v>
      </c>
      <c r="T87" s="8">
        <v>63</v>
      </c>
      <c r="U87" s="13"/>
      <c r="W87" s="25">
        <f>D87</f>
        <v>63.9</v>
      </c>
      <c r="X87" s="106">
        <f>E87</f>
        <v>19</v>
      </c>
      <c r="Y87" s="32">
        <f>H87</f>
        <v>80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3/1</v>
      </c>
      <c r="AH87" s="36" t="str">
        <f>IF(A87="","",A87)</f>
        <v>신진</v>
      </c>
      <c r="AI87" s="106">
        <f>IF(E87="","",E87)</f>
        <v>19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X</v>
      </c>
      <c r="AV87" s="113" t="str">
        <f>IF(AO87="","",IF(AND(AO87="O",AP87="O",AR87="O",AT87="O",AU87="O"),"후보","X"))</f>
        <v/>
      </c>
    </row>
    <row r="88" spans="1:48" x14ac:dyDescent="0.3">
      <c r="A88" s="5" t="s">
        <v>1510</v>
      </c>
      <c r="B88" s="16" t="s">
        <v>1576</v>
      </c>
      <c r="C88" s="28">
        <v>285</v>
      </c>
      <c r="D88" s="25">
        <v>73.7</v>
      </c>
      <c r="E88" s="106">
        <v>22</v>
      </c>
      <c r="F88" s="25">
        <v>61.4</v>
      </c>
      <c r="G88" s="27">
        <v>19</v>
      </c>
      <c r="H88" s="28">
        <v>70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1</v>
      </c>
      <c r="S88" s="113" t="s">
        <v>64</v>
      </c>
      <c r="T88" s="8">
        <v>73</v>
      </c>
      <c r="U88" s="13"/>
      <c r="W88" s="25">
        <f>D88</f>
        <v>73.7</v>
      </c>
      <c r="X88" s="106">
        <f>E88</f>
        <v>22</v>
      </c>
      <c r="Y88" s="32">
        <f>H88</f>
        <v>70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3/1</v>
      </c>
      <c r="AH88" s="36" t="str">
        <f>IF(A88="","",A88)</f>
        <v>신진</v>
      </c>
      <c r="AI88" s="106">
        <f>IF(E88="","",E88)</f>
        <v>22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X</v>
      </c>
      <c r="AV88" s="113" t="str">
        <f>IF(AO88="","",IF(AND(AO88="O",AP88="O",AR88="O",AT88="O",AU88="O"),"후보","X"))</f>
        <v/>
      </c>
    </row>
    <row r="89" spans="1:48" x14ac:dyDescent="0.3">
      <c r="A89" s="5" t="s">
        <v>1510</v>
      </c>
      <c r="B89" s="16" t="s">
        <v>1576</v>
      </c>
      <c r="C89" s="28">
        <v>285</v>
      </c>
      <c r="D89" s="25">
        <v>82</v>
      </c>
      <c r="E89" s="106">
        <v>25</v>
      </c>
      <c r="F89" s="25">
        <v>68.3</v>
      </c>
      <c r="G89" s="27">
        <v>21</v>
      </c>
      <c r="H89" s="28">
        <v>130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1</v>
      </c>
      <c r="S89" s="113" t="s">
        <v>64</v>
      </c>
      <c r="T89" s="8">
        <v>82</v>
      </c>
      <c r="U89" s="13"/>
      <c r="W89" s="25">
        <f>D89</f>
        <v>82</v>
      </c>
      <c r="X89" s="106">
        <f>E89</f>
        <v>25</v>
      </c>
      <c r="Y89" s="32">
        <f>H89</f>
        <v>130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3/1</v>
      </c>
      <c r="AH89" s="36" t="str">
        <f>IF(A89="","",A89)</f>
        <v>신진</v>
      </c>
      <c r="AI89" s="106">
        <f>IF(E89="","",E89)</f>
        <v>25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X</v>
      </c>
      <c r="AV89" s="113" t="str">
        <f>IF(AO89="","",IF(AND(AO89="O",AP89="O",AR89="O",AT89="O",AU89="O"),"후보","X"))</f>
        <v/>
      </c>
    </row>
    <row r="90" spans="1:48" x14ac:dyDescent="0.3">
      <c r="A90" s="5" t="s">
        <v>1510</v>
      </c>
      <c r="B90" s="16" t="s">
        <v>1576</v>
      </c>
      <c r="C90" s="28">
        <v>285</v>
      </c>
      <c r="D90" s="25">
        <v>96</v>
      </c>
      <c r="E90" s="106">
        <v>29</v>
      </c>
      <c r="F90" s="25">
        <v>80</v>
      </c>
      <c r="G90" s="27">
        <v>24</v>
      </c>
      <c r="H90" s="28">
        <v>5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1</v>
      </c>
      <c r="S90" s="113" t="s">
        <v>64</v>
      </c>
      <c r="T90" s="8">
        <v>95</v>
      </c>
      <c r="U90" s="13"/>
      <c r="W90" s="25">
        <f>D90</f>
        <v>96</v>
      </c>
      <c r="X90" s="106">
        <f>E90</f>
        <v>29</v>
      </c>
      <c r="Y90" s="32">
        <f>H90</f>
        <v>5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3/1</v>
      </c>
      <c r="AH90" s="36" t="str">
        <f>IF(A90="","",A90)</f>
        <v>신진</v>
      </c>
      <c r="AI90" s="106">
        <f>IF(E90="","",E90)</f>
        <v>29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X</v>
      </c>
      <c r="AV90" s="113" t="str">
        <f>IF(AO90="","",IF(AND(AO90="O",AP90="O",AR90="O",AT90="O",AU90="O"),"후보","X"))</f>
        <v/>
      </c>
    </row>
    <row r="91" spans="1:48" x14ac:dyDescent="0.3">
      <c r="A91" s="9"/>
      <c r="B91" s="113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70"/>
      <c r="U91" s="13"/>
      <c r="W91" s="107" t="str">
        <f>$A$4&amp;" "&amp;A92&amp;"("&amp;B92&amp;","&amp;C92&amp;"^)"</f>
        <v>효성동 유승('02.08.,350^)</v>
      </c>
      <c r="X91" s="108"/>
      <c r="Y91" s="108"/>
      <c r="Z91" s="108"/>
      <c r="AA91" s="108"/>
      <c r="AB91" s="108"/>
      <c r="AC91" s="108"/>
      <c r="AD91" s="108"/>
      <c r="AE91" s="108"/>
      <c r="AF91" s="109"/>
      <c r="AH91" s="36" t="str">
        <f>IF(A91="","",A91)</f>
        <v/>
      </c>
      <c r="AI91" s="37" t="str">
        <f>IF(E91="","",E91)</f>
        <v/>
      </c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</row>
    <row r="92" spans="1:48" x14ac:dyDescent="0.3">
      <c r="A92" s="5" t="s">
        <v>1577</v>
      </c>
      <c r="B92" s="16" t="s">
        <v>1578</v>
      </c>
      <c r="C92" s="28">
        <v>350</v>
      </c>
      <c r="D92" s="25">
        <v>89.2</v>
      </c>
      <c r="E92" s="106">
        <v>27</v>
      </c>
      <c r="F92" s="25">
        <v>59.1</v>
      </c>
      <c r="G92" s="27">
        <v>18</v>
      </c>
      <c r="H92" s="28">
        <v>350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>
        <v>89</v>
      </c>
      <c r="U92" s="13"/>
      <c r="W92" s="25">
        <f>D92</f>
        <v>89.2</v>
      </c>
      <c r="X92" s="106">
        <f>E92</f>
        <v>27</v>
      </c>
      <c r="Y92" s="32">
        <f>H92</f>
        <v>350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유승</v>
      </c>
      <c r="AI92" s="106">
        <f>IF(E92="","",E92)</f>
        <v>27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9"/>
      <c r="B93" s="113"/>
      <c r="C93" s="10"/>
      <c r="D93" s="13"/>
      <c r="E93" s="20"/>
      <c r="F93" s="26"/>
      <c r="G93" s="13"/>
      <c r="H93" s="13"/>
      <c r="I93" s="13"/>
      <c r="J93" s="13"/>
      <c r="K93" s="13"/>
      <c r="L93" s="13"/>
      <c r="M93" s="13"/>
      <c r="N93" s="13"/>
      <c r="O93" s="29"/>
      <c r="P93" s="29"/>
      <c r="Q93" s="23"/>
      <c r="R93" s="23"/>
      <c r="S93" s="13"/>
      <c r="T93" s="70"/>
      <c r="U93" s="13"/>
      <c r="W93" s="107" t="str">
        <f>$A$4&amp;" "&amp;A94&amp;"("&amp;B94&amp;","&amp;C94&amp;"^)"</f>
        <v>효성동 두산('97.09.,957^)</v>
      </c>
      <c r="X93" s="108"/>
      <c r="Y93" s="108"/>
      <c r="Z93" s="108"/>
      <c r="AA93" s="108"/>
      <c r="AB93" s="108"/>
      <c r="AC93" s="108"/>
      <c r="AD93" s="108"/>
      <c r="AE93" s="108"/>
      <c r="AF93" s="109"/>
      <c r="AH93" s="36" t="str">
        <f>IF(A93="","",A93)</f>
        <v/>
      </c>
      <c r="AI93" s="37" t="str">
        <f>IF(E93="","",E93)</f>
        <v/>
      </c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</row>
    <row r="94" spans="1:48" x14ac:dyDescent="0.3">
      <c r="A94" s="5" t="s">
        <v>1579</v>
      </c>
      <c r="B94" s="16" t="s">
        <v>1505</v>
      </c>
      <c r="C94" s="28">
        <v>957</v>
      </c>
      <c r="D94" s="25">
        <v>79.7</v>
      </c>
      <c r="E94" s="106">
        <v>24</v>
      </c>
      <c r="F94" s="25">
        <v>59.9</v>
      </c>
      <c r="G94" s="27">
        <v>18</v>
      </c>
      <c r="H94" s="28">
        <v>390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1</v>
      </c>
      <c r="S94" s="113" t="s">
        <v>64</v>
      </c>
      <c r="T94" s="8" t="s">
        <v>134</v>
      </c>
      <c r="U94" s="13"/>
      <c r="W94" s="25">
        <f>D94</f>
        <v>79.7</v>
      </c>
      <c r="X94" s="106">
        <f>E94</f>
        <v>24</v>
      </c>
      <c r="Y94" s="32">
        <f>H94</f>
        <v>390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3/1</v>
      </c>
      <c r="AH94" s="36" t="str">
        <f>IF(A94="","",A94)</f>
        <v>두산</v>
      </c>
      <c r="AI94" s="106">
        <f>IF(E94="","",E94)</f>
        <v>24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1579</v>
      </c>
      <c r="B95" s="16" t="s">
        <v>1505</v>
      </c>
      <c r="C95" s="28">
        <v>957</v>
      </c>
      <c r="D95" s="25">
        <v>79.7</v>
      </c>
      <c r="E95" s="106">
        <v>24</v>
      </c>
      <c r="F95" s="25">
        <v>59.9</v>
      </c>
      <c r="G95" s="27">
        <v>18</v>
      </c>
      <c r="H95" s="28">
        <v>15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1</v>
      </c>
      <c r="S95" s="113" t="s">
        <v>64</v>
      </c>
      <c r="T95" s="8" t="s">
        <v>135</v>
      </c>
      <c r="U95" s="13"/>
      <c r="W95" s="25">
        <f>D95</f>
        <v>79.7</v>
      </c>
      <c r="X95" s="106">
        <f>E95</f>
        <v>24</v>
      </c>
      <c r="Y95" s="32">
        <f>H95</f>
        <v>15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3/1</v>
      </c>
      <c r="AH95" s="36" t="str">
        <f>IF(A95="","",A95)</f>
        <v>두산</v>
      </c>
      <c r="AI95" s="106">
        <f>IF(E95="","",E95)</f>
        <v>24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1579</v>
      </c>
      <c r="B96" s="16" t="s">
        <v>1505</v>
      </c>
      <c r="C96" s="28">
        <v>957</v>
      </c>
      <c r="D96" s="25">
        <v>107.7</v>
      </c>
      <c r="E96" s="106">
        <v>33</v>
      </c>
      <c r="F96" s="25">
        <v>84.9</v>
      </c>
      <c r="G96" s="27">
        <v>26</v>
      </c>
      <c r="H96" s="28">
        <v>406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520</v>
      </c>
      <c r="U96" s="13"/>
      <c r="W96" s="25">
        <f>D96</f>
        <v>107.7</v>
      </c>
      <c r="X96" s="106">
        <f>E96</f>
        <v>33</v>
      </c>
      <c r="Y96" s="32">
        <f>H96</f>
        <v>406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두산</v>
      </c>
      <c r="AI96" s="106">
        <f>IF(E96="","",E96)</f>
        <v>33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1579</v>
      </c>
      <c r="B97" s="16" t="s">
        <v>1505</v>
      </c>
      <c r="C97" s="28">
        <v>957</v>
      </c>
      <c r="D97" s="25">
        <v>107.7</v>
      </c>
      <c r="E97" s="106">
        <v>33</v>
      </c>
      <c r="F97" s="25">
        <v>84.9</v>
      </c>
      <c r="G97" s="27">
        <v>26</v>
      </c>
      <c r="H97" s="28">
        <v>34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519</v>
      </c>
      <c r="U97" s="13"/>
      <c r="W97" s="25">
        <f>D97</f>
        <v>107.7</v>
      </c>
      <c r="X97" s="106">
        <f>E97</f>
        <v>33</v>
      </c>
      <c r="Y97" s="32">
        <f>H97</f>
        <v>34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두산</v>
      </c>
      <c r="AI97" s="106">
        <f>IF(E97="","",E97)</f>
        <v>33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1579</v>
      </c>
      <c r="B98" s="16" t="s">
        <v>1505</v>
      </c>
      <c r="C98" s="28">
        <v>957</v>
      </c>
      <c r="D98" s="25">
        <v>107.8</v>
      </c>
      <c r="E98" s="106">
        <v>33</v>
      </c>
      <c r="F98" s="25">
        <v>85</v>
      </c>
      <c r="G98" s="27">
        <v>26</v>
      </c>
      <c r="H98" s="28">
        <v>16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1247</v>
      </c>
      <c r="U98" s="13"/>
      <c r="W98" s="25">
        <f>D98</f>
        <v>107.8</v>
      </c>
      <c r="X98" s="106">
        <f>E98</f>
        <v>33</v>
      </c>
      <c r="Y98" s="32">
        <f>H98</f>
        <v>16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두산</v>
      </c>
      <c r="AI98" s="106">
        <f>IF(E98="","",E98)</f>
        <v>33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1579</v>
      </c>
      <c r="B99" s="16" t="s">
        <v>1505</v>
      </c>
      <c r="C99" s="28">
        <v>957</v>
      </c>
      <c r="D99" s="25">
        <v>138.19999999999999</v>
      </c>
      <c r="E99" s="106">
        <v>42</v>
      </c>
      <c r="F99" s="25">
        <v>114.2</v>
      </c>
      <c r="G99" s="27">
        <v>35</v>
      </c>
      <c r="H99" s="28">
        <v>96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4</v>
      </c>
      <c r="R99" s="15">
        <v>2</v>
      </c>
      <c r="S99" s="113" t="s">
        <v>64</v>
      </c>
      <c r="T99" s="8">
        <v>138</v>
      </c>
      <c r="U99" s="13"/>
      <c r="W99" s="25">
        <f>D99</f>
        <v>138.19999999999999</v>
      </c>
      <c r="X99" s="106">
        <f>E99</f>
        <v>42</v>
      </c>
      <c r="Y99" s="32">
        <f>H99</f>
        <v>96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4/2</v>
      </c>
      <c r="AH99" s="36" t="str">
        <f>IF(A99="","",A99)</f>
        <v>두산</v>
      </c>
      <c r="AI99" s="106">
        <f>IF(E99="","",E99)</f>
        <v>42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9"/>
      <c r="B100" s="113"/>
      <c r="C100" s="10"/>
      <c r="D100" s="13"/>
      <c r="E100" s="20"/>
      <c r="F100" s="26"/>
      <c r="G100" s="13"/>
      <c r="H100" s="13"/>
      <c r="I100" s="13"/>
      <c r="J100" s="13"/>
      <c r="K100" s="13"/>
      <c r="L100" s="13"/>
      <c r="M100" s="13"/>
      <c r="N100" s="13"/>
      <c r="O100" s="29"/>
      <c r="P100" s="29"/>
      <c r="Q100" s="23"/>
      <c r="R100" s="23"/>
      <c r="S100" s="13"/>
      <c r="T100" s="70"/>
      <c r="U100" s="13"/>
      <c r="W100" s="107" t="str">
        <f>$A$4&amp;" "&amp;A101&amp;"("&amp;B101&amp;","&amp;C101&amp;"^)"</f>
        <v>효성동 금호어울림('05.08.,410^)</v>
      </c>
      <c r="X100" s="108"/>
      <c r="Y100" s="108"/>
      <c r="Z100" s="108"/>
      <c r="AA100" s="108"/>
      <c r="AB100" s="108"/>
      <c r="AC100" s="108"/>
      <c r="AD100" s="108"/>
      <c r="AE100" s="108"/>
      <c r="AF100" s="109"/>
      <c r="AH100" s="36" t="str">
        <f>IF(A100="","",A100)</f>
        <v/>
      </c>
      <c r="AI100" s="37" t="str">
        <f>IF(E100="","",E100)</f>
        <v/>
      </c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</row>
    <row r="101" spans="1:48" x14ac:dyDescent="0.3">
      <c r="A101" s="5" t="s">
        <v>1580</v>
      </c>
      <c r="B101" s="16" t="s">
        <v>1581</v>
      </c>
      <c r="C101" s="28">
        <v>410</v>
      </c>
      <c r="D101" s="25">
        <v>76.2</v>
      </c>
      <c r="E101" s="106">
        <v>23</v>
      </c>
      <c r="F101" s="25">
        <v>60</v>
      </c>
      <c r="G101" s="27">
        <v>18</v>
      </c>
      <c r="H101" s="28">
        <v>147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1</v>
      </c>
      <c r="S101" s="113" t="s">
        <v>64</v>
      </c>
      <c r="T101" s="8">
        <v>76</v>
      </c>
      <c r="U101" s="13"/>
      <c r="W101" s="25">
        <f>D101</f>
        <v>76.2</v>
      </c>
      <c r="X101" s="106">
        <f>E101</f>
        <v>23</v>
      </c>
      <c r="Y101" s="32">
        <f>H101</f>
        <v>147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3/1</v>
      </c>
      <c r="AH101" s="36" t="str">
        <f>IF(A101="","",A101)</f>
        <v>금호어울림</v>
      </c>
      <c r="AI101" s="106">
        <f>IF(E101="","",E101)</f>
        <v>23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1580</v>
      </c>
      <c r="B102" s="16" t="s">
        <v>1581</v>
      </c>
      <c r="C102" s="28">
        <v>410</v>
      </c>
      <c r="D102" s="25">
        <v>100</v>
      </c>
      <c r="E102" s="106">
        <v>30</v>
      </c>
      <c r="F102" s="25">
        <v>78.2</v>
      </c>
      <c r="G102" s="27">
        <v>24</v>
      </c>
      <c r="H102" s="28">
        <v>14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>
        <v>99</v>
      </c>
      <c r="U102" s="13"/>
      <c r="W102" s="25">
        <f>D102</f>
        <v>100</v>
      </c>
      <c r="X102" s="106">
        <f>E102</f>
        <v>30</v>
      </c>
      <c r="Y102" s="32">
        <f>H102</f>
        <v>14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금호어울림</v>
      </c>
      <c r="AI102" s="106">
        <f>IF(E102="","",E102)</f>
        <v>30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1580</v>
      </c>
      <c r="B103" s="16" t="s">
        <v>1581</v>
      </c>
      <c r="C103" s="28">
        <v>410</v>
      </c>
      <c r="D103" s="25">
        <v>108.3</v>
      </c>
      <c r="E103" s="106">
        <v>33</v>
      </c>
      <c r="F103" s="25">
        <v>85</v>
      </c>
      <c r="G103" s="27">
        <v>26</v>
      </c>
      <c r="H103" s="28">
        <v>183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>
        <v>108</v>
      </c>
      <c r="U103" s="13"/>
      <c r="W103" s="25">
        <f>D103</f>
        <v>108.3</v>
      </c>
      <c r="X103" s="106">
        <f>E103</f>
        <v>33</v>
      </c>
      <c r="Y103" s="32">
        <f>H103</f>
        <v>183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금호어울림</v>
      </c>
      <c r="AI103" s="106">
        <f>IF(E103="","",E103)</f>
        <v>33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1580</v>
      </c>
      <c r="B104" s="16" t="s">
        <v>1581</v>
      </c>
      <c r="C104" s="28">
        <v>410</v>
      </c>
      <c r="D104" s="25">
        <v>149.4</v>
      </c>
      <c r="E104" s="106">
        <v>45</v>
      </c>
      <c r="F104" s="25">
        <v>111.9</v>
      </c>
      <c r="G104" s="27">
        <v>34</v>
      </c>
      <c r="H104" s="28">
        <v>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2</v>
      </c>
      <c r="S104" s="113" t="s">
        <v>64</v>
      </c>
      <c r="T104" s="8">
        <v>149</v>
      </c>
      <c r="U104" s="13"/>
      <c r="W104" s="25">
        <f>D104</f>
        <v>149.4</v>
      </c>
      <c r="X104" s="106">
        <f>E104</f>
        <v>45</v>
      </c>
      <c r="Y104" s="32">
        <f>H104</f>
        <v>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4/2</v>
      </c>
      <c r="AH104" s="36" t="str">
        <f>IF(A104="","",A104)</f>
        <v>금호어울림</v>
      </c>
      <c r="AI104" s="106">
        <f>IF(E104="","",E104)</f>
        <v>45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1580</v>
      </c>
      <c r="B105" s="16" t="s">
        <v>1581</v>
      </c>
      <c r="C105" s="28">
        <v>410</v>
      </c>
      <c r="D105" s="25">
        <v>161.69999999999999</v>
      </c>
      <c r="E105" s="106">
        <v>49</v>
      </c>
      <c r="F105" s="25">
        <v>122</v>
      </c>
      <c r="G105" s="27">
        <v>37</v>
      </c>
      <c r="H105" s="28">
        <v>60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4</v>
      </c>
      <c r="R105" s="15">
        <v>2</v>
      </c>
      <c r="S105" s="113" t="s">
        <v>64</v>
      </c>
      <c r="T105" s="8">
        <v>161</v>
      </c>
      <c r="U105" s="13"/>
      <c r="W105" s="25">
        <f>D105</f>
        <v>161.69999999999999</v>
      </c>
      <c r="X105" s="106">
        <f>E105</f>
        <v>49</v>
      </c>
      <c r="Y105" s="32">
        <f>H105</f>
        <v>60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4/2</v>
      </c>
      <c r="AH105" s="36" t="str">
        <f>IF(A105="","",A105)</f>
        <v>금호어울림</v>
      </c>
      <c r="AI105" s="106">
        <f>IF(E105="","",E105)</f>
        <v>49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효성동 뉴서울2차('86.12.,775^)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1582</v>
      </c>
      <c r="B107" s="16" t="s">
        <v>1583</v>
      </c>
      <c r="C107" s="28">
        <v>775</v>
      </c>
      <c r="D107" s="25">
        <v>44.6</v>
      </c>
      <c r="E107" s="106">
        <v>13</v>
      </c>
      <c r="F107" s="25">
        <v>32</v>
      </c>
      <c r="G107" s="27">
        <v>10</v>
      </c>
      <c r="H107" s="28">
        <v>130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1</v>
      </c>
      <c r="R107" s="15">
        <v>1</v>
      </c>
      <c r="S107" s="113" t="s">
        <v>64</v>
      </c>
      <c r="T107" s="8">
        <v>44</v>
      </c>
      <c r="U107" s="13"/>
      <c r="W107" s="25">
        <f>D107</f>
        <v>44.6</v>
      </c>
      <c r="X107" s="106">
        <f>E107</f>
        <v>13</v>
      </c>
      <c r="Y107" s="32">
        <f>H107</f>
        <v>130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1/1</v>
      </c>
      <c r="AH107" s="36" t="str">
        <f>IF(A107="","",A107)</f>
        <v>뉴서울2차</v>
      </c>
      <c r="AI107" s="106">
        <f>IF(E107="","",E107)</f>
        <v>13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1582</v>
      </c>
      <c r="B108" s="16" t="s">
        <v>1583</v>
      </c>
      <c r="C108" s="28">
        <v>775</v>
      </c>
      <c r="D108" s="25">
        <v>48</v>
      </c>
      <c r="E108" s="106">
        <v>15</v>
      </c>
      <c r="F108" s="25">
        <v>34.700000000000003</v>
      </c>
      <c r="G108" s="27">
        <v>11</v>
      </c>
      <c r="H108" s="28">
        <v>400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2</v>
      </c>
      <c r="R108" s="15">
        <v>1</v>
      </c>
      <c r="S108" s="113" t="s">
        <v>64</v>
      </c>
      <c r="T108" s="8">
        <v>48</v>
      </c>
      <c r="U108" s="13"/>
      <c r="W108" s="25">
        <f>D108</f>
        <v>48</v>
      </c>
      <c r="X108" s="106">
        <f>E108</f>
        <v>15</v>
      </c>
      <c r="Y108" s="32">
        <f>H108</f>
        <v>400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2/1</v>
      </c>
      <c r="AH108" s="36" t="str">
        <f>IF(A108="","",A108)</f>
        <v>뉴서울2차</v>
      </c>
      <c r="AI108" s="106">
        <f>IF(E108="","",E108)</f>
        <v>15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1582</v>
      </c>
      <c r="B109" s="16" t="s">
        <v>1583</v>
      </c>
      <c r="C109" s="28">
        <v>775</v>
      </c>
      <c r="D109" s="25">
        <v>54.1</v>
      </c>
      <c r="E109" s="106">
        <v>16</v>
      </c>
      <c r="F109" s="25">
        <v>39.799999999999997</v>
      </c>
      <c r="G109" s="27">
        <v>12</v>
      </c>
      <c r="H109" s="28">
        <v>190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2</v>
      </c>
      <c r="R109" s="15">
        <v>1</v>
      </c>
      <c r="S109" s="113" t="s">
        <v>64</v>
      </c>
      <c r="T109" s="8">
        <v>54</v>
      </c>
      <c r="U109" s="13"/>
      <c r="W109" s="25">
        <f>D109</f>
        <v>54.1</v>
      </c>
      <c r="X109" s="106">
        <f>E109</f>
        <v>16</v>
      </c>
      <c r="Y109" s="32">
        <f>H109</f>
        <v>190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2/1</v>
      </c>
      <c r="AH109" s="36" t="str">
        <f>IF(A109="","",A109)</f>
        <v>뉴서울2차</v>
      </c>
      <c r="AI109" s="106">
        <f>IF(E109="","",E109)</f>
        <v>16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1582</v>
      </c>
      <c r="B110" s="16" t="s">
        <v>1583</v>
      </c>
      <c r="C110" s="28">
        <v>775</v>
      </c>
      <c r="D110" s="25">
        <v>62.8</v>
      </c>
      <c r="E110" s="106">
        <v>19</v>
      </c>
      <c r="F110" s="25">
        <v>46.6</v>
      </c>
      <c r="G110" s="27">
        <v>14</v>
      </c>
      <c r="H110" s="28">
        <v>50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1</v>
      </c>
      <c r="S110" s="113" t="s">
        <v>64</v>
      </c>
      <c r="T110" s="8">
        <v>62</v>
      </c>
      <c r="U110" s="13"/>
      <c r="W110" s="25">
        <f>D110</f>
        <v>62.8</v>
      </c>
      <c r="X110" s="106">
        <f>E110</f>
        <v>19</v>
      </c>
      <c r="Y110" s="32">
        <f>H110</f>
        <v>50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3/1</v>
      </c>
      <c r="AH110" s="36" t="str">
        <f>IF(A110="","",A110)</f>
        <v>뉴서울2차</v>
      </c>
      <c r="AI110" s="106">
        <f>IF(E110="","",E110)</f>
        <v>19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1582</v>
      </c>
      <c r="B111" s="16" t="s">
        <v>1583</v>
      </c>
      <c r="C111" s="28">
        <v>775</v>
      </c>
      <c r="D111" s="25">
        <v>66.900000000000006</v>
      </c>
      <c r="E111" s="106">
        <v>20</v>
      </c>
      <c r="F111" s="25">
        <v>45.7</v>
      </c>
      <c r="G111" s="27">
        <v>14</v>
      </c>
      <c r="H111" s="28">
        <v>5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1</v>
      </c>
      <c r="S111" s="113" t="s">
        <v>64</v>
      </c>
      <c r="T111" s="8">
        <v>66</v>
      </c>
      <c r="U111" s="13"/>
      <c r="W111" s="25">
        <f>D111</f>
        <v>66.900000000000006</v>
      </c>
      <c r="X111" s="106">
        <f>E111</f>
        <v>20</v>
      </c>
      <c r="Y111" s="32">
        <f>H111</f>
        <v>5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3/1</v>
      </c>
      <c r="AH111" s="36" t="str">
        <f>IF(A111="","",A111)</f>
        <v>뉴서울2차</v>
      </c>
      <c r="AI111" s="106">
        <f>IF(E111="","",E111)</f>
        <v>20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9"/>
      <c r="B112" s="113"/>
      <c r="C112" s="10"/>
      <c r="D112" s="13"/>
      <c r="E112" s="20"/>
      <c r="F112" s="26"/>
      <c r="G112" s="13"/>
      <c r="H112" s="13"/>
      <c r="I112" s="13"/>
      <c r="J112" s="13"/>
      <c r="K112" s="13"/>
      <c r="L112" s="13"/>
      <c r="M112" s="13"/>
      <c r="N112" s="13"/>
      <c r="O112" s="29"/>
      <c r="P112" s="29"/>
      <c r="Q112" s="23"/>
      <c r="R112" s="23"/>
      <c r="S112" s="13"/>
      <c r="T112" s="70"/>
      <c r="U112" s="13"/>
      <c r="W112" s="107" t="str">
        <f>$A$4&amp;" "&amp;A113&amp;"("&amp;B113&amp;","&amp;C113&amp;"^)"</f>
        <v>효성동 e편한세상계양더프리미어('21.10.,1646^)</v>
      </c>
      <c r="X112" s="108"/>
      <c r="Y112" s="108"/>
      <c r="Z112" s="108"/>
      <c r="AA112" s="108"/>
      <c r="AB112" s="108"/>
      <c r="AC112" s="108"/>
      <c r="AD112" s="108"/>
      <c r="AE112" s="108"/>
      <c r="AF112" s="109"/>
      <c r="AH112" s="36" t="str">
        <f>IF(A112="","",A112)</f>
        <v/>
      </c>
      <c r="AI112" s="37" t="str">
        <f>IF(E112="","",E112)</f>
        <v/>
      </c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</row>
    <row r="113" spans="1:48" x14ac:dyDescent="0.3">
      <c r="A113" s="5" t="s">
        <v>1584</v>
      </c>
      <c r="B113" s="16" t="s">
        <v>1585</v>
      </c>
      <c r="C113" s="28">
        <v>1646</v>
      </c>
      <c r="D113" s="25">
        <v>56.5</v>
      </c>
      <c r="E113" s="106">
        <v>17</v>
      </c>
      <c r="F113" s="25">
        <v>40</v>
      </c>
      <c r="G113" s="27">
        <v>12</v>
      </c>
      <c r="H113" s="28">
        <v>85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2</v>
      </c>
      <c r="R113" s="15">
        <v>1</v>
      </c>
      <c r="S113" s="113" t="s">
        <v>64</v>
      </c>
      <c r="T113" s="8">
        <v>56</v>
      </c>
      <c r="U113" s="13"/>
      <c r="W113" s="25">
        <f>D113</f>
        <v>56.5</v>
      </c>
      <c r="X113" s="106">
        <f>E113</f>
        <v>17</v>
      </c>
      <c r="Y113" s="32">
        <f>H113</f>
        <v>85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2/1</v>
      </c>
      <c r="AH113" s="36" t="str">
        <f>IF(A113="","",A113)</f>
        <v>e편한세상계양더프리미어</v>
      </c>
      <c r="AI113" s="106">
        <f>IF(E113="","",E113)</f>
        <v>17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1584</v>
      </c>
      <c r="B114" s="16" t="s">
        <v>1585</v>
      </c>
      <c r="C114" s="28">
        <v>1646</v>
      </c>
      <c r="D114" s="25">
        <v>65.8</v>
      </c>
      <c r="E114" s="106">
        <v>20</v>
      </c>
      <c r="F114" s="25">
        <v>46.5</v>
      </c>
      <c r="G114" s="27">
        <v>14</v>
      </c>
      <c r="H114" s="28">
        <v>87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2</v>
      </c>
      <c r="R114" s="15">
        <v>1</v>
      </c>
      <c r="S114" s="113" t="s">
        <v>64</v>
      </c>
      <c r="T114" s="8">
        <v>65</v>
      </c>
      <c r="U114" s="13"/>
      <c r="W114" s="25">
        <f>D114</f>
        <v>65.8</v>
      </c>
      <c r="X114" s="106">
        <f>E114</f>
        <v>20</v>
      </c>
      <c r="Y114" s="32">
        <f>H114</f>
        <v>87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2/1</v>
      </c>
      <c r="AH114" s="36" t="str">
        <f>IF(A114="","",A114)</f>
        <v>e편한세상계양더프리미어</v>
      </c>
      <c r="AI114" s="106">
        <f>IF(E114="","",E114)</f>
        <v>20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1584</v>
      </c>
      <c r="B115" s="16" t="s">
        <v>1585</v>
      </c>
      <c r="C115" s="28">
        <v>1646</v>
      </c>
      <c r="D115" s="25">
        <v>79.8</v>
      </c>
      <c r="E115" s="106">
        <v>24</v>
      </c>
      <c r="F115" s="25">
        <v>59.9</v>
      </c>
      <c r="G115" s="27">
        <v>18</v>
      </c>
      <c r="H115" s="28">
        <v>723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134</v>
      </c>
      <c r="U115" s="13"/>
      <c r="W115" s="25">
        <f>D115</f>
        <v>79.8</v>
      </c>
      <c r="X115" s="106">
        <f>E115</f>
        <v>24</v>
      </c>
      <c r="Y115" s="32">
        <f>H115</f>
        <v>723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e편한세상계양더프리미어</v>
      </c>
      <c r="AI115" s="106">
        <f>IF(E115="","",E115)</f>
        <v>24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1584</v>
      </c>
      <c r="B116" s="16" t="s">
        <v>1585</v>
      </c>
      <c r="C116" s="28">
        <v>1646</v>
      </c>
      <c r="D116" s="25">
        <v>79.7</v>
      </c>
      <c r="E116" s="106">
        <v>24</v>
      </c>
      <c r="F116" s="25">
        <v>60</v>
      </c>
      <c r="G116" s="27">
        <v>18</v>
      </c>
      <c r="H116" s="28">
        <v>193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 t="s">
        <v>135</v>
      </c>
      <c r="U116" s="13"/>
      <c r="W116" s="25">
        <f>D116</f>
        <v>79.7</v>
      </c>
      <c r="X116" s="106">
        <f>E116</f>
        <v>24</v>
      </c>
      <c r="Y116" s="32">
        <f>H116</f>
        <v>193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e편한세상계양더프리미어</v>
      </c>
      <c r="AI116" s="106">
        <f>IF(E116="","",E116)</f>
        <v>24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1584</v>
      </c>
      <c r="B117" s="16" t="s">
        <v>1585</v>
      </c>
      <c r="C117" s="28">
        <v>1646</v>
      </c>
      <c r="D117" s="25">
        <v>98</v>
      </c>
      <c r="E117" s="106">
        <v>30</v>
      </c>
      <c r="F117" s="25">
        <v>74.900000000000006</v>
      </c>
      <c r="G117" s="27">
        <v>23</v>
      </c>
      <c r="H117" s="28">
        <v>253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64</v>
      </c>
      <c r="T117" s="8">
        <v>98</v>
      </c>
      <c r="U117" s="13"/>
      <c r="W117" s="25">
        <f>D117</f>
        <v>98</v>
      </c>
      <c r="X117" s="106">
        <f>E117</f>
        <v>30</v>
      </c>
      <c r="Y117" s="32">
        <f>H117</f>
        <v>253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e편한세상계양더프리미어</v>
      </c>
      <c r="AI117" s="106">
        <f>IF(E117="","",E117)</f>
        <v>30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1584</v>
      </c>
      <c r="B118" s="16" t="s">
        <v>1585</v>
      </c>
      <c r="C118" s="28">
        <v>1646</v>
      </c>
      <c r="D118" s="25">
        <v>107.2</v>
      </c>
      <c r="E118" s="106">
        <v>32</v>
      </c>
      <c r="F118" s="25">
        <v>84.9</v>
      </c>
      <c r="G118" s="27">
        <v>26</v>
      </c>
      <c r="H118" s="28">
        <v>305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64</v>
      </c>
      <c r="T118" s="8">
        <v>107</v>
      </c>
      <c r="U118" s="13"/>
      <c r="W118" s="25">
        <f>D118</f>
        <v>107.2</v>
      </c>
      <c r="X118" s="106">
        <f>E118</f>
        <v>32</v>
      </c>
      <c r="Y118" s="32">
        <f>H118</f>
        <v>305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e편한세상계양더프리미어</v>
      </c>
      <c r="AI118" s="106">
        <f>IF(E118="","",E118)</f>
        <v>32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9"/>
      <c r="B119" s="113"/>
      <c r="C119" s="10"/>
      <c r="D119" s="13"/>
      <c r="E119" s="20"/>
      <c r="F119" s="26"/>
      <c r="G119" s="13"/>
      <c r="H119" s="13"/>
      <c r="I119" s="13"/>
      <c r="J119" s="13"/>
      <c r="K119" s="13"/>
      <c r="L119" s="13"/>
      <c r="M119" s="13"/>
      <c r="N119" s="13"/>
      <c r="O119" s="29"/>
      <c r="P119" s="29"/>
      <c r="Q119" s="23"/>
      <c r="R119" s="23"/>
      <c r="S119" s="13"/>
      <c r="T119" s="70"/>
      <c r="U119" s="13"/>
      <c r="W119" s="107" t="str">
        <f>$A$4&amp;" "&amp;A120&amp;"("&amp;B120&amp;","&amp;C120&amp;"^)"</f>
        <v>효성동 신한('96.12.,324^)</v>
      </c>
      <c r="X119" s="108"/>
      <c r="Y119" s="108"/>
      <c r="Z119" s="108"/>
      <c r="AA119" s="108"/>
      <c r="AB119" s="108"/>
      <c r="AC119" s="108"/>
      <c r="AD119" s="108"/>
      <c r="AE119" s="108"/>
      <c r="AF119" s="109"/>
      <c r="AH119" s="36" t="str">
        <f>IF(A119="","",A119)</f>
        <v/>
      </c>
      <c r="AI119" s="37" t="str">
        <f>IF(E119="","",E119)</f>
        <v/>
      </c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</row>
    <row r="120" spans="1:48" x14ac:dyDescent="0.3">
      <c r="A120" s="5" t="s">
        <v>1586</v>
      </c>
      <c r="B120" s="16" t="s">
        <v>1501</v>
      </c>
      <c r="C120" s="28">
        <v>324</v>
      </c>
      <c r="D120" s="25">
        <v>77.5</v>
      </c>
      <c r="E120" s="106">
        <v>23</v>
      </c>
      <c r="F120" s="25">
        <v>60</v>
      </c>
      <c r="G120" s="27">
        <v>18</v>
      </c>
      <c r="H120" s="28">
        <v>160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1</v>
      </c>
      <c r="S120" s="113" t="s">
        <v>64</v>
      </c>
      <c r="T120" s="8">
        <v>77</v>
      </c>
      <c r="U120" s="13"/>
      <c r="W120" s="25">
        <f>D120</f>
        <v>77.5</v>
      </c>
      <c r="X120" s="106">
        <f>E120</f>
        <v>23</v>
      </c>
      <c r="Y120" s="32">
        <f>H120</f>
        <v>160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3/1</v>
      </c>
      <c r="AH120" s="36" t="str">
        <f>IF(A120="","",A120)</f>
        <v>신한</v>
      </c>
      <c r="AI120" s="106">
        <f>IF(E120="","",E120)</f>
        <v>23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1586</v>
      </c>
      <c r="B121" s="16" t="s">
        <v>1501</v>
      </c>
      <c r="C121" s="28">
        <v>324</v>
      </c>
      <c r="D121" s="25">
        <v>105.9</v>
      </c>
      <c r="E121" s="106">
        <v>32</v>
      </c>
      <c r="F121" s="25">
        <v>85</v>
      </c>
      <c r="G121" s="27">
        <v>26</v>
      </c>
      <c r="H121" s="28">
        <v>164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64</v>
      </c>
      <c r="T121" s="8">
        <v>105</v>
      </c>
      <c r="U121" s="13"/>
      <c r="W121" s="25">
        <f>D121</f>
        <v>105.9</v>
      </c>
      <c r="X121" s="106">
        <f>E121</f>
        <v>32</v>
      </c>
      <c r="Y121" s="32">
        <f>H121</f>
        <v>164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신한</v>
      </c>
      <c r="AI121" s="106">
        <f>IF(E121="","",E121)</f>
        <v>32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</sheetData>
  <mergeCells count="1">
    <mergeCell ref="AJ1:AN1"/>
  </mergeCells>
  <phoneticPr fontId="2" type="noConversion"/>
  <conditionalFormatting sqref="AV4:AV6">
    <cfRule type="expression" dxfId="1739" priority="1855">
      <formula>AV4="X"</formula>
    </cfRule>
    <cfRule type="expression" dxfId="1738" priority="1856">
      <formula>AV4="후보"</formula>
    </cfRule>
  </conditionalFormatting>
  <conditionalFormatting sqref="Z2:Z6">
    <cfRule type="colorScale" priority="1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37" priority="1852" operator="greaterThan">
      <formula>0.9</formula>
    </cfRule>
    <cfRule type="cellIs" dxfId="1736" priority="1853" operator="greaterThan">
      <formula>0.85</formula>
    </cfRule>
  </conditionalFormatting>
  <conditionalFormatting sqref="N1:N2">
    <cfRule type="cellIs" dxfId="1735" priority="1850" operator="greaterThan">
      <formula>0.9</formula>
    </cfRule>
    <cfRule type="cellIs" dxfId="1734" priority="1851" operator="greaterThan">
      <formula>0.85</formula>
    </cfRule>
  </conditionalFormatting>
  <conditionalFormatting sqref="N6">
    <cfRule type="cellIs" dxfId="1733" priority="1848" operator="greaterThan">
      <formula>0.9</formula>
    </cfRule>
    <cfRule type="cellIs" dxfId="1732" priority="1849" operator="greaterThan">
      <formula>0.85</formula>
    </cfRule>
  </conditionalFormatting>
  <conditionalFormatting sqref="E6">
    <cfRule type="expression" dxfId="1731" priority="1844">
      <formula>AND(IF(OR($Q6=1,$Q6=2),1,0),IF($X6&lt;=20,1,0))</formula>
    </cfRule>
    <cfRule type="expression" dxfId="1730" priority="1845">
      <formula>AND(IF($Q6=2,1,0),IF($X6&lt;30,1,0))</formula>
    </cfRule>
    <cfRule type="expression" dxfId="1729" priority="1846">
      <formula>AND(IF($Q6=3,1,0),IF($X6&lt;30,1,0))</formula>
    </cfRule>
    <cfRule type="expression" dxfId="1728" priority="1847">
      <formula>AND(IF($Q6=3,1,IF($Q6=4,1,0)),IF($F6&lt;=85,1,0))</formula>
    </cfRule>
  </conditionalFormatting>
  <conditionalFormatting sqref="X6">
    <cfRule type="expression" dxfId="1727" priority="1840">
      <formula>AND(IF(OR($Q6=1,$Q6=2),1,0),IF($X6&lt;=20,1,0))</formula>
    </cfRule>
    <cfRule type="expression" dxfId="1726" priority="1841">
      <formula>AND(IF($Q6=2,1,0),IF($X6&lt;30,1,0))</formula>
    </cfRule>
    <cfRule type="expression" dxfId="1725" priority="1842">
      <formula>AND(IF($Q6=3,1,0),IF($X6&lt;30,1,0))</formula>
    </cfRule>
    <cfRule type="expression" dxfId="1724" priority="1843">
      <formula>AND(IF($Q6=3,1,IF($Q6=4,1,0)),IF($F6&lt;=85,1,0))</formula>
    </cfRule>
  </conditionalFormatting>
  <conditionalFormatting sqref="AI6">
    <cfRule type="expression" dxfId="1723" priority="1836">
      <formula>AND(IF(OR($Q6=1,$Q6=2),1,0),IF($X6&lt;=20,1,0))</formula>
    </cfRule>
    <cfRule type="expression" dxfId="1722" priority="1837">
      <formula>AND(IF($Q6=2,1,0),IF($X6&lt;30,1,0))</formula>
    </cfRule>
    <cfRule type="expression" dxfId="1721" priority="1838">
      <formula>AND(IF($Q6=3,1,0),IF($X6&lt;30,1,0))</formula>
    </cfRule>
    <cfRule type="expression" dxfId="1720" priority="1839">
      <formula>AND(IF($Q6=3,1,IF($Q6=4,1,0)),IF($F6&lt;=85,1,0))</formula>
    </cfRule>
  </conditionalFormatting>
  <conditionalFormatting sqref="AV7">
    <cfRule type="expression" dxfId="1719" priority="1834">
      <formula>AV7="X"</formula>
    </cfRule>
    <cfRule type="expression" dxfId="1718" priority="1835">
      <formula>AV7="후보"</formula>
    </cfRule>
  </conditionalFormatting>
  <conditionalFormatting sqref="Z7">
    <cfRule type="colorScale" priority="18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717" priority="1831" operator="greaterThan">
      <formula>0.9</formula>
    </cfRule>
    <cfRule type="cellIs" dxfId="1716" priority="1832" operator="greaterThan">
      <formula>0.85</formula>
    </cfRule>
  </conditionalFormatting>
  <conditionalFormatting sqref="N7">
    <cfRule type="cellIs" dxfId="1715" priority="1829" operator="greaterThan">
      <formula>0.9</formula>
    </cfRule>
    <cfRule type="cellIs" dxfId="1714" priority="1830" operator="greaterThan">
      <formula>0.85</formula>
    </cfRule>
  </conditionalFormatting>
  <conditionalFormatting sqref="E7">
    <cfRule type="expression" dxfId="1713" priority="1825">
      <formula>AND(IF(OR($Q7=1,$Q7=2),1,0),IF($X7&lt;=20,1,0))</formula>
    </cfRule>
    <cfRule type="expression" dxfId="1712" priority="1826">
      <formula>AND(IF($Q7=2,1,0),IF($X7&lt;30,1,0))</formula>
    </cfRule>
    <cfRule type="expression" dxfId="1711" priority="1827">
      <formula>AND(IF($Q7=3,1,0),IF($X7&lt;30,1,0))</formula>
    </cfRule>
    <cfRule type="expression" dxfId="1710" priority="1828">
      <formula>AND(IF($Q7=3,1,IF($Q7=4,1,0)),IF($F7&lt;=85,1,0))</formula>
    </cfRule>
  </conditionalFormatting>
  <conditionalFormatting sqref="X7">
    <cfRule type="expression" dxfId="1709" priority="1821">
      <formula>AND(IF(OR($Q7=1,$Q7=2),1,0),IF($X7&lt;=20,1,0))</formula>
    </cfRule>
    <cfRule type="expression" dxfId="1708" priority="1822">
      <formula>AND(IF($Q7=2,1,0),IF($X7&lt;30,1,0))</formula>
    </cfRule>
    <cfRule type="expression" dxfId="1707" priority="1823">
      <formula>AND(IF($Q7=3,1,0),IF($X7&lt;30,1,0))</formula>
    </cfRule>
    <cfRule type="expression" dxfId="1706" priority="1824">
      <formula>AND(IF($Q7=3,1,IF($Q7=4,1,0)),IF($F7&lt;=85,1,0))</formula>
    </cfRule>
  </conditionalFormatting>
  <conditionalFormatting sqref="AI7">
    <cfRule type="expression" dxfId="1705" priority="1817">
      <formula>AND(IF(OR($Q7=1,$Q7=2),1,0),IF($X7&lt;=20,1,0))</formula>
    </cfRule>
    <cfRule type="expression" dxfId="1704" priority="1818">
      <formula>AND(IF($Q7=2,1,0),IF($X7&lt;30,1,0))</formula>
    </cfRule>
    <cfRule type="expression" dxfId="1703" priority="1819">
      <formula>AND(IF($Q7=3,1,0),IF($X7&lt;30,1,0))</formula>
    </cfRule>
    <cfRule type="expression" dxfId="1702" priority="1820">
      <formula>AND(IF($Q7=3,1,IF($Q7=4,1,0)),IF($F7&lt;=85,1,0))</formula>
    </cfRule>
  </conditionalFormatting>
  <conditionalFormatting sqref="AV8">
    <cfRule type="expression" dxfId="1701" priority="1815">
      <formula>AV8="X"</formula>
    </cfRule>
    <cfRule type="expression" dxfId="1700" priority="1816">
      <formula>AV8="후보"</formula>
    </cfRule>
  </conditionalFormatting>
  <conditionalFormatting sqref="Z8">
    <cfRule type="colorScale" priority="18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699" priority="1812" operator="greaterThan">
      <formula>0.9</formula>
    </cfRule>
    <cfRule type="cellIs" dxfId="1698" priority="1813" operator="greaterThan">
      <formula>0.85</formula>
    </cfRule>
  </conditionalFormatting>
  <conditionalFormatting sqref="AV9">
    <cfRule type="expression" dxfId="1697" priority="1810">
      <formula>AV9="X"</formula>
    </cfRule>
    <cfRule type="expression" dxfId="1696" priority="1811">
      <formula>AV9="후보"</formula>
    </cfRule>
  </conditionalFormatting>
  <conditionalFormatting sqref="Z9">
    <cfRule type="colorScale" priority="18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695" priority="1807" operator="greaterThan">
      <formula>0.9</formula>
    </cfRule>
    <cfRule type="cellIs" dxfId="1694" priority="1808" operator="greaterThan">
      <formula>0.85</formula>
    </cfRule>
  </conditionalFormatting>
  <conditionalFormatting sqref="N9">
    <cfRule type="cellIs" dxfId="1693" priority="1805" operator="greaterThan">
      <formula>0.9</formula>
    </cfRule>
    <cfRule type="cellIs" dxfId="1692" priority="1806" operator="greaterThan">
      <formula>0.85</formula>
    </cfRule>
  </conditionalFormatting>
  <conditionalFormatting sqref="E9">
    <cfRule type="expression" dxfId="1691" priority="1801">
      <formula>AND(IF(OR($Q9=1,$Q9=2),1,0),IF($X9&lt;=20,1,0))</formula>
    </cfRule>
    <cfRule type="expression" dxfId="1690" priority="1802">
      <formula>AND(IF($Q9=2,1,0),IF($X9&lt;30,1,0))</formula>
    </cfRule>
    <cfRule type="expression" dxfId="1689" priority="1803">
      <formula>AND(IF($Q9=3,1,0),IF($X9&lt;30,1,0))</formula>
    </cfRule>
    <cfRule type="expression" dxfId="1688" priority="1804">
      <formula>AND(IF($Q9=3,1,IF($Q9=4,1,0)),IF($F9&lt;=85,1,0))</formula>
    </cfRule>
  </conditionalFormatting>
  <conditionalFormatting sqref="X9">
    <cfRule type="expression" dxfId="1687" priority="1797">
      <formula>AND(IF(OR($Q9=1,$Q9=2),1,0),IF($X9&lt;=20,1,0))</formula>
    </cfRule>
    <cfRule type="expression" dxfId="1686" priority="1798">
      <formula>AND(IF($Q9=2,1,0),IF($X9&lt;30,1,0))</formula>
    </cfRule>
    <cfRule type="expression" dxfId="1685" priority="1799">
      <formula>AND(IF($Q9=3,1,0),IF($X9&lt;30,1,0))</formula>
    </cfRule>
    <cfRule type="expression" dxfId="1684" priority="1800">
      <formula>AND(IF($Q9=3,1,IF($Q9=4,1,0)),IF($F9&lt;=85,1,0))</formula>
    </cfRule>
  </conditionalFormatting>
  <conditionalFormatting sqref="AI9">
    <cfRule type="expression" dxfId="1683" priority="1793">
      <formula>AND(IF(OR($Q9=1,$Q9=2),1,0),IF($X9&lt;=20,1,0))</formula>
    </cfRule>
    <cfRule type="expression" dxfId="1682" priority="1794">
      <formula>AND(IF($Q9=2,1,0),IF($X9&lt;30,1,0))</formula>
    </cfRule>
    <cfRule type="expression" dxfId="1681" priority="1795">
      <formula>AND(IF($Q9=3,1,0),IF($X9&lt;30,1,0))</formula>
    </cfRule>
    <cfRule type="expression" dxfId="1680" priority="1796">
      <formula>AND(IF($Q9=3,1,IF($Q9=4,1,0)),IF($F9&lt;=85,1,0))</formula>
    </cfRule>
  </conditionalFormatting>
  <conditionalFormatting sqref="AV10">
    <cfRule type="expression" dxfId="1679" priority="1791">
      <formula>AV10="X"</formula>
    </cfRule>
    <cfRule type="expression" dxfId="1678" priority="1792">
      <formula>AV10="후보"</formula>
    </cfRule>
  </conditionalFormatting>
  <conditionalFormatting sqref="Z10">
    <cfRule type="colorScale" priority="17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677" priority="1788" operator="greaterThan">
      <formula>0.9</formula>
    </cfRule>
    <cfRule type="cellIs" dxfId="1676" priority="1789" operator="greaterThan">
      <formula>0.85</formula>
    </cfRule>
  </conditionalFormatting>
  <conditionalFormatting sqref="N10">
    <cfRule type="cellIs" dxfId="1675" priority="1786" operator="greaterThan">
      <formula>0.9</formula>
    </cfRule>
    <cfRule type="cellIs" dxfId="1674" priority="1787" operator="greaterThan">
      <formula>0.85</formula>
    </cfRule>
  </conditionalFormatting>
  <conditionalFormatting sqref="E10">
    <cfRule type="expression" dxfId="1673" priority="1782">
      <formula>AND(IF(OR($Q10=1,$Q10=2),1,0),IF($X10&lt;=20,1,0))</formula>
    </cfRule>
    <cfRule type="expression" dxfId="1672" priority="1783">
      <formula>AND(IF($Q10=2,1,0),IF($X10&lt;30,1,0))</formula>
    </cfRule>
    <cfRule type="expression" dxfId="1671" priority="1784">
      <formula>AND(IF($Q10=3,1,0),IF($X10&lt;30,1,0))</formula>
    </cfRule>
    <cfRule type="expression" dxfId="1670" priority="1785">
      <formula>AND(IF($Q10=3,1,IF($Q10=4,1,0)),IF($F10&lt;=85,1,0))</formula>
    </cfRule>
  </conditionalFormatting>
  <conditionalFormatting sqref="X10">
    <cfRule type="expression" dxfId="1669" priority="1778">
      <formula>AND(IF(OR($Q10=1,$Q10=2),1,0),IF($X10&lt;=20,1,0))</formula>
    </cfRule>
    <cfRule type="expression" dxfId="1668" priority="1779">
      <formula>AND(IF($Q10=2,1,0),IF($X10&lt;30,1,0))</formula>
    </cfRule>
    <cfRule type="expression" dxfId="1667" priority="1780">
      <formula>AND(IF($Q10=3,1,0),IF($X10&lt;30,1,0))</formula>
    </cfRule>
    <cfRule type="expression" dxfId="1666" priority="1781">
      <formula>AND(IF($Q10=3,1,IF($Q10=4,1,0)),IF($F10&lt;=85,1,0))</formula>
    </cfRule>
  </conditionalFormatting>
  <conditionalFormatting sqref="AI10">
    <cfRule type="expression" dxfId="1665" priority="1774">
      <formula>AND(IF(OR($Q10=1,$Q10=2),1,0),IF($X10&lt;=20,1,0))</formula>
    </cfRule>
    <cfRule type="expression" dxfId="1664" priority="1775">
      <formula>AND(IF($Q10=2,1,0),IF($X10&lt;30,1,0))</formula>
    </cfRule>
    <cfRule type="expression" dxfId="1663" priority="1776">
      <formula>AND(IF($Q10=3,1,0),IF($X10&lt;30,1,0))</formula>
    </cfRule>
    <cfRule type="expression" dxfId="1662" priority="1777">
      <formula>AND(IF($Q10=3,1,IF($Q10=4,1,0)),IF($F10&lt;=85,1,0))</formula>
    </cfRule>
  </conditionalFormatting>
  <conditionalFormatting sqref="AV11">
    <cfRule type="expression" dxfId="1661" priority="1772">
      <formula>AV11="X"</formula>
    </cfRule>
    <cfRule type="expression" dxfId="1660" priority="1773">
      <formula>AV11="후보"</formula>
    </cfRule>
  </conditionalFormatting>
  <conditionalFormatting sqref="Z11">
    <cfRule type="colorScale" priority="17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1659" priority="1769" operator="greaterThan">
      <formula>0.9</formula>
    </cfRule>
    <cfRule type="cellIs" dxfId="1658" priority="1770" operator="greaterThan">
      <formula>0.85</formula>
    </cfRule>
  </conditionalFormatting>
  <conditionalFormatting sqref="AV12">
    <cfRule type="expression" dxfId="1657" priority="1767">
      <formula>AV12="X"</formula>
    </cfRule>
    <cfRule type="expression" dxfId="1656" priority="1768">
      <formula>AV12="후보"</formula>
    </cfRule>
  </conditionalFormatting>
  <conditionalFormatting sqref="Z12">
    <cfRule type="colorScale" priority="1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655" priority="1764" operator="greaterThan">
      <formula>0.9</formula>
    </cfRule>
    <cfRule type="cellIs" dxfId="1654" priority="1765" operator="greaterThan">
      <formula>0.85</formula>
    </cfRule>
  </conditionalFormatting>
  <conditionalFormatting sqref="N12">
    <cfRule type="cellIs" dxfId="1653" priority="1762" operator="greaterThan">
      <formula>0.9</formula>
    </cfRule>
    <cfRule type="cellIs" dxfId="1652" priority="1763" operator="greaterThan">
      <formula>0.85</formula>
    </cfRule>
  </conditionalFormatting>
  <conditionalFormatting sqref="E12">
    <cfRule type="expression" dxfId="1651" priority="1758">
      <formula>AND(IF(OR($Q12=1,$Q12=2),1,0),IF($X12&lt;=20,1,0))</formula>
    </cfRule>
    <cfRule type="expression" dxfId="1650" priority="1759">
      <formula>AND(IF($Q12=2,1,0),IF($X12&lt;30,1,0))</formula>
    </cfRule>
    <cfRule type="expression" dxfId="1649" priority="1760">
      <formula>AND(IF($Q12=3,1,0),IF($X12&lt;30,1,0))</formula>
    </cfRule>
    <cfRule type="expression" dxfId="1648" priority="1761">
      <formula>AND(IF($Q12=3,1,IF($Q12=4,1,0)),IF($F12&lt;=85,1,0))</formula>
    </cfRule>
  </conditionalFormatting>
  <conditionalFormatting sqref="X12">
    <cfRule type="expression" dxfId="1647" priority="1754">
      <formula>AND(IF(OR($Q12=1,$Q12=2),1,0),IF($X12&lt;=20,1,0))</formula>
    </cfRule>
    <cfRule type="expression" dxfId="1646" priority="1755">
      <formula>AND(IF($Q12=2,1,0),IF($X12&lt;30,1,0))</formula>
    </cfRule>
    <cfRule type="expression" dxfId="1645" priority="1756">
      <formula>AND(IF($Q12=3,1,0),IF($X12&lt;30,1,0))</formula>
    </cfRule>
    <cfRule type="expression" dxfId="1644" priority="1757">
      <formula>AND(IF($Q12=3,1,IF($Q12=4,1,0)),IF($F12&lt;=85,1,0))</formula>
    </cfRule>
  </conditionalFormatting>
  <conditionalFormatting sqref="AI12">
    <cfRule type="expression" dxfId="1643" priority="1750">
      <formula>AND(IF(OR($Q12=1,$Q12=2),1,0),IF($X12&lt;=20,1,0))</formula>
    </cfRule>
    <cfRule type="expression" dxfId="1642" priority="1751">
      <formula>AND(IF($Q12=2,1,0),IF($X12&lt;30,1,0))</formula>
    </cfRule>
    <cfRule type="expression" dxfId="1641" priority="1752">
      <formula>AND(IF($Q12=3,1,0),IF($X12&lt;30,1,0))</formula>
    </cfRule>
    <cfRule type="expression" dxfId="1640" priority="1753">
      <formula>AND(IF($Q12=3,1,IF($Q12=4,1,0)),IF($F12&lt;=85,1,0))</formula>
    </cfRule>
  </conditionalFormatting>
  <conditionalFormatting sqref="AV13">
    <cfRule type="expression" dxfId="1639" priority="1748">
      <formula>AV13="X"</formula>
    </cfRule>
    <cfRule type="expression" dxfId="1638" priority="1749">
      <formula>AV13="후보"</formula>
    </cfRule>
  </conditionalFormatting>
  <conditionalFormatting sqref="Z13">
    <cfRule type="colorScale" priority="17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637" priority="1745" operator="greaterThan">
      <formula>0.9</formula>
    </cfRule>
    <cfRule type="cellIs" dxfId="1636" priority="1746" operator="greaterThan">
      <formula>0.85</formula>
    </cfRule>
  </conditionalFormatting>
  <conditionalFormatting sqref="N13">
    <cfRule type="cellIs" dxfId="1635" priority="1743" operator="greaterThan">
      <formula>0.9</formula>
    </cfRule>
    <cfRule type="cellIs" dxfId="1634" priority="1744" operator="greaterThan">
      <formula>0.85</formula>
    </cfRule>
  </conditionalFormatting>
  <conditionalFormatting sqref="E13">
    <cfRule type="expression" dxfId="1633" priority="1739">
      <formula>AND(IF(OR($Q13=1,$Q13=2),1,0),IF($X13&lt;=20,1,0))</formula>
    </cfRule>
    <cfRule type="expression" dxfId="1632" priority="1740">
      <formula>AND(IF($Q13=2,1,0),IF($X13&lt;30,1,0))</formula>
    </cfRule>
    <cfRule type="expression" dxfId="1631" priority="1741">
      <formula>AND(IF($Q13=3,1,0),IF($X13&lt;30,1,0))</formula>
    </cfRule>
    <cfRule type="expression" dxfId="1630" priority="1742">
      <formula>AND(IF($Q13=3,1,IF($Q13=4,1,0)),IF($F13&lt;=85,1,0))</formula>
    </cfRule>
  </conditionalFormatting>
  <conditionalFormatting sqref="X13">
    <cfRule type="expression" dxfId="1629" priority="1735">
      <formula>AND(IF(OR($Q13=1,$Q13=2),1,0),IF($X13&lt;=20,1,0))</formula>
    </cfRule>
    <cfRule type="expression" dxfId="1628" priority="1736">
      <formula>AND(IF($Q13=2,1,0),IF($X13&lt;30,1,0))</formula>
    </cfRule>
    <cfRule type="expression" dxfId="1627" priority="1737">
      <formula>AND(IF($Q13=3,1,0),IF($X13&lt;30,1,0))</formula>
    </cfRule>
    <cfRule type="expression" dxfId="1626" priority="1738">
      <formula>AND(IF($Q13=3,1,IF($Q13=4,1,0)),IF($F13&lt;=85,1,0))</formula>
    </cfRule>
  </conditionalFormatting>
  <conditionalFormatting sqref="AI13">
    <cfRule type="expression" dxfId="1625" priority="1731">
      <formula>AND(IF(OR($Q13=1,$Q13=2),1,0),IF($X13&lt;=20,1,0))</formula>
    </cfRule>
    <cfRule type="expression" dxfId="1624" priority="1732">
      <formula>AND(IF($Q13=2,1,0),IF($X13&lt;30,1,0))</formula>
    </cfRule>
    <cfRule type="expression" dxfId="1623" priority="1733">
      <formula>AND(IF($Q13=3,1,0),IF($X13&lt;30,1,0))</formula>
    </cfRule>
    <cfRule type="expression" dxfId="1622" priority="1734">
      <formula>AND(IF($Q13=3,1,IF($Q13=4,1,0)),IF($F13&lt;=85,1,0))</formula>
    </cfRule>
  </conditionalFormatting>
  <conditionalFormatting sqref="AV14">
    <cfRule type="expression" dxfId="1621" priority="1729">
      <formula>AV14="X"</formula>
    </cfRule>
    <cfRule type="expression" dxfId="1620" priority="1730">
      <formula>AV14="후보"</formula>
    </cfRule>
  </conditionalFormatting>
  <conditionalFormatting sqref="Z14">
    <cfRule type="colorScale" priority="1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619" priority="1726" operator="greaterThan">
      <formula>0.9</formula>
    </cfRule>
    <cfRule type="cellIs" dxfId="1618" priority="1727" operator="greaterThan">
      <formula>0.85</formula>
    </cfRule>
  </conditionalFormatting>
  <conditionalFormatting sqref="N14">
    <cfRule type="cellIs" dxfId="1617" priority="1724" operator="greaterThan">
      <formula>0.9</formula>
    </cfRule>
    <cfRule type="cellIs" dxfId="1616" priority="1725" operator="greaterThan">
      <formula>0.85</formula>
    </cfRule>
  </conditionalFormatting>
  <conditionalFormatting sqref="E14">
    <cfRule type="expression" dxfId="1615" priority="1720">
      <formula>AND(IF(OR($Q14=1,$Q14=2),1,0),IF($X14&lt;=20,1,0))</formula>
    </cfRule>
    <cfRule type="expression" dxfId="1614" priority="1721">
      <formula>AND(IF($Q14=2,1,0),IF($X14&lt;30,1,0))</formula>
    </cfRule>
    <cfRule type="expression" dxfId="1613" priority="1722">
      <formula>AND(IF($Q14=3,1,0),IF($X14&lt;30,1,0))</formula>
    </cfRule>
    <cfRule type="expression" dxfId="1612" priority="1723">
      <formula>AND(IF($Q14=3,1,IF($Q14=4,1,0)),IF($F14&lt;=85,1,0))</formula>
    </cfRule>
  </conditionalFormatting>
  <conditionalFormatting sqref="X14">
    <cfRule type="expression" dxfId="1611" priority="1716">
      <formula>AND(IF(OR($Q14=1,$Q14=2),1,0),IF($X14&lt;=20,1,0))</formula>
    </cfRule>
    <cfRule type="expression" dxfId="1610" priority="1717">
      <formula>AND(IF($Q14=2,1,0),IF($X14&lt;30,1,0))</formula>
    </cfRule>
    <cfRule type="expression" dxfId="1609" priority="1718">
      <formula>AND(IF($Q14=3,1,0),IF($X14&lt;30,1,0))</formula>
    </cfRule>
    <cfRule type="expression" dxfId="1608" priority="1719">
      <formula>AND(IF($Q14=3,1,IF($Q14=4,1,0)),IF($F14&lt;=85,1,0))</formula>
    </cfRule>
  </conditionalFormatting>
  <conditionalFormatting sqref="AI14">
    <cfRule type="expression" dxfId="1607" priority="1712">
      <formula>AND(IF(OR($Q14=1,$Q14=2),1,0),IF($X14&lt;=20,1,0))</formula>
    </cfRule>
    <cfRule type="expression" dxfId="1606" priority="1713">
      <formula>AND(IF($Q14=2,1,0),IF($X14&lt;30,1,0))</formula>
    </cfRule>
    <cfRule type="expression" dxfId="1605" priority="1714">
      <formula>AND(IF($Q14=3,1,0),IF($X14&lt;30,1,0))</formula>
    </cfRule>
    <cfRule type="expression" dxfId="1604" priority="1715">
      <formula>AND(IF($Q14=3,1,IF($Q14=4,1,0)),IF($F14&lt;=85,1,0))</formula>
    </cfRule>
  </conditionalFormatting>
  <conditionalFormatting sqref="AV15">
    <cfRule type="expression" dxfId="1603" priority="1710">
      <formula>AV15="X"</formula>
    </cfRule>
    <cfRule type="expression" dxfId="1602" priority="1711">
      <formula>AV15="후보"</formula>
    </cfRule>
  </conditionalFormatting>
  <conditionalFormatting sqref="Z15">
    <cfRule type="colorScale" priority="1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601" priority="1707" operator="greaterThan">
      <formula>0.9</formula>
    </cfRule>
    <cfRule type="cellIs" dxfId="1600" priority="1708" operator="greaterThan">
      <formula>0.85</formula>
    </cfRule>
  </conditionalFormatting>
  <conditionalFormatting sqref="AV16">
    <cfRule type="expression" dxfId="1599" priority="1705">
      <formula>AV16="X"</formula>
    </cfRule>
    <cfRule type="expression" dxfId="1598" priority="1706">
      <formula>AV16="후보"</formula>
    </cfRule>
  </conditionalFormatting>
  <conditionalFormatting sqref="Z16">
    <cfRule type="colorScale" priority="1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597" priority="1702" operator="greaterThan">
      <formula>0.9</formula>
    </cfRule>
    <cfRule type="cellIs" dxfId="1596" priority="1703" operator="greaterThan">
      <formula>0.85</formula>
    </cfRule>
  </conditionalFormatting>
  <conditionalFormatting sqref="N16">
    <cfRule type="cellIs" dxfId="1595" priority="1700" operator="greaterThan">
      <formula>0.9</formula>
    </cfRule>
    <cfRule type="cellIs" dxfId="1594" priority="1701" operator="greaterThan">
      <formula>0.85</formula>
    </cfRule>
  </conditionalFormatting>
  <conditionalFormatting sqref="E16">
    <cfRule type="expression" dxfId="1593" priority="1696">
      <formula>AND(IF(OR($Q16=1,$Q16=2),1,0),IF($X16&lt;=20,1,0))</formula>
    </cfRule>
    <cfRule type="expression" dxfId="1592" priority="1697">
      <formula>AND(IF($Q16=2,1,0),IF($X16&lt;30,1,0))</formula>
    </cfRule>
    <cfRule type="expression" dxfId="1591" priority="1698">
      <formula>AND(IF($Q16=3,1,0),IF($X16&lt;30,1,0))</formula>
    </cfRule>
    <cfRule type="expression" dxfId="1590" priority="1699">
      <formula>AND(IF($Q16=3,1,IF($Q16=4,1,0)),IF($F16&lt;=85,1,0))</formula>
    </cfRule>
  </conditionalFormatting>
  <conditionalFormatting sqref="X16">
    <cfRule type="expression" dxfId="1589" priority="1692">
      <formula>AND(IF(OR($Q16=1,$Q16=2),1,0),IF($X16&lt;=20,1,0))</formula>
    </cfRule>
    <cfRule type="expression" dxfId="1588" priority="1693">
      <formula>AND(IF($Q16=2,1,0),IF($X16&lt;30,1,0))</formula>
    </cfRule>
    <cfRule type="expression" dxfId="1587" priority="1694">
      <formula>AND(IF($Q16=3,1,0),IF($X16&lt;30,1,0))</formula>
    </cfRule>
    <cfRule type="expression" dxfId="1586" priority="1695">
      <formula>AND(IF($Q16=3,1,IF($Q16=4,1,0)),IF($F16&lt;=85,1,0))</formula>
    </cfRule>
  </conditionalFormatting>
  <conditionalFormatting sqref="AI16">
    <cfRule type="expression" dxfId="1585" priority="1688">
      <formula>AND(IF(OR($Q16=1,$Q16=2),1,0),IF($X16&lt;=20,1,0))</formula>
    </cfRule>
    <cfRule type="expression" dxfId="1584" priority="1689">
      <formula>AND(IF($Q16=2,1,0),IF($X16&lt;30,1,0))</formula>
    </cfRule>
    <cfRule type="expression" dxfId="1583" priority="1690">
      <formula>AND(IF($Q16=3,1,0),IF($X16&lt;30,1,0))</formula>
    </cfRule>
    <cfRule type="expression" dxfId="1582" priority="1691">
      <formula>AND(IF($Q16=3,1,IF($Q16=4,1,0)),IF($F16&lt;=85,1,0))</formula>
    </cfRule>
  </conditionalFormatting>
  <conditionalFormatting sqref="AV17">
    <cfRule type="expression" dxfId="1581" priority="1686">
      <formula>AV17="X"</formula>
    </cfRule>
    <cfRule type="expression" dxfId="1580" priority="1687">
      <formula>AV17="후보"</formula>
    </cfRule>
  </conditionalFormatting>
  <conditionalFormatting sqref="Z17">
    <cfRule type="colorScale" priority="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579" priority="1683" operator="greaterThan">
      <formula>0.9</formula>
    </cfRule>
    <cfRule type="cellIs" dxfId="1578" priority="1684" operator="greaterThan">
      <formula>0.85</formula>
    </cfRule>
  </conditionalFormatting>
  <conditionalFormatting sqref="N17">
    <cfRule type="cellIs" dxfId="1577" priority="1681" operator="greaterThan">
      <formula>0.9</formula>
    </cfRule>
    <cfRule type="cellIs" dxfId="1576" priority="1682" operator="greaterThan">
      <formula>0.85</formula>
    </cfRule>
  </conditionalFormatting>
  <conditionalFormatting sqref="E17">
    <cfRule type="expression" dxfId="1575" priority="1677">
      <formula>AND(IF(OR($Q17=1,$Q17=2),1,0),IF($X17&lt;=20,1,0))</formula>
    </cfRule>
    <cfRule type="expression" dxfId="1574" priority="1678">
      <formula>AND(IF($Q17=2,1,0),IF($X17&lt;30,1,0))</formula>
    </cfRule>
    <cfRule type="expression" dxfId="1573" priority="1679">
      <formula>AND(IF($Q17=3,1,0),IF($X17&lt;30,1,0))</formula>
    </cfRule>
    <cfRule type="expression" dxfId="1572" priority="1680">
      <formula>AND(IF($Q17=3,1,IF($Q17=4,1,0)),IF($F17&lt;=85,1,0))</formula>
    </cfRule>
  </conditionalFormatting>
  <conditionalFormatting sqref="X17">
    <cfRule type="expression" dxfId="1571" priority="1673">
      <formula>AND(IF(OR($Q17=1,$Q17=2),1,0),IF($X17&lt;=20,1,0))</formula>
    </cfRule>
    <cfRule type="expression" dxfId="1570" priority="1674">
      <formula>AND(IF($Q17=2,1,0),IF($X17&lt;30,1,0))</formula>
    </cfRule>
    <cfRule type="expression" dxfId="1569" priority="1675">
      <formula>AND(IF($Q17=3,1,0),IF($X17&lt;30,1,0))</formula>
    </cfRule>
    <cfRule type="expression" dxfId="1568" priority="1676">
      <formula>AND(IF($Q17=3,1,IF($Q17=4,1,0)),IF($F17&lt;=85,1,0))</formula>
    </cfRule>
  </conditionalFormatting>
  <conditionalFormatting sqref="AI17">
    <cfRule type="expression" dxfId="1567" priority="1669">
      <formula>AND(IF(OR($Q17=1,$Q17=2),1,0),IF($X17&lt;=20,1,0))</formula>
    </cfRule>
    <cfRule type="expression" dxfId="1566" priority="1670">
      <formula>AND(IF($Q17=2,1,0),IF($X17&lt;30,1,0))</formula>
    </cfRule>
    <cfRule type="expression" dxfId="1565" priority="1671">
      <formula>AND(IF($Q17=3,1,0),IF($X17&lt;30,1,0))</formula>
    </cfRule>
    <cfRule type="expression" dxfId="1564" priority="1672">
      <formula>AND(IF($Q17=3,1,IF($Q17=4,1,0)),IF($F17&lt;=85,1,0))</formula>
    </cfRule>
  </conditionalFormatting>
  <conditionalFormatting sqref="AV18">
    <cfRule type="expression" dxfId="1563" priority="1667">
      <formula>AV18="X"</formula>
    </cfRule>
    <cfRule type="expression" dxfId="1562" priority="1668">
      <formula>AV18="후보"</formula>
    </cfRule>
  </conditionalFormatting>
  <conditionalFormatting sqref="Z18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1561" priority="1664" operator="greaterThan">
      <formula>0.9</formula>
    </cfRule>
    <cfRule type="cellIs" dxfId="1560" priority="1665" operator="greaterThan">
      <formula>0.85</formula>
    </cfRule>
  </conditionalFormatting>
  <conditionalFormatting sqref="AV19">
    <cfRule type="expression" dxfId="1559" priority="1662">
      <formula>AV19="X"</formula>
    </cfRule>
    <cfRule type="expression" dxfId="1558" priority="1663">
      <formula>AV19="후보"</formula>
    </cfRule>
  </conditionalFormatting>
  <conditionalFormatting sqref="Z19">
    <cfRule type="colorScale" priority="1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557" priority="1659" operator="greaterThan">
      <formula>0.9</formula>
    </cfRule>
    <cfRule type="cellIs" dxfId="1556" priority="1660" operator="greaterThan">
      <formula>0.85</formula>
    </cfRule>
  </conditionalFormatting>
  <conditionalFormatting sqref="N19">
    <cfRule type="cellIs" dxfId="1555" priority="1657" operator="greaterThan">
      <formula>0.9</formula>
    </cfRule>
    <cfRule type="cellIs" dxfId="1554" priority="1658" operator="greaterThan">
      <formula>0.85</formula>
    </cfRule>
  </conditionalFormatting>
  <conditionalFormatting sqref="E19">
    <cfRule type="expression" dxfId="1553" priority="1653">
      <formula>AND(IF(OR($Q19=1,$Q19=2),1,0),IF($X19&lt;=20,1,0))</formula>
    </cfRule>
    <cfRule type="expression" dxfId="1552" priority="1654">
      <formula>AND(IF($Q19=2,1,0),IF($X19&lt;30,1,0))</formula>
    </cfRule>
    <cfRule type="expression" dxfId="1551" priority="1655">
      <formula>AND(IF($Q19=3,1,0),IF($X19&lt;30,1,0))</formula>
    </cfRule>
    <cfRule type="expression" dxfId="1550" priority="1656">
      <formula>AND(IF($Q19=3,1,IF($Q19=4,1,0)),IF($F19&lt;=85,1,0))</formula>
    </cfRule>
  </conditionalFormatting>
  <conditionalFormatting sqref="X19">
    <cfRule type="expression" dxfId="1549" priority="1649">
      <formula>AND(IF(OR($Q19=1,$Q19=2),1,0),IF($X19&lt;=20,1,0))</formula>
    </cfRule>
    <cfRule type="expression" dxfId="1548" priority="1650">
      <formula>AND(IF($Q19=2,1,0),IF($X19&lt;30,1,0))</formula>
    </cfRule>
    <cfRule type="expression" dxfId="1547" priority="1651">
      <formula>AND(IF($Q19=3,1,0),IF($X19&lt;30,1,0))</formula>
    </cfRule>
    <cfRule type="expression" dxfId="1546" priority="1652">
      <formula>AND(IF($Q19=3,1,IF($Q19=4,1,0)),IF($F19&lt;=85,1,0))</formula>
    </cfRule>
  </conditionalFormatting>
  <conditionalFormatting sqref="AI19">
    <cfRule type="expression" dxfId="1545" priority="1645">
      <formula>AND(IF(OR($Q19=1,$Q19=2),1,0),IF($X19&lt;=20,1,0))</formula>
    </cfRule>
    <cfRule type="expression" dxfId="1544" priority="1646">
      <formula>AND(IF($Q19=2,1,0),IF($X19&lt;30,1,0))</formula>
    </cfRule>
    <cfRule type="expression" dxfId="1543" priority="1647">
      <formula>AND(IF($Q19=3,1,0),IF($X19&lt;30,1,0))</formula>
    </cfRule>
    <cfRule type="expression" dxfId="1542" priority="1648">
      <formula>AND(IF($Q19=3,1,IF($Q19=4,1,0)),IF($F19&lt;=85,1,0))</formula>
    </cfRule>
  </conditionalFormatting>
  <conditionalFormatting sqref="AV20">
    <cfRule type="expression" dxfId="1541" priority="1643">
      <formula>AV20="X"</formula>
    </cfRule>
    <cfRule type="expression" dxfId="1540" priority="1644">
      <formula>AV20="후보"</formula>
    </cfRule>
  </conditionalFormatting>
  <conditionalFormatting sqref="Z20">
    <cfRule type="colorScale" priority="1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539" priority="1640" operator="greaterThan">
      <formula>0.9</formula>
    </cfRule>
    <cfRule type="cellIs" dxfId="1538" priority="1641" operator="greaterThan">
      <formula>0.85</formula>
    </cfRule>
  </conditionalFormatting>
  <conditionalFormatting sqref="N20">
    <cfRule type="cellIs" dxfId="1537" priority="1638" operator="greaterThan">
      <formula>0.9</formula>
    </cfRule>
    <cfRule type="cellIs" dxfId="1536" priority="1639" operator="greaterThan">
      <formula>0.85</formula>
    </cfRule>
  </conditionalFormatting>
  <conditionalFormatting sqref="E20">
    <cfRule type="expression" dxfId="1535" priority="1634">
      <formula>AND(IF(OR($Q20=1,$Q20=2),1,0),IF($X20&lt;=20,1,0))</formula>
    </cfRule>
    <cfRule type="expression" dxfId="1534" priority="1635">
      <formula>AND(IF($Q20=2,1,0),IF($X20&lt;30,1,0))</formula>
    </cfRule>
    <cfRule type="expression" dxfId="1533" priority="1636">
      <formula>AND(IF($Q20=3,1,0),IF($X20&lt;30,1,0))</formula>
    </cfRule>
    <cfRule type="expression" dxfId="1532" priority="1637">
      <formula>AND(IF($Q20=3,1,IF($Q20=4,1,0)),IF($F20&lt;=85,1,0))</formula>
    </cfRule>
  </conditionalFormatting>
  <conditionalFormatting sqref="X20">
    <cfRule type="expression" dxfId="1531" priority="1630">
      <formula>AND(IF(OR($Q20=1,$Q20=2),1,0),IF($X20&lt;=20,1,0))</formula>
    </cfRule>
    <cfRule type="expression" dxfId="1530" priority="1631">
      <formula>AND(IF($Q20=2,1,0),IF($X20&lt;30,1,0))</formula>
    </cfRule>
    <cfRule type="expression" dxfId="1529" priority="1632">
      <formula>AND(IF($Q20=3,1,0),IF($X20&lt;30,1,0))</formula>
    </cfRule>
    <cfRule type="expression" dxfId="1528" priority="1633">
      <formula>AND(IF($Q20=3,1,IF($Q20=4,1,0)),IF($F20&lt;=85,1,0))</formula>
    </cfRule>
  </conditionalFormatting>
  <conditionalFormatting sqref="AI20">
    <cfRule type="expression" dxfId="1527" priority="1626">
      <formula>AND(IF(OR($Q20=1,$Q20=2),1,0),IF($X20&lt;=20,1,0))</formula>
    </cfRule>
    <cfRule type="expression" dxfId="1526" priority="1627">
      <formula>AND(IF($Q20=2,1,0),IF($X20&lt;30,1,0))</formula>
    </cfRule>
    <cfRule type="expression" dxfId="1525" priority="1628">
      <formula>AND(IF($Q20=3,1,0),IF($X20&lt;30,1,0))</formula>
    </cfRule>
    <cfRule type="expression" dxfId="1524" priority="1629">
      <formula>AND(IF($Q20=3,1,IF($Q20=4,1,0)),IF($F20&lt;=85,1,0))</formula>
    </cfRule>
  </conditionalFormatting>
  <conditionalFormatting sqref="AV21">
    <cfRule type="expression" dxfId="1523" priority="1624">
      <formula>AV21="X"</formula>
    </cfRule>
    <cfRule type="expression" dxfId="1522" priority="1625">
      <formula>AV21="후보"</formula>
    </cfRule>
  </conditionalFormatting>
  <conditionalFormatting sqref="Z21">
    <cfRule type="colorScale" priority="1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521" priority="1621" operator="greaterThan">
      <formula>0.9</formula>
    </cfRule>
    <cfRule type="cellIs" dxfId="1520" priority="1622" operator="greaterThan">
      <formula>0.85</formula>
    </cfRule>
  </conditionalFormatting>
  <conditionalFormatting sqref="N21">
    <cfRule type="cellIs" dxfId="1519" priority="1619" operator="greaterThan">
      <formula>0.9</formula>
    </cfRule>
    <cfRule type="cellIs" dxfId="1518" priority="1620" operator="greaterThan">
      <formula>0.85</formula>
    </cfRule>
  </conditionalFormatting>
  <conditionalFormatting sqref="E21">
    <cfRule type="expression" dxfId="1517" priority="1615">
      <formula>AND(IF(OR($Q21=1,$Q21=2),1,0),IF($X21&lt;=20,1,0))</formula>
    </cfRule>
    <cfRule type="expression" dxfId="1516" priority="1616">
      <formula>AND(IF($Q21=2,1,0),IF($X21&lt;30,1,0))</formula>
    </cfRule>
    <cfRule type="expression" dxfId="1515" priority="1617">
      <formula>AND(IF($Q21=3,1,0),IF($X21&lt;30,1,0))</formula>
    </cfRule>
    <cfRule type="expression" dxfId="1514" priority="1618">
      <formula>AND(IF($Q21=3,1,IF($Q21=4,1,0)),IF($F21&lt;=85,1,0))</formula>
    </cfRule>
  </conditionalFormatting>
  <conditionalFormatting sqref="X21">
    <cfRule type="expression" dxfId="1513" priority="1611">
      <formula>AND(IF(OR($Q21=1,$Q21=2),1,0),IF($X21&lt;=20,1,0))</formula>
    </cfRule>
    <cfRule type="expression" dxfId="1512" priority="1612">
      <formula>AND(IF($Q21=2,1,0),IF($X21&lt;30,1,0))</formula>
    </cfRule>
    <cfRule type="expression" dxfId="1511" priority="1613">
      <formula>AND(IF($Q21=3,1,0),IF($X21&lt;30,1,0))</formula>
    </cfRule>
    <cfRule type="expression" dxfId="1510" priority="1614">
      <formula>AND(IF($Q21=3,1,IF($Q21=4,1,0)),IF($F21&lt;=85,1,0))</formula>
    </cfRule>
  </conditionalFormatting>
  <conditionalFormatting sqref="AI21">
    <cfRule type="expression" dxfId="1509" priority="1607">
      <formula>AND(IF(OR($Q21=1,$Q21=2),1,0),IF($X21&lt;=20,1,0))</formula>
    </cfRule>
    <cfRule type="expression" dxfId="1508" priority="1608">
      <formula>AND(IF($Q21=2,1,0),IF($X21&lt;30,1,0))</formula>
    </cfRule>
    <cfRule type="expression" dxfId="1507" priority="1609">
      <formula>AND(IF($Q21=3,1,0),IF($X21&lt;30,1,0))</formula>
    </cfRule>
    <cfRule type="expression" dxfId="1506" priority="1610">
      <formula>AND(IF($Q21=3,1,IF($Q21=4,1,0)),IF($F21&lt;=85,1,0))</formula>
    </cfRule>
  </conditionalFormatting>
  <conditionalFormatting sqref="AV22">
    <cfRule type="expression" dxfId="1505" priority="1605">
      <formula>AV22="X"</formula>
    </cfRule>
    <cfRule type="expression" dxfId="1504" priority="1606">
      <formula>AV22="후보"</formula>
    </cfRule>
  </conditionalFormatting>
  <conditionalFormatting sqref="Z22">
    <cfRule type="colorScale" priority="1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503" priority="1602" operator="greaterThan">
      <formula>0.9</formula>
    </cfRule>
    <cfRule type="cellIs" dxfId="1502" priority="1603" operator="greaterThan">
      <formula>0.85</formula>
    </cfRule>
  </conditionalFormatting>
  <conditionalFormatting sqref="AV23">
    <cfRule type="expression" dxfId="1501" priority="1600">
      <formula>AV23="X"</formula>
    </cfRule>
    <cfRule type="expression" dxfId="1500" priority="1601">
      <formula>AV23="후보"</formula>
    </cfRule>
  </conditionalFormatting>
  <conditionalFormatting sqref="Z23">
    <cfRule type="colorScale" priority="15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499" priority="1597" operator="greaterThan">
      <formula>0.9</formula>
    </cfRule>
    <cfRule type="cellIs" dxfId="1498" priority="1598" operator="greaterThan">
      <formula>0.85</formula>
    </cfRule>
  </conditionalFormatting>
  <conditionalFormatting sqref="N23">
    <cfRule type="cellIs" dxfId="1497" priority="1595" operator="greaterThan">
      <formula>0.9</formula>
    </cfRule>
    <cfRule type="cellIs" dxfId="1496" priority="1596" operator="greaterThan">
      <formula>0.85</formula>
    </cfRule>
  </conditionalFormatting>
  <conditionalFormatting sqref="E23">
    <cfRule type="expression" dxfId="1495" priority="1591">
      <formula>AND(IF(OR($Q23=1,$Q23=2),1,0),IF($X23&lt;=20,1,0))</formula>
    </cfRule>
    <cfRule type="expression" dxfId="1494" priority="1592">
      <formula>AND(IF($Q23=2,1,0),IF($X23&lt;30,1,0))</formula>
    </cfRule>
    <cfRule type="expression" dxfId="1493" priority="1593">
      <formula>AND(IF($Q23=3,1,0),IF($X23&lt;30,1,0))</formula>
    </cfRule>
    <cfRule type="expression" dxfId="1492" priority="1594">
      <formula>AND(IF($Q23=3,1,IF($Q23=4,1,0)),IF($F23&lt;=85,1,0))</formula>
    </cfRule>
  </conditionalFormatting>
  <conditionalFormatting sqref="X23">
    <cfRule type="expression" dxfId="1491" priority="1587">
      <formula>AND(IF(OR($Q23=1,$Q23=2),1,0),IF($X23&lt;=20,1,0))</formula>
    </cfRule>
    <cfRule type="expression" dxfId="1490" priority="1588">
      <formula>AND(IF($Q23=2,1,0),IF($X23&lt;30,1,0))</formula>
    </cfRule>
    <cfRule type="expression" dxfId="1489" priority="1589">
      <formula>AND(IF($Q23=3,1,0),IF($X23&lt;30,1,0))</formula>
    </cfRule>
    <cfRule type="expression" dxfId="1488" priority="1590">
      <formula>AND(IF($Q23=3,1,IF($Q23=4,1,0)),IF($F23&lt;=85,1,0))</formula>
    </cfRule>
  </conditionalFormatting>
  <conditionalFormatting sqref="AI23">
    <cfRule type="expression" dxfId="1487" priority="1583">
      <formula>AND(IF(OR($Q23=1,$Q23=2),1,0),IF($X23&lt;=20,1,0))</formula>
    </cfRule>
    <cfRule type="expression" dxfId="1486" priority="1584">
      <formula>AND(IF($Q23=2,1,0),IF($X23&lt;30,1,0))</formula>
    </cfRule>
    <cfRule type="expression" dxfId="1485" priority="1585">
      <formula>AND(IF($Q23=3,1,0),IF($X23&lt;30,1,0))</formula>
    </cfRule>
    <cfRule type="expression" dxfId="1484" priority="1586">
      <formula>AND(IF($Q23=3,1,IF($Q23=4,1,0)),IF($F23&lt;=85,1,0))</formula>
    </cfRule>
  </conditionalFormatting>
  <conditionalFormatting sqref="AV24">
    <cfRule type="expression" dxfId="1483" priority="1581">
      <formula>AV24="X"</formula>
    </cfRule>
    <cfRule type="expression" dxfId="1482" priority="1582">
      <formula>AV24="후보"</formula>
    </cfRule>
  </conditionalFormatting>
  <conditionalFormatting sqref="Z24">
    <cfRule type="colorScale" priority="1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481" priority="1578" operator="greaterThan">
      <formula>0.9</formula>
    </cfRule>
    <cfRule type="cellIs" dxfId="1480" priority="1579" operator="greaterThan">
      <formula>0.85</formula>
    </cfRule>
  </conditionalFormatting>
  <conditionalFormatting sqref="N24">
    <cfRule type="cellIs" dxfId="1479" priority="1576" operator="greaterThan">
      <formula>0.9</formula>
    </cfRule>
    <cfRule type="cellIs" dxfId="1478" priority="1577" operator="greaterThan">
      <formula>0.85</formula>
    </cfRule>
  </conditionalFormatting>
  <conditionalFormatting sqref="E24">
    <cfRule type="expression" dxfId="1477" priority="1572">
      <formula>AND(IF(OR($Q24=1,$Q24=2),1,0),IF($X24&lt;=20,1,0))</formula>
    </cfRule>
    <cfRule type="expression" dxfId="1476" priority="1573">
      <formula>AND(IF($Q24=2,1,0),IF($X24&lt;30,1,0))</formula>
    </cfRule>
    <cfRule type="expression" dxfId="1475" priority="1574">
      <formula>AND(IF($Q24=3,1,0),IF($X24&lt;30,1,0))</formula>
    </cfRule>
    <cfRule type="expression" dxfId="1474" priority="1575">
      <formula>AND(IF($Q24=3,1,IF($Q24=4,1,0)),IF($F24&lt;=85,1,0))</formula>
    </cfRule>
  </conditionalFormatting>
  <conditionalFormatting sqref="X24">
    <cfRule type="expression" dxfId="1473" priority="1568">
      <formula>AND(IF(OR($Q24=1,$Q24=2),1,0),IF($X24&lt;=20,1,0))</formula>
    </cfRule>
    <cfRule type="expression" dxfId="1472" priority="1569">
      <formula>AND(IF($Q24=2,1,0),IF($X24&lt;30,1,0))</formula>
    </cfRule>
    <cfRule type="expression" dxfId="1471" priority="1570">
      <formula>AND(IF($Q24=3,1,0),IF($X24&lt;30,1,0))</formula>
    </cfRule>
    <cfRule type="expression" dxfId="1470" priority="1571">
      <formula>AND(IF($Q24=3,1,IF($Q24=4,1,0)),IF($F24&lt;=85,1,0))</formula>
    </cfRule>
  </conditionalFormatting>
  <conditionalFormatting sqref="AI24">
    <cfRule type="expression" dxfId="1469" priority="1564">
      <formula>AND(IF(OR($Q24=1,$Q24=2),1,0),IF($X24&lt;=20,1,0))</formula>
    </cfRule>
    <cfRule type="expression" dxfId="1468" priority="1565">
      <formula>AND(IF($Q24=2,1,0),IF($X24&lt;30,1,0))</formula>
    </cfRule>
    <cfRule type="expression" dxfId="1467" priority="1566">
      <formula>AND(IF($Q24=3,1,0),IF($X24&lt;30,1,0))</formula>
    </cfRule>
    <cfRule type="expression" dxfId="1466" priority="1567">
      <formula>AND(IF($Q24=3,1,IF($Q24=4,1,0)),IF($F24&lt;=85,1,0))</formula>
    </cfRule>
  </conditionalFormatting>
  <conditionalFormatting sqref="AV25">
    <cfRule type="expression" dxfId="1465" priority="1562">
      <formula>AV25="X"</formula>
    </cfRule>
    <cfRule type="expression" dxfId="1464" priority="1563">
      <formula>AV25="후보"</formula>
    </cfRule>
  </conditionalFormatting>
  <conditionalFormatting sqref="Z25">
    <cfRule type="colorScale" priority="1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463" priority="1559" operator="greaterThan">
      <formula>0.9</formula>
    </cfRule>
    <cfRule type="cellIs" dxfId="1462" priority="1560" operator="greaterThan">
      <formula>0.85</formula>
    </cfRule>
  </conditionalFormatting>
  <conditionalFormatting sqref="AV26">
    <cfRule type="expression" dxfId="1461" priority="1557">
      <formula>AV26="X"</formula>
    </cfRule>
    <cfRule type="expression" dxfId="1460" priority="1558">
      <formula>AV26="후보"</formula>
    </cfRule>
  </conditionalFormatting>
  <conditionalFormatting sqref="Z26">
    <cfRule type="colorScale" priority="1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459" priority="1554" operator="greaterThan">
      <formula>0.9</formula>
    </cfRule>
    <cfRule type="cellIs" dxfId="1458" priority="1555" operator="greaterThan">
      <formula>0.85</formula>
    </cfRule>
  </conditionalFormatting>
  <conditionalFormatting sqref="N26">
    <cfRule type="cellIs" dxfId="1457" priority="1552" operator="greaterThan">
      <formula>0.9</formula>
    </cfRule>
    <cfRule type="cellIs" dxfId="1456" priority="1553" operator="greaterThan">
      <formula>0.85</formula>
    </cfRule>
  </conditionalFormatting>
  <conditionalFormatting sqref="E26">
    <cfRule type="expression" dxfId="1455" priority="1548">
      <formula>AND(IF(OR($Q26=1,$Q26=2),1,0),IF($X26&lt;=20,1,0))</formula>
    </cfRule>
    <cfRule type="expression" dxfId="1454" priority="1549">
      <formula>AND(IF($Q26=2,1,0),IF($X26&lt;30,1,0))</formula>
    </cfRule>
    <cfRule type="expression" dxfId="1453" priority="1550">
      <formula>AND(IF($Q26=3,1,0),IF($X26&lt;30,1,0))</formula>
    </cfRule>
    <cfRule type="expression" dxfId="1452" priority="1551">
      <formula>AND(IF($Q26=3,1,IF($Q26=4,1,0)),IF($F26&lt;=85,1,0))</formula>
    </cfRule>
  </conditionalFormatting>
  <conditionalFormatting sqref="X26">
    <cfRule type="expression" dxfId="1451" priority="1544">
      <formula>AND(IF(OR($Q26=1,$Q26=2),1,0),IF($X26&lt;=20,1,0))</formula>
    </cfRule>
    <cfRule type="expression" dxfId="1450" priority="1545">
      <formula>AND(IF($Q26=2,1,0),IF($X26&lt;30,1,0))</formula>
    </cfRule>
    <cfRule type="expression" dxfId="1449" priority="1546">
      <formula>AND(IF($Q26=3,1,0),IF($X26&lt;30,1,0))</formula>
    </cfRule>
    <cfRule type="expression" dxfId="1448" priority="1547">
      <formula>AND(IF($Q26=3,1,IF($Q26=4,1,0)),IF($F26&lt;=85,1,0))</formula>
    </cfRule>
  </conditionalFormatting>
  <conditionalFormatting sqref="AI26">
    <cfRule type="expression" dxfId="1447" priority="1540">
      <formula>AND(IF(OR($Q26=1,$Q26=2),1,0),IF($X26&lt;=20,1,0))</formula>
    </cfRule>
    <cfRule type="expression" dxfId="1446" priority="1541">
      <formula>AND(IF($Q26=2,1,0),IF($X26&lt;30,1,0))</formula>
    </cfRule>
    <cfRule type="expression" dxfId="1445" priority="1542">
      <formula>AND(IF($Q26=3,1,0),IF($X26&lt;30,1,0))</formula>
    </cfRule>
    <cfRule type="expression" dxfId="1444" priority="1543">
      <formula>AND(IF($Q26=3,1,IF($Q26=4,1,0)),IF($F26&lt;=85,1,0))</formula>
    </cfRule>
  </conditionalFormatting>
  <conditionalFormatting sqref="AV27">
    <cfRule type="expression" dxfId="1443" priority="1538">
      <formula>AV27="X"</formula>
    </cfRule>
    <cfRule type="expression" dxfId="1442" priority="1539">
      <formula>AV27="후보"</formula>
    </cfRule>
  </conditionalFormatting>
  <conditionalFormatting sqref="Z27">
    <cfRule type="colorScale" priority="1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441" priority="1535" operator="greaterThan">
      <formula>0.9</formula>
    </cfRule>
    <cfRule type="cellIs" dxfId="1440" priority="1536" operator="greaterThan">
      <formula>0.85</formula>
    </cfRule>
  </conditionalFormatting>
  <conditionalFormatting sqref="N27">
    <cfRule type="cellIs" dxfId="1439" priority="1533" operator="greaterThan">
      <formula>0.9</formula>
    </cfRule>
    <cfRule type="cellIs" dxfId="1438" priority="1534" operator="greaterThan">
      <formula>0.85</formula>
    </cfRule>
  </conditionalFormatting>
  <conditionalFormatting sqref="E27">
    <cfRule type="expression" dxfId="1437" priority="1529">
      <formula>AND(IF(OR($Q27=1,$Q27=2),1,0),IF($X27&lt;=20,1,0))</formula>
    </cfRule>
    <cfRule type="expression" dxfId="1436" priority="1530">
      <formula>AND(IF($Q27=2,1,0),IF($X27&lt;30,1,0))</formula>
    </cfRule>
    <cfRule type="expression" dxfId="1435" priority="1531">
      <formula>AND(IF($Q27=3,1,0),IF($X27&lt;30,1,0))</formula>
    </cfRule>
    <cfRule type="expression" dxfId="1434" priority="1532">
      <formula>AND(IF($Q27=3,1,IF($Q27=4,1,0)),IF($F27&lt;=85,1,0))</formula>
    </cfRule>
  </conditionalFormatting>
  <conditionalFormatting sqref="X27">
    <cfRule type="expression" dxfId="1433" priority="1525">
      <formula>AND(IF(OR($Q27=1,$Q27=2),1,0),IF($X27&lt;=20,1,0))</formula>
    </cfRule>
    <cfRule type="expression" dxfId="1432" priority="1526">
      <formula>AND(IF($Q27=2,1,0),IF($X27&lt;30,1,0))</formula>
    </cfRule>
    <cfRule type="expression" dxfId="1431" priority="1527">
      <formula>AND(IF($Q27=3,1,0),IF($X27&lt;30,1,0))</formula>
    </cfRule>
    <cfRule type="expression" dxfId="1430" priority="1528">
      <formula>AND(IF($Q27=3,1,IF($Q27=4,1,0)),IF($F27&lt;=85,1,0))</formula>
    </cfRule>
  </conditionalFormatting>
  <conditionalFormatting sqref="AI27">
    <cfRule type="expression" dxfId="1429" priority="1521">
      <formula>AND(IF(OR($Q27=1,$Q27=2),1,0),IF($X27&lt;=20,1,0))</formula>
    </cfRule>
    <cfRule type="expression" dxfId="1428" priority="1522">
      <formula>AND(IF($Q27=2,1,0),IF($X27&lt;30,1,0))</formula>
    </cfRule>
    <cfRule type="expression" dxfId="1427" priority="1523">
      <formula>AND(IF($Q27=3,1,0),IF($X27&lt;30,1,0))</formula>
    </cfRule>
    <cfRule type="expression" dxfId="1426" priority="1524">
      <formula>AND(IF($Q27=3,1,IF($Q27=4,1,0)),IF($F27&lt;=85,1,0))</formula>
    </cfRule>
  </conditionalFormatting>
  <conditionalFormatting sqref="AV28">
    <cfRule type="expression" dxfId="1425" priority="1519">
      <formula>AV28="X"</formula>
    </cfRule>
    <cfRule type="expression" dxfId="1424" priority="1520">
      <formula>AV28="후보"</formula>
    </cfRule>
  </conditionalFormatting>
  <conditionalFormatting sqref="Z28">
    <cfRule type="colorScale" priority="1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423" priority="1516" operator="greaterThan">
      <formula>0.9</formula>
    </cfRule>
    <cfRule type="cellIs" dxfId="1422" priority="1517" operator="greaterThan">
      <formula>0.85</formula>
    </cfRule>
  </conditionalFormatting>
  <conditionalFormatting sqref="N28">
    <cfRule type="cellIs" dxfId="1421" priority="1514" operator="greaterThan">
      <formula>0.9</formula>
    </cfRule>
    <cfRule type="cellIs" dxfId="1420" priority="1515" operator="greaterThan">
      <formula>0.85</formula>
    </cfRule>
  </conditionalFormatting>
  <conditionalFormatting sqref="E28">
    <cfRule type="expression" dxfId="1419" priority="1510">
      <formula>AND(IF(OR($Q28=1,$Q28=2),1,0),IF($X28&lt;=20,1,0))</formula>
    </cfRule>
    <cfRule type="expression" dxfId="1418" priority="1511">
      <formula>AND(IF($Q28=2,1,0),IF($X28&lt;30,1,0))</formula>
    </cfRule>
    <cfRule type="expression" dxfId="1417" priority="1512">
      <formula>AND(IF($Q28=3,1,0),IF($X28&lt;30,1,0))</formula>
    </cfRule>
    <cfRule type="expression" dxfId="1416" priority="1513">
      <formula>AND(IF($Q28=3,1,IF($Q28=4,1,0)),IF($F28&lt;=85,1,0))</formula>
    </cfRule>
  </conditionalFormatting>
  <conditionalFormatting sqref="X28">
    <cfRule type="expression" dxfId="1415" priority="1506">
      <formula>AND(IF(OR($Q28=1,$Q28=2),1,0),IF($X28&lt;=20,1,0))</formula>
    </cfRule>
    <cfRule type="expression" dxfId="1414" priority="1507">
      <formula>AND(IF($Q28=2,1,0),IF($X28&lt;30,1,0))</formula>
    </cfRule>
    <cfRule type="expression" dxfId="1413" priority="1508">
      <formula>AND(IF($Q28=3,1,0),IF($X28&lt;30,1,0))</formula>
    </cfRule>
    <cfRule type="expression" dxfId="1412" priority="1509">
      <formula>AND(IF($Q28=3,1,IF($Q28=4,1,0)),IF($F28&lt;=85,1,0))</formula>
    </cfRule>
  </conditionalFormatting>
  <conditionalFormatting sqref="AI28">
    <cfRule type="expression" dxfId="1411" priority="1502">
      <formula>AND(IF(OR($Q28=1,$Q28=2),1,0),IF($X28&lt;=20,1,0))</formula>
    </cfRule>
    <cfRule type="expression" dxfId="1410" priority="1503">
      <formula>AND(IF($Q28=2,1,0),IF($X28&lt;30,1,0))</formula>
    </cfRule>
    <cfRule type="expression" dxfId="1409" priority="1504">
      <formula>AND(IF($Q28=3,1,0),IF($X28&lt;30,1,0))</formula>
    </cfRule>
    <cfRule type="expression" dxfId="1408" priority="1505">
      <formula>AND(IF($Q28=3,1,IF($Q28=4,1,0)),IF($F28&lt;=85,1,0))</formula>
    </cfRule>
  </conditionalFormatting>
  <conditionalFormatting sqref="AV29">
    <cfRule type="expression" dxfId="1407" priority="1500">
      <formula>AV29="X"</formula>
    </cfRule>
    <cfRule type="expression" dxfId="1406" priority="1501">
      <formula>AV29="후보"</formula>
    </cfRule>
  </conditionalFormatting>
  <conditionalFormatting sqref="Z29">
    <cfRule type="colorScale" priority="14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405" priority="1497" operator="greaterThan">
      <formula>0.9</formula>
    </cfRule>
    <cfRule type="cellIs" dxfId="1404" priority="1498" operator="greaterThan">
      <formula>0.85</formula>
    </cfRule>
  </conditionalFormatting>
  <conditionalFormatting sqref="AV30">
    <cfRule type="expression" dxfId="1403" priority="1495">
      <formula>AV30="X"</formula>
    </cfRule>
    <cfRule type="expression" dxfId="1402" priority="1496">
      <formula>AV30="후보"</formula>
    </cfRule>
  </conditionalFormatting>
  <conditionalFormatting sqref="Z30">
    <cfRule type="colorScale" priority="1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401" priority="1492" operator="greaterThan">
      <formula>0.9</formula>
    </cfRule>
    <cfRule type="cellIs" dxfId="1400" priority="1493" operator="greaterThan">
      <formula>0.85</formula>
    </cfRule>
  </conditionalFormatting>
  <conditionalFormatting sqref="N30">
    <cfRule type="cellIs" dxfId="1399" priority="1490" operator="greaterThan">
      <formula>0.9</formula>
    </cfRule>
    <cfRule type="cellIs" dxfId="1398" priority="1491" operator="greaterThan">
      <formula>0.85</formula>
    </cfRule>
  </conditionalFormatting>
  <conditionalFormatting sqref="E30">
    <cfRule type="expression" dxfId="1397" priority="1486">
      <formula>AND(IF(OR($Q30=1,$Q30=2),1,0),IF($X30&lt;=20,1,0))</formula>
    </cfRule>
    <cfRule type="expression" dxfId="1396" priority="1487">
      <formula>AND(IF($Q30=2,1,0),IF($X30&lt;30,1,0))</formula>
    </cfRule>
    <cfRule type="expression" dxfId="1395" priority="1488">
      <formula>AND(IF($Q30=3,1,0),IF($X30&lt;30,1,0))</formula>
    </cfRule>
    <cfRule type="expression" dxfId="1394" priority="1489">
      <formula>AND(IF($Q30=3,1,IF($Q30=4,1,0)),IF($F30&lt;=85,1,0))</formula>
    </cfRule>
  </conditionalFormatting>
  <conditionalFormatting sqref="X30">
    <cfRule type="expression" dxfId="1393" priority="1482">
      <formula>AND(IF(OR($Q30=1,$Q30=2),1,0),IF($X30&lt;=20,1,0))</formula>
    </cfRule>
    <cfRule type="expression" dxfId="1392" priority="1483">
      <formula>AND(IF($Q30=2,1,0),IF($X30&lt;30,1,0))</formula>
    </cfRule>
    <cfRule type="expression" dxfId="1391" priority="1484">
      <formula>AND(IF($Q30=3,1,0),IF($X30&lt;30,1,0))</formula>
    </cfRule>
    <cfRule type="expression" dxfId="1390" priority="1485">
      <formula>AND(IF($Q30=3,1,IF($Q30=4,1,0)),IF($F30&lt;=85,1,0))</formula>
    </cfRule>
  </conditionalFormatting>
  <conditionalFormatting sqref="AI30">
    <cfRule type="expression" dxfId="1389" priority="1478">
      <formula>AND(IF(OR($Q30=1,$Q30=2),1,0),IF($X30&lt;=20,1,0))</formula>
    </cfRule>
    <cfRule type="expression" dxfId="1388" priority="1479">
      <formula>AND(IF($Q30=2,1,0),IF($X30&lt;30,1,0))</formula>
    </cfRule>
    <cfRule type="expression" dxfId="1387" priority="1480">
      <formula>AND(IF($Q30=3,1,0),IF($X30&lt;30,1,0))</formula>
    </cfRule>
    <cfRule type="expression" dxfId="1386" priority="1481">
      <formula>AND(IF($Q30=3,1,IF($Q30=4,1,0)),IF($F30&lt;=85,1,0))</formula>
    </cfRule>
  </conditionalFormatting>
  <conditionalFormatting sqref="AV31">
    <cfRule type="expression" dxfId="1385" priority="1476">
      <formula>AV31="X"</formula>
    </cfRule>
    <cfRule type="expression" dxfId="1384" priority="1477">
      <formula>AV31="후보"</formula>
    </cfRule>
  </conditionalFormatting>
  <conditionalFormatting sqref="Z31">
    <cfRule type="colorScale" priority="1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383" priority="1473" operator="greaterThan">
      <formula>0.9</formula>
    </cfRule>
    <cfRule type="cellIs" dxfId="1382" priority="1474" operator="greaterThan">
      <formula>0.85</formula>
    </cfRule>
  </conditionalFormatting>
  <conditionalFormatting sqref="N31">
    <cfRule type="cellIs" dxfId="1381" priority="1471" operator="greaterThan">
      <formula>0.9</formula>
    </cfRule>
    <cfRule type="cellIs" dxfId="1380" priority="1472" operator="greaterThan">
      <formula>0.85</formula>
    </cfRule>
  </conditionalFormatting>
  <conditionalFormatting sqref="E31">
    <cfRule type="expression" dxfId="1379" priority="1467">
      <formula>AND(IF(OR($Q31=1,$Q31=2),1,0),IF($X31&lt;=20,1,0))</formula>
    </cfRule>
    <cfRule type="expression" dxfId="1378" priority="1468">
      <formula>AND(IF($Q31=2,1,0),IF($X31&lt;30,1,0))</formula>
    </cfRule>
    <cfRule type="expression" dxfId="1377" priority="1469">
      <formula>AND(IF($Q31=3,1,0),IF($X31&lt;30,1,0))</formula>
    </cfRule>
    <cfRule type="expression" dxfId="1376" priority="1470">
      <formula>AND(IF($Q31=3,1,IF($Q31=4,1,0)),IF($F31&lt;=85,1,0))</formula>
    </cfRule>
  </conditionalFormatting>
  <conditionalFormatting sqref="X31">
    <cfRule type="expression" dxfId="1375" priority="1463">
      <formula>AND(IF(OR($Q31=1,$Q31=2),1,0),IF($X31&lt;=20,1,0))</formula>
    </cfRule>
    <cfRule type="expression" dxfId="1374" priority="1464">
      <formula>AND(IF($Q31=2,1,0),IF($X31&lt;30,1,0))</formula>
    </cfRule>
    <cfRule type="expression" dxfId="1373" priority="1465">
      <formula>AND(IF($Q31=3,1,0),IF($X31&lt;30,1,0))</formula>
    </cfRule>
    <cfRule type="expression" dxfId="1372" priority="1466">
      <formula>AND(IF($Q31=3,1,IF($Q31=4,1,0)),IF($F31&lt;=85,1,0))</formula>
    </cfRule>
  </conditionalFormatting>
  <conditionalFormatting sqref="AI31">
    <cfRule type="expression" dxfId="1371" priority="1459">
      <formula>AND(IF(OR($Q31=1,$Q31=2),1,0),IF($X31&lt;=20,1,0))</formula>
    </cfRule>
    <cfRule type="expression" dxfId="1370" priority="1460">
      <formula>AND(IF($Q31=2,1,0),IF($X31&lt;30,1,0))</formula>
    </cfRule>
    <cfRule type="expression" dxfId="1369" priority="1461">
      <formula>AND(IF($Q31=3,1,0),IF($X31&lt;30,1,0))</formula>
    </cfRule>
    <cfRule type="expression" dxfId="1368" priority="1462">
      <formula>AND(IF($Q31=3,1,IF($Q31=4,1,0)),IF($F31&lt;=85,1,0))</formula>
    </cfRule>
  </conditionalFormatting>
  <conditionalFormatting sqref="AV32">
    <cfRule type="expression" dxfId="1367" priority="1457">
      <formula>AV32="X"</formula>
    </cfRule>
    <cfRule type="expression" dxfId="1366" priority="1458">
      <formula>AV32="후보"</formula>
    </cfRule>
  </conditionalFormatting>
  <conditionalFormatting sqref="Z32">
    <cfRule type="colorScale" priority="1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65" priority="1454" operator="greaterThan">
      <formula>0.9</formula>
    </cfRule>
    <cfRule type="cellIs" dxfId="1364" priority="1455" operator="greaterThan">
      <formula>0.85</formula>
    </cfRule>
  </conditionalFormatting>
  <conditionalFormatting sqref="N32">
    <cfRule type="cellIs" dxfId="1363" priority="1452" operator="greaterThan">
      <formula>0.9</formula>
    </cfRule>
    <cfRule type="cellIs" dxfId="1362" priority="1453" operator="greaterThan">
      <formula>0.85</formula>
    </cfRule>
  </conditionalFormatting>
  <conditionalFormatting sqref="E32">
    <cfRule type="expression" dxfId="1361" priority="1448">
      <formula>AND(IF(OR($Q32=1,$Q32=2),1,0),IF($X32&lt;=20,1,0))</formula>
    </cfRule>
    <cfRule type="expression" dxfId="1360" priority="1449">
      <formula>AND(IF($Q32=2,1,0),IF($X32&lt;30,1,0))</formula>
    </cfRule>
    <cfRule type="expression" dxfId="1359" priority="1450">
      <formula>AND(IF($Q32=3,1,0),IF($X32&lt;30,1,0))</formula>
    </cfRule>
    <cfRule type="expression" dxfId="1358" priority="1451">
      <formula>AND(IF($Q32=3,1,IF($Q32=4,1,0)),IF($F32&lt;=85,1,0))</formula>
    </cfRule>
  </conditionalFormatting>
  <conditionalFormatting sqref="X32">
    <cfRule type="expression" dxfId="1357" priority="1444">
      <formula>AND(IF(OR($Q32=1,$Q32=2),1,0),IF($X32&lt;=20,1,0))</formula>
    </cfRule>
    <cfRule type="expression" dxfId="1356" priority="1445">
      <formula>AND(IF($Q32=2,1,0),IF($X32&lt;30,1,0))</formula>
    </cfRule>
    <cfRule type="expression" dxfId="1355" priority="1446">
      <formula>AND(IF($Q32=3,1,0),IF($X32&lt;30,1,0))</formula>
    </cfRule>
    <cfRule type="expression" dxfId="1354" priority="1447">
      <formula>AND(IF($Q32=3,1,IF($Q32=4,1,0)),IF($F32&lt;=85,1,0))</formula>
    </cfRule>
  </conditionalFormatting>
  <conditionalFormatting sqref="AI32">
    <cfRule type="expression" dxfId="1353" priority="1440">
      <formula>AND(IF(OR($Q32=1,$Q32=2),1,0),IF($X32&lt;=20,1,0))</formula>
    </cfRule>
    <cfRule type="expression" dxfId="1352" priority="1441">
      <formula>AND(IF($Q32=2,1,0),IF($X32&lt;30,1,0))</formula>
    </cfRule>
    <cfRule type="expression" dxfId="1351" priority="1442">
      <formula>AND(IF($Q32=3,1,0),IF($X32&lt;30,1,0))</formula>
    </cfRule>
    <cfRule type="expression" dxfId="1350" priority="1443">
      <formula>AND(IF($Q32=3,1,IF($Q32=4,1,0)),IF($F32&lt;=85,1,0))</formula>
    </cfRule>
  </conditionalFormatting>
  <conditionalFormatting sqref="AV33">
    <cfRule type="expression" dxfId="1349" priority="1438">
      <formula>AV33="X"</formula>
    </cfRule>
    <cfRule type="expression" dxfId="1348" priority="1439">
      <formula>AV33="후보"</formula>
    </cfRule>
  </conditionalFormatting>
  <conditionalFormatting sqref="Z33">
    <cfRule type="colorScale" priority="1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347" priority="1435" operator="greaterThan">
      <formula>0.9</formula>
    </cfRule>
    <cfRule type="cellIs" dxfId="1346" priority="1436" operator="greaterThan">
      <formula>0.85</formula>
    </cfRule>
  </conditionalFormatting>
  <conditionalFormatting sqref="N33">
    <cfRule type="cellIs" dxfId="1345" priority="1433" operator="greaterThan">
      <formula>0.9</formula>
    </cfRule>
    <cfRule type="cellIs" dxfId="1344" priority="1434" operator="greaterThan">
      <formula>0.85</formula>
    </cfRule>
  </conditionalFormatting>
  <conditionalFormatting sqref="E33">
    <cfRule type="expression" dxfId="1343" priority="1429">
      <formula>AND(IF(OR($Q33=1,$Q33=2),1,0),IF($X33&lt;=20,1,0))</formula>
    </cfRule>
    <cfRule type="expression" dxfId="1342" priority="1430">
      <formula>AND(IF($Q33=2,1,0),IF($X33&lt;30,1,0))</formula>
    </cfRule>
    <cfRule type="expression" dxfId="1341" priority="1431">
      <formula>AND(IF($Q33=3,1,0),IF($X33&lt;30,1,0))</formula>
    </cfRule>
    <cfRule type="expression" dxfId="1340" priority="1432">
      <formula>AND(IF($Q33=3,1,IF($Q33=4,1,0)),IF($F33&lt;=85,1,0))</formula>
    </cfRule>
  </conditionalFormatting>
  <conditionalFormatting sqref="X33">
    <cfRule type="expression" dxfId="1339" priority="1425">
      <formula>AND(IF(OR($Q33=1,$Q33=2),1,0),IF($X33&lt;=20,1,0))</formula>
    </cfRule>
    <cfRule type="expression" dxfId="1338" priority="1426">
      <formula>AND(IF($Q33=2,1,0),IF($X33&lt;30,1,0))</formula>
    </cfRule>
    <cfRule type="expression" dxfId="1337" priority="1427">
      <formula>AND(IF($Q33=3,1,0),IF($X33&lt;30,1,0))</formula>
    </cfRule>
    <cfRule type="expression" dxfId="1336" priority="1428">
      <formula>AND(IF($Q33=3,1,IF($Q33=4,1,0)),IF($F33&lt;=85,1,0))</formula>
    </cfRule>
  </conditionalFormatting>
  <conditionalFormatting sqref="AI33">
    <cfRule type="expression" dxfId="1335" priority="1421">
      <formula>AND(IF(OR($Q33=1,$Q33=2),1,0),IF($X33&lt;=20,1,0))</formula>
    </cfRule>
    <cfRule type="expression" dxfId="1334" priority="1422">
      <formula>AND(IF($Q33=2,1,0),IF($X33&lt;30,1,0))</formula>
    </cfRule>
    <cfRule type="expression" dxfId="1333" priority="1423">
      <formula>AND(IF($Q33=3,1,0),IF($X33&lt;30,1,0))</formula>
    </cfRule>
    <cfRule type="expression" dxfId="1332" priority="1424">
      <formula>AND(IF($Q33=3,1,IF($Q33=4,1,0)),IF($F33&lt;=85,1,0))</formula>
    </cfRule>
  </conditionalFormatting>
  <conditionalFormatting sqref="AV34">
    <cfRule type="expression" dxfId="1331" priority="1419">
      <formula>AV34="X"</formula>
    </cfRule>
    <cfRule type="expression" dxfId="1330" priority="1420">
      <formula>AV34="후보"</formula>
    </cfRule>
  </conditionalFormatting>
  <conditionalFormatting sqref="Z34">
    <cfRule type="colorScale" priority="1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329" priority="1416" operator="greaterThan">
      <formula>0.9</formula>
    </cfRule>
    <cfRule type="cellIs" dxfId="1328" priority="1417" operator="greaterThan">
      <formula>0.85</formula>
    </cfRule>
  </conditionalFormatting>
  <conditionalFormatting sqref="AV35">
    <cfRule type="expression" dxfId="1327" priority="1414">
      <formula>AV35="X"</formula>
    </cfRule>
    <cfRule type="expression" dxfId="1326" priority="1415">
      <formula>AV35="후보"</formula>
    </cfRule>
  </conditionalFormatting>
  <conditionalFormatting sqref="Z35">
    <cfRule type="colorScale" priority="1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25" priority="1411" operator="greaterThan">
      <formula>0.9</formula>
    </cfRule>
    <cfRule type="cellIs" dxfId="1324" priority="1412" operator="greaterThan">
      <formula>0.85</formula>
    </cfRule>
  </conditionalFormatting>
  <conditionalFormatting sqref="N35">
    <cfRule type="cellIs" dxfId="1323" priority="1409" operator="greaterThan">
      <formula>0.9</formula>
    </cfRule>
    <cfRule type="cellIs" dxfId="1322" priority="1410" operator="greaterThan">
      <formula>0.85</formula>
    </cfRule>
  </conditionalFormatting>
  <conditionalFormatting sqref="E35">
    <cfRule type="expression" dxfId="1321" priority="1405">
      <formula>AND(IF(OR($Q35=1,$Q35=2),1,0),IF($X35&lt;=20,1,0))</formula>
    </cfRule>
    <cfRule type="expression" dxfId="1320" priority="1406">
      <formula>AND(IF($Q35=2,1,0),IF($X35&lt;30,1,0))</formula>
    </cfRule>
    <cfRule type="expression" dxfId="1319" priority="1407">
      <formula>AND(IF($Q35=3,1,0),IF($X35&lt;30,1,0))</formula>
    </cfRule>
    <cfRule type="expression" dxfId="1318" priority="1408">
      <formula>AND(IF($Q35=3,1,IF($Q35=4,1,0)),IF($F35&lt;=85,1,0))</formula>
    </cfRule>
  </conditionalFormatting>
  <conditionalFormatting sqref="X35">
    <cfRule type="expression" dxfId="1317" priority="1401">
      <formula>AND(IF(OR($Q35=1,$Q35=2),1,0),IF($X35&lt;=20,1,0))</formula>
    </cfRule>
    <cfRule type="expression" dxfId="1316" priority="1402">
      <formula>AND(IF($Q35=2,1,0),IF($X35&lt;30,1,0))</formula>
    </cfRule>
    <cfRule type="expression" dxfId="1315" priority="1403">
      <formula>AND(IF($Q35=3,1,0),IF($X35&lt;30,1,0))</formula>
    </cfRule>
    <cfRule type="expression" dxfId="1314" priority="1404">
      <formula>AND(IF($Q35=3,1,IF($Q35=4,1,0)),IF($F35&lt;=85,1,0))</formula>
    </cfRule>
  </conditionalFormatting>
  <conditionalFormatting sqref="AI35">
    <cfRule type="expression" dxfId="1313" priority="1397">
      <formula>AND(IF(OR($Q35=1,$Q35=2),1,0),IF($X35&lt;=20,1,0))</formula>
    </cfRule>
    <cfRule type="expression" dxfId="1312" priority="1398">
      <formula>AND(IF($Q35=2,1,0),IF($X35&lt;30,1,0))</formula>
    </cfRule>
    <cfRule type="expression" dxfId="1311" priority="1399">
      <formula>AND(IF($Q35=3,1,0),IF($X35&lt;30,1,0))</formula>
    </cfRule>
    <cfRule type="expression" dxfId="1310" priority="1400">
      <formula>AND(IF($Q35=3,1,IF($Q35=4,1,0)),IF($F35&lt;=85,1,0))</formula>
    </cfRule>
  </conditionalFormatting>
  <conditionalFormatting sqref="AV36">
    <cfRule type="expression" dxfId="1309" priority="1395">
      <formula>AV36="X"</formula>
    </cfRule>
    <cfRule type="expression" dxfId="1308" priority="1396">
      <formula>AV36="후보"</formula>
    </cfRule>
  </conditionalFormatting>
  <conditionalFormatting sqref="Z36">
    <cfRule type="colorScale" priority="1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307" priority="1392" operator="greaterThan">
      <formula>0.9</formula>
    </cfRule>
    <cfRule type="cellIs" dxfId="1306" priority="1393" operator="greaterThan">
      <formula>0.85</formula>
    </cfRule>
  </conditionalFormatting>
  <conditionalFormatting sqref="N36">
    <cfRule type="cellIs" dxfId="1305" priority="1390" operator="greaterThan">
      <formula>0.9</formula>
    </cfRule>
    <cfRule type="cellIs" dxfId="1304" priority="1391" operator="greaterThan">
      <formula>0.85</formula>
    </cfRule>
  </conditionalFormatting>
  <conditionalFormatting sqref="E36">
    <cfRule type="expression" dxfId="1303" priority="1386">
      <formula>AND(IF(OR($Q36=1,$Q36=2),1,0),IF($X36&lt;=20,1,0))</formula>
    </cfRule>
    <cfRule type="expression" dxfId="1302" priority="1387">
      <formula>AND(IF($Q36=2,1,0),IF($X36&lt;30,1,0))</formula>
    </cfRule>
    <cfRule type="expression" dxfId="1301" priority="1388">
      <formula>AND(IF($Q36=3,1,0),IF($X36&lt;30,1,0))</formula>
    </cfRule>
    <cfRule type="expression" dxfId="1300" priority="1389">
      <formula>AND(IF($Q36=3,1,IF($Q36=4,1,0)),IF($F36&lt;=85,1,0))</formula>
    </cfRule>
  </conditionalFormatting>
  <conditionalFormatting sqref="X36">
    <cfRule type="expression" dxfId="1299" priority="1382">
      <formula>AND(IF(OR($Q36=1,$Q36=2),1,0),IF($X36&lt;=20,1,0))</formula>
    </cfRule>
    <cfRule type="expression" dxfId="1298" priority="1383">
      <formula>AND(IF($Q36=2,1,0),IF($X36&lt;30,1,0))</formula>
    </cfRule>
    <cfRule type="expression" dxfId="1297" priority="1384">
      <formula>AND(IF($Q36=3,1,0),IF($X36&lt;30,1,0))</formula>
    </cfRule>
    <cfRule type="expression" dxfId="1296" priority="1385">
      <formula>AND(IF($Q36=3,1,IF($Q36=4,1,0)),IF($F36&lt;=85,1,0))</formula>
    </cfRule>
  </conditionalFormatting>
  <conditionalFormatting sqref="AI36">
    <cfRule type="expression" dxfId="1295" priority="1378">
      <formula>AND(IF(OR($Q36=1,$Q36=2),1,0),IF($X36&lt;=20,1,0))</formula>
    </cfRule>
    <cfRule type="expression" dxfId="1294" priority="1379">
      <formula>AND(IF($Q36=2,1,0),IF($X36&lt;30,1,0))</formula>
    </cfRule>
    <cfRule type="expression" dxfId="1293" priority="1380">
      <formula>AND(IF($Q36=3,1,0),IF($X36&lt;30,1,0))</formula>
    </cfRule>
    <cfRule type="expression" dxfId="1292" priority="1381">
      <formula>AND(IF($Q36=3,1,IF($Q36=4,1,0)),IF($F36&lt;=85,1,0))</formula>
    </cfRule>
  </conditionalFormatting>
  <conditionalFormatting sqref="AV37">
    <cfRule type="expression" dxfId="1291" priority="1376">
      <formula>AV37="X"</formula>
    </cfRule>
    <cfRule type="expression" dxfId="1290" priority="1377">
      <formula>AV37="후보"</formula>
    </cfRule>
  </conditionalFormatting>
  <conditionalFormatting sqref="Z37">
    <cfRule type="colorScale" priority="1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289" priority="1373" operator="greaterThan">
      <formula>0.9</formula>
    </cfRule>
    <cfRule type="cellIs" dxfId="1288" priority="1374" operator="greaterThan">
      <formula>0.85</formula>
    </cfRule>
  </conditionalFormatting>
  <conditionalFormatting sqref="N37">
    <cfRule type="cellIs" dxfId="1287" priority="1371" operator="greaterThan">
      <formula>0.9</formula>
    </cfRule>
    <cfRule type="cellIs" dxfId="1286" priority="1372" operator="greaterThan">
      <formula>0.85</formula>
    </cfRule>
  </conditionalFormatting>
  <conditionalFormatting sqref="E37">
    <cfRule type="expression" dxfId="1285" priority="1367">
      <formula>AND(IF(OR($Q37=1,$Q37=2),1,0),IF($X37&lt;=20,1,0))</formula>
    </cfRule>
    <cfRule type="expression" dxfId="1284" priority="1368">
      <formula>AND(IF($Q37=2,1,0),IF($X37&lt;30,1,0))</formula>
    </cfRule>
    <cfRule type="expression" dxfId="1283" priority="1369">
      <formula>AND(IF($Q37=3,1,0),IF($X37&lt;30,1,0))</formula>
    </cfRule>
    <cfRule type="expression" dxfId="1282" priority="1370">
      <formula>AND(IF($Q37=3,1,IF($Q37=4,1,0)),IF($F37&lt;=85,1,0))</formula>
    </cfRule>
  </conditionalFormatting>
  <conditionalFormatting sqref="X37">
    <cfRule type="expression" dxfId="1281" priority="1363">
      <formula>AND(IF(OR($Q37=1,$Q37=2),1,0),IF($X37&lt;=20,1,0))</formula>
    </cfRule>
    <cfRule type="expression" dxfId="1280" priority="1364">
      <formula>AND(IF($Q37=2,1,0),IF($X37&lt;30,1,0))</formula>
    </cfRule>
    <cfRule type="expression" dxfId="1279" priority="1365">
      <formula>AND(IF($Q37=3,1,0),IF($X37&lt;30,1,0))</formula>
    </cfRule>
    <cfRule type="expression" dxfId="1278" priority="1366">
      <formula>AND(IF($Q37=3,1,IF($Q37=4,1,0)),IF($F37&lt;=85,1,0))</formula>
    </cfRule>
  </conditionalFormatting>
  <conditionalFormatting sqref="AI37">
    <cfRule type="expression" dxfId="1277" priority="1359">
      <formula>AND(IF(OR($Q37=1,$Q37=2),1,0),IF($X37&lt;=20,1,0))</formula>
    </cfRule>
    <cfRule type="expression" dxfId="1276" priority="1360">
      <formula>AND(IF($Q37=2,1,0),IF($X37&lt;30,1,0))</formula>
    </cfRule>
    <cfRule type="expression" dxfId="1275" priority="1361">
      <formula>AND(IF($Q37=3,1,0),IF($X37&lt;30,1,0))</formula>
    </cfRule>
    <cfRule type="expression" dxfId="1274" priority="1362">
      <formula>AND(IF($Q37=3,1,IF($Q37=4,1,0)),IF($F37&lt;=85,1,0))</formula>
    </cfRule>
  </conditionalFormatting>
  <conditionalFormatting sqref="AV38">
    <cfRule type="expression" dxfId="1273" priority="1357">
      <formula>AV38="X"</formula>
    </cfRule>
    <cfRule type="expression" dxfId="1272" priority="1358">
      <formula>AV38="후보"</formula>
    </cfRule>
  </conditionalFormatting>
  <conditionalFormatting sqref="Z38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1271" priority="1354" operator="greaterThan">
      <formula>0.9</formula>
    </cfRule>
    <cfRule type="cellIs" dxfId="1270" priority="1355" operator="greaterThan">
      <formula>0.85</formula>
    </cfRule>
  </conditionalFormatting>
  <conditionalFormatting sqref="AV39">
    <cfRule type="expression" dxfId="1269" priority="1352">
      <formula>AV39="X"</formula>
    </cfRule>
    <cfRule type="expression" dxfId="1268" priority="1353">
      <formula>AV39="후보"</formula>
    </cfRule>
  </conditionalFormatting>
  <conditionalFormatting sqref="Z39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267" priority="1349" operator="greaterThan">
      <formula>0.9</formula>
    </cfRule>
    <cfRule type="cellIs" dxfId="1266" priority="1350" operator="greaterThan">
      <formula>0.85</formula>
    </cfRule>
  </conditionalFormatting>
  <conditionalFormatting sqref="N39">
    <cfRule type="cellIs" dxfId="1265" priority="1347" operator="greaterThan">
      <formula>0.9</formula>
    </cfRule>
    <cfRule type="cellIs" dxfId="1264" priority="1348" operator="greaterThan">
      <formula>0.85</formula>
    </cfRule>
  </conditionalFormatting>
  <conditionalFormatting sqref="E39">
    <cfRule type="expression" dxfId="1263" priority="1343">
      <formula>AND(IF(OR($Q39=1,$Q39=2),1,0),IF($X39&lt;=20,1,0))</formula>
    </cfRule>
    <cfRule type="expression" dxfId="1262" priority="1344">
      <formula>AND(IF($Q39=2,1,0),IF($X39&lt;30,1,0))</formula>
    </cfRule>
    <cfRule type="expression" dxfId="1261" priority="1345">
      <formula>AND(IF($Q39=3,1,0),IF($X39&lt;30,1,0))</formula>
    </cfRule>
    <cfRule type="expression" dxfId="1260" priority="1346">
      <formula>AND(IF($Q39=3,1,IF($Q39=4,1,0)),IF($F39&lt;=85,1,0))</formula>
    </cfRule>
  </conditionalFormatting>
  <conditionalFormatting sqref="X39">
    <cfRule type="expression" dxfId="1259" priority="1339">
      <formula>AND(IF(OR($Q39=1,$Q39=2),1,0),IF($X39&lt;=20,1,0))</formula>
    </cfRule>
    <cfRule type="expression" dxfId="1258" priority="1340">
      <formula>AND(IF($Q39=2,1,0),IF($X39&lt;30,1,0))</formula>
    </cfRule>
    <cfRule type="expression" dxfId="1257" priority="1341">
      <formula>AND(IF($Q39=3,1,0),IF($X39&lt;30,1,0))</formula>
    </cfRule>
    <cfRule type="expression" dxfId="1256" priority="1342">
      <formula>AND(IF($Q39=3,1,IF($Q39=4,1,0)),IF($F39&lt;=85,1,0))</formula>
    </cfRule>
  </conditionalFormatting>
  <conditionalFormatting sqref="AI39">
    <cfRule type="expression" dxfId="1255" priority="1335">
      <formula>AND(IF(OR($Q39=1,$Q39=2),1,0),IF($X39&lt;=20,1,0))</formula>
    </cfRule>
    <cfRule type="expression" dxfId="1254" priority="1336">
      <formula>AND(IF($Q39=2,1,0),IF($X39&lt;30,1,0))</formula>
    </cfRule>
    <cfRule type="expression" dxfId="1253" priority="1337">
      <formula>AND(IF($Q39=3,1,0),IF($X39&lt;30,1,0))</formula>
    </cfRule>
    <cfRule type="expression" dxfId="1252" priority="1338">
      <formula>AND(IF($Q39=3,1,IF($Q39=4,1,0)),IF($F39&lt;=85,1,0))</formula>
    </cfRule>
  </conditionalFormatting>
  <conditionalFormatting sqref="AV40">
    <cfRule type="expression" dxfId="1251" priority="1333">
      <formula>AV40="X"</formula>
    </cfRule>
    <cfRule type="expression" dxfId="1250" priority="1334">
      <formula>AV40="후보"</formula>
    </cfRule>
  </conditionalFormatting>
  <conditionalFormatting sqref="Z40">
    <cfRule type="colorScale" priority="1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249" priority="1330" operator="greaterThan">
      <formula>0.9</formula>
    </cfRule>
    <cfRule type="cellIs" dxfId="1248" priority="1331" operator="greaterThan">
      <formula>0.85</formula>
    </cfRule>
  </conditionalFormatting>
  <conditionalFormatting sqref="N40">
    <cfRule type="cellIs" dxfId="1247" priority="1328" operator="greaterThan">
      <formula>0.9</formula>
    </cfRule>
    <cfRule type="cellIs" dxfId="1246" priority="1329" operator="greaterThan">
      <formula>0.85</formula>
    </cfRule>
  </conditionalFormatting>
  <conditionalFormatting sqref="E40">
    <cfRule type="expression" dxfId="1245" priority="1324">
      <formula>AND(IF(OR($Q40=1,$Q40=2),1,0),IF($X40&lt;=20,1,0))</formula>
    </cfRule>
    <cfRule type="expression" dxfId="1244" priority="1325">
      <formula>AND(IF($Q40=2,1,0),IF($X40&lt;30,1,0))</formula>
    </cfRule>
    <cfRule type="expression" dxfId="1243" priority="1326">
      <formula>AND(IF($Q40=3,1,0),IF($X40&lt;30,1,0))</formula>
    </cfRule>
    <cfRule type="expression" dxfId="1242" priority="1327">
      <formula>AND(IF($Q40=3,1,IF($Q40=4,1,0)),IF($F40&lt;=85,1,0))</formula>
    </cfRule>
  </conditionalFormatting>
  <conditionalFormatting sqref="X40">
    <cfRule type="expression" dxfId="1241" priority="1320">
      <formula>AND(IF(OR($Q40=1,$Q40=2),1,0),IF($X40&lt;=20,1,0))</formula>
    </cfRule>
    <cfRule type="expression" dxfId="1240" priority="1321">
      <formula>AND(IF($Q40=2,1,0),IF($X40&lt;30,1,0))</formula>
    </cfRule>
    <cfRule type="expression" dxfId="1239" priority="1322">
      <formula>AND(IF($Q40=3,1,0),IF($X40&lt;30,1,0))</formula>
    </cfRule>
    <cfRule type="expression" dxfId="1238" priority="1323">
      <formula>AND(IF($Q40=3,1,IF($Q40=4,1,0)),IF($F40&lt;=85,1,0))</formula>
    </cfRule>
  </conditionalFormatting>
  <conditionalFormatting sqref="AI40">
    <cfRule type="expression" dxfId="1237" priority="1316">
      <formula>AND(IF(OR($Q40=1,$Q40=2),1,0),IF($X40&lt;=20,1,0))</formula>
    </cfRule>
    <cfRule type="expression" dxfId="1236" priority="1317">
      <formula>AND(IF($Q40=2,1,0),IF($X40&lt;30,1,0))</formula>
    </cfRule>
    <cfRule type="expression" dxfId="1235" priority="1318">
      <formula>AND(IF($Q40=3,1,0),IF($X40&lt;30,1,0))</formula>
    </cfRule>
    <cfRule type="expression" dxfId="1234" priority="1319">
      <formula>AND(IF($Q40=3,1,IF($Q40=4,1,0)),IF($F40&lt;=85,1,0))</formula>
    </cfRule>
  </conditionalFormatting>
  <conditionalFormatting sqref="AV41">
    <cfRule type="expression" dxfId="1233" priority="1314">
      <formula>AV41="X"</formula>
    </cfRule>
    <cfRule type="expression" dxfId="1232" priority="1315">
      <formula>AV41="후보"</formula>
    </cfRule>
  </conditionalFormatting>
  <conditionalFormatting sqref="Z41">
    <cfRule type="colorScale" priority="1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231" priority="1311" operator="greaterThan">
      <formula>0.9</formula>
    </cfRule>
    <cfRule type="cellIs" dxfId="1230" priority="1312" operator="greaterThan">
      <formula>0.85</formula>
    </cfRule>
  </conditionalFormatting>
  <conditionalFormatting sqref="N41">
    <cfRule type="cellIs" dxfId="1229" priority="1309" operator="greaterThan">
      <formula>0.9</formula>
    </cfRule>
    <cfRule type="cellIs" dxfId="1228" priority="1310" operator="greaterThan">
      <formula>0.85</formula>
    </cfRule>
  </conditionalFormatting>
  <conditionalFormatting sqref="E41">
    <cfRule type="expression" dxfId="1227" priority="1305">
      <formula>AND(IF(OR($Q41=1,$Q41=2),1,0),IF($X41&lt;=20,1,0))</formula>
    </cfRule>
    <cfRule type="expression" dxfId="1226" priority="1306">
      <formula>AND(IF($Q41=2,1,0),IF($X41&lt;30,1,0))</formula>
    </cfRule>
    <cfRule type="expression" dxfId="1225" priority="1307">
      <formula>AND(IF($Q41=3,1,0),IF($X41&lt;30,1,0))</formula>
    </cfRule>
    <cfRule type="expression" dxfId="1224" priority="1308">
      <formula>AND(IF($Q41=3,1,IF($Q41=4,1,0)),IF($F41&lt;=85,1,0))</formula>
    </cfRule>
  </conditionalFormatting>
  <conditionalFormatting sqref="X41">
    <cfRule type="expression" dxfId="1223" priority="1301">
      <formula>AND(IF(OR($Q41=1,$Q41=2),1,0),IF($X41&lt;=20,1,0))</formula>
    </cfRule>
    <cfRule type="expression" dxfId="1222" priority="1302">
      <formula>AND(IF($Q41=2,1,0),IF($X41&lt;30,1,0))</formula>
    </cfRule>
    <cfRule type="expression" dxfId="1221" priority="1303">
      <formula>AND(IF($Q41=3,1,0),IF($X41&lt;30,1,0))</formula>
    </cfRule>
    <cfRule type="expression" dxfId="1220" priority="1304">
      <formula>AND(IF($Q41=3,1,IF($Q41=4,1,0)),IF($F41&lt;=85,1,0))</formula>
    </cfRule>
  </conditionalFormatting>
  <conditionalFormatting sqref="AI41">
    <cfRule type="expression" dxfId="1219" priority="1297">
      <formula>AND(IF(OR($Q41=1,$Q41=2),1,0),IF($X41&lt;=20,1,0))</formula>
    </cfRule>
    <cfRule type="expression" dxfId="1218" priority="1298">
      <formula>AND(IF($Q41=2,1,0),IF($X41&lt;30,1,0))</formula>
    </cfRule>
    <cfRule type="expression" dxfId="1217" priority="1299">
      <formula>AND(IF($Q41=3,1,0),IF($X41&lt;30,1,0))</formula>
    </cfRule>
    <cfRule type="expression" dxfId="1216" priority="1300">
      <formula>AND(IF($Q41=3,1,IF($Q41=4,1,0)),IF($F41&lt;=85,1,0))</formula>
    </cfRule>
  </conditionalFormatting>
  <conditionalFormatting sqref="AV42">
    <cfRule type="expression" dxfId="1215" priority="1295">
      <formula>AV42="X"</formula>
    </cfRule>
    <cfRule type="expression" dxfId="1214" priority="1296">
      <formula>AV42="후보"</formula>
    </cfRule>
  </conditionalFormatting>
  <conditionalFormatting sqref="Z42">
    <cfRule type="colorScale" priority="1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213" priority="1292" operator="greaterThan">
      <formula>0.9</formula>
    </cfRule>
    <cfRule type="cellIs" dxfId="1212" priority="1293" operator="greaterThan">
      <formula>0.85</formula>
    </cfRule>
  </conditionalFormatting>
  <conditionalFormatting sqref="N42">
    <cfRule type="cellIs" dxfId="1211" priority="1290" operator="greaterThan">
      <formula>0.9</formula>
    </cfRule>
    <cfRule type="cellIs" dxfId="1210" priority="1291" operator="greaterThan">
      <formula>0.85</formula>
    </cfRule>
  </conditionalFormatting>
  <conditionalFormatting sqref="E42">
    <cfRule type="expression" dxfId="1209" priority="1286">
      <formula>AND(IF(OR($Q42=1,$Q42=2),1,0),IF($X42&lt;=20,1,0))</formula>
    </cfRule>
    <cfRule type="expression" dxfId="1208" priority="1287">
      <formula>AND(IF($Q42=2,1,0),IF($X42&lt;30,1,0))</formula>
    </cfRule>
    <cfRule type="expression" dxfId="1207" priority="1288">
      <formula>AND(IF($Q42=3,1,0),IF($X42&lt;30,1,0))</formula>
    </cfRule>
    <cfRule type="expression" dxfId="1206" priority="1289">
      <formula>AND(IF($Q42=3,1,IF($Q42=4,1,0)),IF($F42&lt;=85,1,0))</formula>
    </cfRule>
  </conditionalFormatting>
  <conditionalFormatting sqref="X42">
    <cfRule type="expression" dxfId="1205" priority="1282">
      <formula>AND(IF(OR($Q42=1,$Q42=2),1,0),IF($X42&lt;=20,1,0))</formula>
    </cfRule>
    <cfRule type="expression" dxfId="1204" priority="1283">
      <formula>AND(IF($Q42=2,1,0),IF($X42&lt;30,1,0))</formula>
    </cfRule>
    <cfRule type="expression" dxfId="1203" priority="1284">
      <formula>AND(IF($Q42=3,1,0),IF($X42&lt;30,1,0))</formula>
    </cfRule>
    <cfRule type="expression" dxfId="1202" priority="1285">
      <formula>AND(IF($Q42=3,1,IF($Q42=4,1,0)),IF($F42&lt;=85,1,0))</formula>
    </cfRule>
  </conditionalFormatting>
  <conditionalFormatting sqref="AI42">
    <cfRule type="expression" dxfId="1201" priority="1278">
      <formula>AND(IF(OR($Q42=1,$Q42=2),1,0),IF($X42&lt;=20,1,0))</formula>
    </cfRule>
    <cfRule type="expression" dxfId="1200" priority="1279">
      <formula>AND(IF($Q42=2,1,0),IF($X42&lt;30,1,0))</formula>
    </cfRule>
    <cfRule type="expression" dxfId="1199" priority="1280">
      <formula>AND(IF($Q42=3,1,0),IF($X42&lt;30,1,0))</formula>
    </cfRule>
    <cfRule type="expression" dxfId="1198" priority="1281">
      <formula>AND(IF($Q42=3,1,IF($Q42=4,1,0)),IF($F42&lt;=85,1,0))</formula>
    </cfRule>
  </conditionalFormatting>
  <conditionalFormatting sqref="AV43">
    <cfRule type="expression" dxfId="1197" priority="1276">
      <formula>AV43="X"</formula>
    </cfRule>
    <cfRule type="expression" dxfId="1196" priority="1277">
      <formula>AV43="후보"</formula>
    </cfRule>
  </conditionalFormatting>
  <conditionalFormatting sqref="Z43">
    <cfRule type="colorScale" priority="1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195" priority="1273" operator="greaterThan">
      <formula>0.9</formula>
    </cfRule>
    <cfRule type="cellIs" dxfId="1194" priority="1274" operator="greaterThan">
      <formula>0.85</formula>
    </cfRule>
  </conditionalFormatting>
  <conditionalFormatting sqref="N43">
    <cfRule type="cellIs" dxfId="1193" priority="1271" operator="greaterThan">
      <formula>0.9</formula>
    </cfRule>
    <cfRule type="cellIs" dxfId="1192" priority="1272" operator="greaterThan">
      <formula>0.85</formula>
    </cfRule>
  </conditionalFormatting>
  <conditionalFormatting sqref="E43">
    <cfRule type="expression" dxfId="1191" priority="1267">
      <formula>AND(IF(OR($Q43=1,$Q43=2),1,0),IF($X43&lt;=20,1,0))</formula>
    </cfRule>
    <cfRule type="expression" dxfId="1190" priority="1268">
      <formula>AND(IF($Q43=2,1,0),IF($X43&lt;30,1,0))</formula>
    </cfRule>
    <cfRule type="expression" dxfId="1189" priority="1269">
      <formula>AND(IF($Q43=3,1,0),IF($X43&lt;30,1,0))</formula>
    </cfRule>
    <cfRule type="expression" dxfId="1188" priority="1270">
      <formula>AND(IF($Q43=3,1,IF($Q43=4,1,0)),IF($F43&lt;=85,1,0))</formula>
    </cfRule>
  </conditionalFormatting>
  <conditionalFormatting sqref="X43">
    <cfRule type="expression" dxfId="1187" priority="1263">
      <formula>AND(IF(OR($Q43=1,$Q43=2),1,0),IF($X43&lt;=20,1,0))</formula>
    </cfRule>
    <cfRule type="expression" dxfId="1186" priority="1264">
      <formula>AND(IF($Q43=2,1,0),IF($X43&lt;30,1,0))</formula>
    </cfRule>
    <cfRule type="expression" dxfId="1185" priority="1265">
      <formula>AND(IF($Q43=3,1,0),IF($X43&lt;30,1,0))</formula>
    </cfRule>
    <cfRule type="expression" dxfId="1184" priority="1266">
      <formula>AND(IF($Q43=3,1,IF($Q43=4,1,0)),IF($F43&lt;=85,1,0))</formula>
    </cfRule>
  </conditionalFormatting>
  <conditionalFormatting sqref="AI43">
    <cfRule type="expression" dxfId="1183" priority="1259">
      <formula>AND(IF(OR($Q43=1,$Q43=2),1,0),IF($X43&lt;=20,1,0))</formula>
    </cfRule>
    <cfRule type="expression" dxfId="1182" priority="1260">
      <formula>AND(IF($Q43=2,1,0),IF($X43&lt;30,1,0))</formula>
    </cfRule>
    <cfRule type="expression" dxfId="1181" priority="1261">
      <formula>AND(IF($Q43=3,1,0),IF($X43&lt;30,1,0))</formula>
    </cfRule>
    <cfRule type="expression" dxfId="1180" priority="1262">
      <formula>AND(IF($Q43=3,1,IF($Q43=4,1,0)),IF($F43&lt;=85,1,0))</formula>
    </cfRule>
  </conditionalFormatting>
  <conditionalFormatting sqref="AV44">
    <cfRule type="expression" dxfId="1179" priority="1257">
      <formula>AV44="X"</formula>
    </cfRule>
    <cfRule type="expression" dxfId="1178" priority="1258">
      <formula>AV44="후보"</formula>
    </cfRule>
  </conditionalFormatting>
  <conditionalFormatting sqref="Z44">
    <cfRule type="colorScale" priority="1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177" priority="1254" operator="greaterThan">
      <formula>0.9</formula>
    </cfRule>
    <cfRule type="cellIs" dxfId="1176" priority="1255" operator="greaterThan">
      <formula>0.85</formula>
    </cfRule>
  </conditionalFormatting>
  <conditionalFormatting sqref="N44">
    <cfRule type="cellIs" dxfId="1175" priority="1252" operator="greaterThan">
      <formula>0.9</formula>
    </cfRule>
    <cfRule type="cellIs" dxfId="1174" priority="1253" operator="greaterThan">
      <formula>0.85</formula>
    </cfRule>
  </conditionalFormatting>
  <conditionalFormatting sqref="E44">
    <cfRule type="expression" dxfId="1173" priority="1248">
      <formula>AND(IF(OR($Q44=1,$Q44=2),1,0),IF($X44&lt;=20,1,0))</formula>
    </cfRule>
    <cfRule type="expression" dxfId="1172" priority="1249">
      <formula>AND(IF($Q44=2,1,0),IF($X44&lt;30,1,0))</formula>
    </cfRule>
    <cfRule type="expression" dxfId="1171" priority="1250">
      <formula>AND(IF($Q44=3,1,0),IF($X44&lt;30,1,0))</formula>
    </cfRule>
    <cfRule type="expression" dxfId="1170" priority="1251">
      <formula>AND(IF($Q44=3,1,IF($Q44=4,1,0)),IF($F44&lt;=85,1,0))</formula>
    </cfRule>
  </conditionalFormatting>
  <conditionalFormatting sqref="X44">
    <cfRule type="expression" dxfId="1169" priority="1244">
      <formula>AND(IF(OR($Q44=1,$Q44=2),1,0),IF($X44&lt;=20,1,0))</formula>
    </cfRule>
    <cfRule type="expression" dxfId="1168" priority="1245">
      <formula>AND(IF($Q44=2,1,0),IF($X44&lt;30,1,0))</formula>
    </cfRule>
    <cfRule type="expression" dxfId="1167" priority="1246">
      <formula>AND(IF($Q44=3,1,0),IF($X44&lt;30,1,0))</formula>
    </cfRule>
    <cfRule type="expression" dxfId="1166" priority="1247">
      <formula>AND(IF($Q44=3,1,IF($Q44=4,1,0)),IF($F44&lt;=85,1,0))</formula>
    </cfRule>
  </conditionalFormatting>
  <conditionalFormatting sqref="AI44">
    <cfRule type="expression" dxfId="1165" priority="1240">
      <formula>AND(IF(OR($Q44=1,$Q44=2),1,0),IF($X44&lt;=20,1,0))</formula>
    </cfRule>
    <cfRule type="expression" dxfId="1164" priority="1241">
      <formula>AND(IF($Q44=2,1,0),IF($X44&lt;30,1,0))</formula>
    </cfRule>
    <cfRule type="expression" dxfId="1163" priority="1242">
      <formula>AND(IF($Q44=3,1,0),IF($X44&lt;30,1,0))</formula>
    </cfRule>
    <cfRule type="expression" dxfId="1162" priority="1243">
      <formula>AND(IF($Q44=3,1,IF($Q44=4,1,0)),IF($F44&lt;=85,1,0))</formula>
    </cfRule>
  </conditionalFormatting>
  <conditionalFormatting sqref="AV45">
    <cfRule type="expression" dxfId="1161" priority="1238">
      <formula>AV45="X"</formula>
    </cfRule>
    <cfRule type="expression" dxfId="1160" priority="1239">
      <formula>AV45="후보"</formula>
    </cfRule>
  </conditionalFormatting>
  <conditionalFormatting sqref="Z45">
    <cfRule type="colorScale" priority="1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159" priority="1235" operator="greaterThan">
      <formula>0.9</formula>
    </cfRule>
    <cfRule type="cellIs" dxfId="1158" priority="1236" operator="greaterThan">
      <formula>0.85</formula>
    </cfRule>
  </conditionalFormatting>
  <conditionalFormatting sqref="N45">
    <cfRule type="cellIs" dxfId="1157" priority="1233" operator="greaterThan">
      <formula>0.9</formula>
    </cfRule>
    <cfRule type="cellIs" dxfId="1156" priority="1234" operator="greaterThan">
      <formula>0.85</formula>
    </cfRule>
  </conditionalFormatting>
  <conditionalFormatting sqref="E45">
    <cfRule type="expression" dxfId="1155" priority="1229">
      <formula>AND(IF(OR($Q45=1,$Q45=2),1,0),IF($X45&lt;=20,1,0))</formula>
    </cfRule>
    <cfRule type="expression" dxfId="1154" priority="1230">
      <formula>AND(IF($Q45=2,1,0),IF($X45&lt;30,1,0))</formula>
    </cfRule>
    <cfRule type="expression" dxfId="1153" priority="1231">
      <formula>AND(IF($Q45=3,1,0),IF($X45&lt;30,1,0))</formula>
    </cfRule>
    <cfRule type="expression" dxfId="1152" priority="1232">
      <formula>AND(IF($Q45=3,1,IF($Q45=4,1,0)),IF($F45&lt;=85,1,0))</formula>
    </cfRule>
  </conditionalFormatting>
  <conditionalFormatting sqref="X45">
    <cfRule type="expression" dxfId="1151" priority="1225">
      <formula>AND(IF(OR($Q45=1,$Q45=2),1,0),IF($X45&lt;=20,1,0))</formula>
    </cfRule>
    <cfRule type="expression" dxfId="1150" priority="1226">
      <formula>AND(IF($Q45=2,1,0),IF($X45&lt;30,1,0))</formula>
    </cfRule>
    <cfRule type="expression" dxfId="1149" priority="1227">
      <formula>AND(IF($Q45=3,1,0),IF($X45&lt;30,1,0))</formula>
    </cfRule>
    <cfRule type="expression" dxfId="1148" priority="1228">
      <formula>AND(IF($Q45=3,1,IF($Q45=4,1,0)),IF($F45&lt;=85,1,0))</formula>
    </cfRule>
  </conditionalFormatting>
  <conditionalFormatting sqref="AI45">
    <cfRule type="expression" dxfId="1147" priority="1221">
      <formula>AND(IF(OR($Q45=1,$Q45=2),1,0),IF($X45&lt;=20,1,0))</formula>
    </cfRule>
    <cfRule type="expression" dxfId="1146" priority="1222">
      <formula>AND(IF($Q45=2,1,0),IF($X45&lt;30,1,0))</formula>
    </cfRule>
    <cfRule type="expression" dxfId="1145" priority="1223">
      <formula>AND(IF($Q45=3,1,0),IF($X45&lt;30,1,0))</formula>
    </cfRule>
    <cfRule type="expression" dxfId="1144" priority="1224">
      <formula>AND(IF($Q45=3,1,IF($Q45=4,1,0)),IF($F45&lt;=85,1,0))</formula>
    </cfRule>
  </conditionalFormatting>
  <conditionalFormatting sqref="AV46">
    <cfRule type="expression" dxfId="1143" priority="1219">
      <formula>AV46="X"</formula>
    </cfRule>
    <cfRule type="expression" dxfId="1142" priority="1220">
      <formula>AV46="후보"</formula>
    </cfRule>
  </conditionalFormatting>
  <conditionalFormatting sqref="Z46">
    <cfRule type="colorScale" priority="12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1141" priority="1216" operator="greaterThan">
      <formula>0.9</formula>
    </cfRule>
    <cfRule type="cellIs" dxfId="1140" priority="1217" operator="greaterThan">
      <formula>0.85</formula>
    </cfRule>
  </conditionalFormatting>
  <conditionalFormatting sqref="AV47">
    <cfRule type="expression" dxfId="1139" priority="1214">
      <formula>AV47="X"</formula>
    </cfRule>
    <cfRule type="expression" dxfId="1138" priority="1215">
      <formula>AV47="후보"</formula>
    </cfRule>
  </conditionalFormatting>
  <conditionalFormatting sqref="Z47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137" priority="1211" operator="greaterThan">
      <formula>0.9</formula>
    </cfRule>
    <cfRule type="cellIs" dxfId="1136" priority="1212" operator="greaterThan">
      <formula>0.85</formula>
    </cfRule>
  </conditionalFormatting>
  <conditionalFormatting sqref="N47">
    <cfRule type="cellIs" dxfId="1135" priority="1209" operator="greaterThan">
      <formula>0.9</formula>
    </cfRule>
    <cfRule type="cellIs" dxfId="1134" priority="1210" operator="greaterThan">
      <formula>0.85</formula>
    </cfRule>
  </conditionalFormatting>
  <conditionalFormatting sqref="E47">
    <cfRule type="expression" dxfId="1133" priority="1205">
      <formula>AND(IF(OR($Q47=1,$Q47=2),1,0),IF($X47&lt;=20,1,0))</formula>
    </cfRule>
    <cfRule type="expression" dxfId="1132" priority="1206">
      <formula>AND(IF($Q47=2,1,0),IF($X47&lt;30,1,0))</formula>
    </cfRule>
    <cfRule type="expression" dxfId="1131" priority="1207">
      <formula>AND(IF($Q47=3,1,0),IF($X47&lt;30,1,0))</formula>
    </cfRule>
    <cfRule type="expression" dxfId="1130" priority="1208">
      <formula>AND(IF($Q47=3,1,IF($Q47=4,1,0)),IF($F47&lt;=85,1,0))</formula>
    </cfRule>
  </conditionalFormatting>
  <conditionalFormatting sqref="X47">
    <cfRule type="expression" dxfId="1129" priority="1201">
      <formula>AND(IF(OR($Q47=1,$Q47=2),1,0),IF($X47&lt;=20,1,0))</formula>
    </cfRule>
    <cfRule type="expression" dxfId="1128" priority="1202">
      <formula>AND(IF($Q47=2,1,0),IF($X47&lt;30,1,0))</formula>
    </cfRule>
    <cfRule type="expression" dxfId="1127" priority="1203">
      <formula>AND(IF($Q47=3,1,0),IF($X47&lt;30,1,0))</formula>
    </cfRule>
    <cfRule type="expression" dxfId="1126" priority="1204">
      <formula>AND(IF($Q47=3,1,IF($Q47=4,1,0)),IF($F47&lt;=85,1,0))</formula>
    </cfRule>
  </conditionalFormatting>
  <conditionalFormatting sqref="AI47">
    <cfRule type="expression" dxfId="1125" priority="1197">
      <formula>AND(IF(OR($Q47=1,$Q47=2),1,0),IF($X47&lt;=20,1,0))</formula>
    </cfRule>
    <cfRule type="expression" dxfId="1124" priority="1198">
      <formula>AND(IF($Q47=2,1,0),IF($X47&lt;30,1,0))</formula>
    </cfRule>
    <cfRule type="expression" dxfId="1123" priority="1199">
      <formula>AND(IF($Q47=3,1,0),IF($X47&lt;30,1,0))</formula>
    </cfRule>
    <cfRule type="expression" dxfId="1122" priority="1200">
      <formula>AND(IF($Q47=3,1,IF($Q47=4,1,0)),IF($F47&lt;=85,1,0))</formula>
    </cfRule>
  </conditionalFormatting>
  <conditionalFormatting sqref="AV48">
    <cfRule type="expression" dxfId="1121" priority="1195">
      <formula>AV48="X"</formula>
    </cfRule>
    <cfRule type="expression" dxfId="1120" priority="1196">
      <formula>AV48="후보"</formula>
    </cfRule>
  </conditionalFormatting>
  <conditionalFormatting sqref="Z48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119" priority="1192" operator="greaterThan">
      <formula>0.9</formula>
    </cfRule>
    <cfRule type="cellIs" dxfId="1118" priority="1193" operator="greaterThan">
      <formula>0.85</formula>
    </cfRule>
  </conditionalFormatting>
  <conditionalFormatting sqref="N48">
    <cfRule type="cellIs" dxfId="1117" priority="1190" operator="greaterThan">
      <formula>0.9</formula>
    </cfRule>
    <cfRule type="cellIs" dxfId="1116" priority="1191" operator="greaterThan">
      <formula>0.85</formula>
    </cfRule>
  </conditionalFormatting>
  <conditionalFormatting sqref="E48">
    <cfRule type="expression" dxfId="1115" priority="1186">
      <formula>AND(IF(OR($Q48=1,$Q48=2),1,0),IF($X48&lt;=20,1,0))</formula>
    </cfRule>
    <cfRule type="expression" dxfId="1114" priority="1187">
      <formula>AND(IF($Q48=2,1,0),IF($X48&lt;30,1,0))</formula>
    </cfRule>
    <cfRule type="expression" dxfId="1113" priority="1188">
      <formula>AND(IF($Q48=3,1,0),IF($X48&lt;30,1,0))</formula>
    </cfRule>
    <cfRule type="expression" dxfId="1112" priority="1189">
      <formula>AND(IF($Q48=3,1,IF($Q48=4,1,0)),IF($F48&lt;=85,1,0))</formula>
    </cfRule>
  </conditionalFormatting>
  <conditionalFormatting sqref="X48">
    <cfRule type="expression" dxfId="1111" priority="1182">
      <formula>AND(IF(OR($Q48=1,$Q48=2),1,0),IF($X48&lt;=20,1,0))</formula>
    </cfRule>
    <cfRule type="expression" dxfId="1110" priority="1183">
      <formula>AND(IF($Q48=2,1,0),IF($X48&lt;30,1,0))</formula>
    </cfRule>
    <cfRule type="expression" dxfId="1109" priority="1184">
      <formula>AND(IF($Q48=3,1,0),IF($X48&lt;30,1,0))</formula>
    </cfRule>
    <cfRule type="expression" dxfId="1108" priority="1185">
      <formula>AND(IF($Q48=3,1,IF($Q48=4,1,0)),IF($F48&lt;=85,1,0))</formula>
    </cfRule>
  </conditionalFormatting>
  <conditionalFormatting sqref="AI48">
    <cfRule type="expression" dxfId="1107" priority="1178">
      <formula>AND(IF(OR($Q48=1,$Q48=2),1,0),IF($X48&lt;=20,1,0))</formula>
    </cfRule>
    <cfRule type="expression" dxfId="1106" priority="1179">
      <formula>AND(IF($Q48=2,1,0),IF($X48&lt;30,1,0))</formula>
    </cfRule>
    <cfRule type="expression" dxfId="1105" priority="1180">
      <formula>AND(IF($Q48=3,1,0),IF($X48&lt;30,1,0))</formula>
    </cfRule>
    <cfRule type="expression" dxfId="1104" priority="1181">
      <formula>AND(IF($Q48=3,1,IF($Q48=4,1,0)),IF($F48&lt;=85,1,0))</formula>
    </cfRule>
  </conditionalFormatting>
  <conditionalFormatting sqref="AV49">
    <cfRule type="expression" dxfId="1103" priority="1176">
      <formula>AV49="X"</formula>
    </cfRule>
    <cfRule type="expression" dxfId="1102" priority="1177">
      <formula>AV49="후보"</formula>
    </cfRule>
  </conditionalFormatting>
  <conditionalFormatting sqref="Z49">
    <cfRule type="colorScale" priority="1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1101" priority="1173" operator="greaterThan">
      <formula>0.9</formula>
    </cfRule>
    <cfRule type="cellIs" dxfId="1100" priority="1174" operator="greaterThan">
      <formula>0.85</formula>
    </cfRule>
  </conditionalFormatting>
  <conditionalFormatting sqref="AV50">
    <cfRule type="expression" dxfId="1099" priority="1171">
      <formula>AV50="X"</formula>
    </cfRule>
    <cfRule type="expression" dxfId="1098" priority="1172">
      <formula>AV50="후보"</formula>
    </cfRule>
  </conditionalFormatting>
  <conditionalFormatting sqref="Z50">
    <cfRule type="colorScale" priority="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097" priority="1168" operator="greaterThan">
      <formula>0.9</formula>
    </cfRule>
    <cfRule type="cellIs" dxfId="1096" priority="1169" operator="greaterThan">
      <formula>0.85</formula>
    </cfRule>
  </conditionalFormatting>
  <conditionalFormatting sqref="N50">
    <cfRule type="cellIs" dxfId="1095" priority="1166" operator="greaterThan">
      <formula>0.9</formula>
    </cfRule>
    <cfRule type="cellIs" dxfId="1094" priority="1167" operator="greaterThan">
      <formula>0.85</formula>
    </cfRule>
  </conditionalFormatting>
  <conditionalFormatting sqref="E50">
    <cfRule type="expression" dxfId="1093" priority="1162">
      <formula>AND(IF(OR($Q50=1,$Q50=2),1,0),IF($X50&lt;=20,1,0))</formula>
    </cfRule>
    <cfRule type="expression" dxfId="1092" priority="1163">
      <formula>AND(IF($Q50=2,1,0),IF($X50&lt;30,1,0))</formula>
    </cfRule>
    <cfRule type="expression" dxfId="1091" priority="1164">
      <formula>AND(IF($Q50=3,1,0),IF($X50&lt;30,1,0))</formula>
    </cfRule>
    <cfRule type="expression" dxfId="1090" priority="1165">
      <formula>AND(IF($Q50=3,1,IF($Q50=4,1,0)),IF($F50&lt;=85,1,0))</formula>
    </cfRule>
  </conditionalFormatting>
  <conditionalFormatting sqref="X50">
    <cfRule type="expression" dxfId="1089" priority="1158">
      <formula>AND(IF(OR($Q50=1,$Q50=2),1,0),IF($X50&lt;=20,1,0))</formula>
    </cfRule>
    <cfRule type="expression" dxfId="1088" priority="1159">
      <formula>AND(IF($Q50=2,1,0),IF($X50&lt;30,1,0))</formula>
    </cfRule>
    <cfRule type="expression" dxfId="1087" priority="1160">
      <formula>AND(IF($Q50=3,1,0),IF($X50&lt;30,1,0))</formula>
    </cfRule>
    <cfRule type="expression" dxfId="1086" priority="1161">
      <formula>AND(IF($Q50=3,1,IF($Q50=4,1,0)),IF($F50&lt;=85,1,0))</formula>
    </cfRule>
  </conditionalFormatting>
  <conditionalFormatting sqref="AI50">
    <cfRule type="expression" dxfId="1085" priority="1154">
      <formula>AND(IF(OR($Q50=1,$Q50=2),1,0),IF($X50&lt;=20,1,0))</formula>
    </cfRule>
    <cfRule type="expression" dxfId="1084" priority="1155">
      <formula>AND(IF($Q50=2,1,0),IF($X50&lt;30,1,0))</formula>
    </cfRule>
    <cfRule type="expression" dxfId="1083" priority="1156">
      <formula>AND(IF($Q50=3,1,0),IF($X50&lt;30,1,0))</formula>
    </cfRule>
    <cfRule type="expression" dxfId="1082" priority="1157">
      <formula>AND(IF($Q50=3,1,IF($Q50=4,1,0)),IF($F50&lt;=85,1,0))</formula>
    </cfRule>
  </conditionalFormatting>
  <conditionalFormatting sqref="AV51">
    <cfRule type="expression" dxfId="1081" priority="1152">
      <formula>AV51="X"</formula>
    </cfRule>
    <cfRule type="expression" dxfId="1080" priority="1153">
      <formula>AV51="후보"</formula>
    </cfRule>
  </conditionalFormatting>
  <conditionalFormatting sqref="Z51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1079" priority="1149" operator="greaterThan">
      <formula>0.9</formula>
    </cfRule>
    <cfRule type="cellIs" dxfId="1078" priority="1150" operator="greaterThan">
      <formula>0.85</formula>
    </cfRule>
  </conditionalFormatting>
  <conditionalFormatting sqref="AV52">
    <cfRule type="expression" dxfId="1077" priority="1147">
      <formula>AV52="X"</formula>
    </cfRule>
    <cfRule type="expression" dxfId="1076" priority="1148">
      <formula>AV52="후보"</formula>
    </cfRule>
  </conditionalFormatting>
  <conditionalFormatting sqref="Z52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75" priority="1144" operator="greaterThan">
      <formula>0.9</formula>
    </cfRule>
    <cfRule type="cellIs" dxfId="1074" priority="1145" operator="greaterThan">
      <formula>0.85</formula>
    </cfRule>
  </conditionalFormatting>
  <conditionalFormatting sqref="N52">
    <cfRule type="cellIs" dxfId="1073" priority="1142" operator="greaterThan">
      <formula>0.9</formula>
    </cfRule>
    <cfRule type="cellIs" dxfId="1072" priority="1143" operator="greaterThan">
      <formula>0.85</formula>
    </cfRule>
  </conditionalFormatting>
  <conditionalFormatting sqref="E52">
    <cfRule type="expression" dxfId="1071" priority="1138">
      <formula>AND(IF(OR($Q52=1,$Q52=2),1,0),IF($X52&lt;=20,1,0))</formula>
    </cfRule>
    <cfRule type="expression" dxfId="1070" priority="1139">
      <formula>AND(IF($Q52=2,1,0),IF($X52&lt;30,1,0))</formula>
    </cfRule>
    <cfRule type="expression" dxfId="1069" priority="1140">
      <formula>AND(IF($Q52=3,1,0),IF($X52&lt;30,1,0))</formula>
    </cfRule>
    <cfRule type="expression" dxfId="1068" priority="1141">
      <formula>AND(IF($Q52=3,1,IF($Q52=4,1,0)),IF($F52&lt;=85,1,0))</formula>
    </cfRule>
  </conditionalFormatting>
  <conditionalFormatting sqref="X52">
    <cfRule type="expression" dxfId="1067" priority="1134">
      <formula>AND(IF(OR($Q52=1,$Q52=2),1,0),IF($X52&lt;=20,1,0))</formula>
    </cfRule>
    <cfRule type="expression" dxfId="1066" priority="1135">
      <formula>AND(IF($Q52=2,1,0),IF($X52&lt;30,1,0))</formula>
    </cfRule>
    <cfRule type="expression" dxfId="1065" priority="1136">
      <formula>AND(IF($Q52=3,1,0),IF($X52&lt;30,1,0))</formula>
    </cfRule>
    <cfRule type="expression" dxfId="1064" priority="1137">
      <formula>AND(IF($Q52=3,1,IF($Q52=4,1,0)),IF($F52&lt;=85,1,0))</formula>
    </cfRule>
  </conditionalFormatting>
  <conditionalFormatting sqref="AI52">
    <cfRule type="expression" dxfId="1063" priority="1130">
      <formula>AND(IF(OR($Q52=1,$Q52=2),1,0),IF($X52&lt;=20,1,0))</formula>
    </cfRule>
    <cfRule type="expression" dxfId="1062" priority="1131">
      <formula>AND(IF($Q52=2,1,0),IF($X52&lt;30,1,0))</formula>
    </cfRule>
    <cfRule type="expression" dxfId="1061" priority="1132">
      <formula>AND(IF($Q52=3,1,0),IF($X52&lt;30,1,0))</formula>
    </cfRule>
    <cfRule type="expression" dxfId="1060" priority="1133">
      <formula>AND(IF($Q52=3,1,IF($Q52=4,1,0)),IF($F52&lt;=85,1,0))</formula>
    </cfRule>
  </conditionalFormatting>
  <conditionalFormatting sqref="AV53">
    <cfRule type="expression" dxfId="1059" priority="1128">
      <formula>AV53="X"</formula>
    </cfRule>
    <cfRule type="expression" dxfId="1058" priority="1129">
      <formula>AV53="후보"</formula>
    </cfRule>
  </conditionalFormatting>
  <conditionalFormatting sqref="Z53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57" priority="1125" operator="greaterThan">
      <formula>0.9</formula>
    </cfRule>
    <cfRule type="cellIs" dxfId="1056" priority="1126" operator="greaterThan">
      <formula>0.85</formula>
    </cfRule>
  </conditionalFormatting>
  <conditionalFormatting sqref="N53">
    <cfRule type="cellIs" dxfId="1055" priority="1123" operator="greaterThan">
      <formula>0.9</formula>
    </cfRule>
    <cfRule type="cellIs" dxfId="1054" priority="1124" operator="greaterThan">
      <formula>0.85</formula>
    </cfRule>
  </conditionalFormatting>
  <conditionalFormatting sqref="E53">
    <cfRule type="expression" dxfId="1053" priority="1119">
      <formula>AND(IF(OR($Q53=1,$Q53=2),1,0),IF($X53&lt;=20,1,0))</formula>
    </cfRule>
    <cfRule type="expression" dxfId="1052" priority="1120">
      <formula>AND(IF($Q53=2,1,0),IF($X53&lt;30,1,0))</formula>
    </cfRule>
    <cfRule type="expression" dxfId="1051" priority="1121">
      <formula>AND(IF($Q53=3,1,0),IF($X53&lt;30,1,0))</formula>
    </cfRule>
    <cfRule type="expression" dxfId="1050" priority="1122">
      <formula>AND(IF($Q53=3,1,IF($Q53=4,1,0)),IF($F53&lt;=85,1,0))</formula>
    </cfRule>
  </conditionalFormatting>
  <conditionalFormatting sqref="X53">
    <cfRule type="expression" dxfId="1049" priority="1115">
      <formula>AND(IF(OR($Q53=1,$Q53=2),1,0),IF($X53&lt;=20,1,0))</formula>
    </cfRule>
    <cfRule type="expression" dxfId="1048" priority="1116">
      <formula>AND(IF($Q53=2,1,0),IF($X53&lt;30,1,0))</formula>
    </cfRule>
    <cfRule type="expression" dxfId="1047" priority="1117">
      <formula>AND(IF($Q53=3,1,0),IF($X53&lt;30,1,0))</formula>
    </cfRule>
    <cfRule type="expression" dxfId="1046" priority="1118">
      <formula>AND(IF($Q53=3,1,IF($Q53=4,1,0)),IF($F53&lt;=85,1,0))</formula>
    </cfRule>
  </conditionalFormatting>
  <conditionalFormatting sqref="AI53">
    <cfRule type="expression" dxfId="1045" priority="1111">
      <formula>AND(IF(OR($Q53=1,$Q53=2),1,0),IF($X53&lt;=20,1,0))</formula>
    </cfRule>
    <cfRule type="expression" dxfId="1044" priority="1112">
      <formula>AND(IF($Q53=2,1,0),IF($X53&lt;30,1,0))</formula>
    </cfRule>
    <cfRule type="expression" dxfId="1043" priority="1113">
      <formula>AND(IF($Q53=3,1,0),IF($X53&lt;30,1,0))</formula>
    </cfRule>
    <cfRule type="expression" dxfId="1042" priority="1114">
      <formula>AND(IF($Q53=3,1,IF($Q53=4,1,0)),IF($F53&lt;=85,1,0))</formula>
    </cfRule>
  </conditionalFormatting>
  <conditionalFormatting sqref="AV54">
    <cfRule type="expression" dxfId="1041" priority="1109">
      <formula>AV54="X"</formula>
    </cfRule>
    <cfRule type="expression" dxfId="1040" priority="1110">
      <formula>AV54="후보"</formula>
    </cfRule>
  </conditionalFormatting>
  <conditionalFormatting sqref="Z54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39" priority="1106" operator="greaterThan">
      <formula>0.9</formula>
    </cfRule>
    <cfRule type="cellIs" dxfId="1038" priority="1107" operator="greaterThan">
      <formula>0.85</formula>
    </cfRule>
  </conditionalFormatting>
  <conditionalFormatting sqref="N54">
    <cfRule type="cellIs" dxfId="1037" priority="1104" operator="greaterThan">
      <formula>0.9</formula>
    </cfRule>
    <cfRule type="cellIs" dxfId="1036" priority="1105" operator="greaterThan">
      <formula>0.85</formula>
    </cfRule>
  </conditionalFormatting>
  <conditionalFormatting sqref="E54">
    <cfRule type="expression" dxfId="1035" priority="1100">
      <formula>AND(IF(OR($Q54=1,$Q54=2),1,0),IF($X54&lt;=20,1,0))</formula>
    </cfRule>
    <cfRule type="expression" dxfId="1034" priority="1101">
      <formula>AND(IF($Q54=2,1,0),IF($X54&lt;30,1,0))</formula>
    </cfRule>
    <cfRule type="expression" dxfId="1033" priority="1102">
      <formula>AND(IF($Q54=3,1,0),IF($X54&lt;30,1,0))</formula>
    </cfRule>
    <cfRule type="expression" dxfId="1032" priority="1103">
      <formula>AND(IF($Q54=3,1,IF($Q54=4,1,0)),IF($F54&lt;=85,1,0))</formula>
    </cfRule>
  </conditionalFormatting>
  <conditionalFormatting sqref="X54">
    <cfRule type="expression" dxfId="1031" priority="1096">
      <formula>AND(IF(OR($Q54=1,$Q54=2),1,0),IF($X54&lt;=20,1,0))</formula>
    </cfRule>
    <cfRule type="expression" dxfId="1030" priority="1097">
      <formula>AND(IF($Q54=2,1,0),IF($X54&lt;30,1,0))</formula>
    </cfRule>
    <cfRule type="expression" dxfId="1029" priority="1098">
      <formula>AND(IF($Q54=3,1,0),IF($X54&lt;30,1,0))</formula>
    </cfRule>
    <cfRule type="expression" dxfId="1028" priority="1099">
      <formula>AND(IF($Q54=3,1,IF($Q54=4,1,0)),IF($F54&lt;=85,1,0))</formula>
    </cfRule>
  </conditionalFormatting>
  <conditionalFormatting sqref="AI54">
    <cfRule type="expression" dxfId="1027" priority="1092">
      <formula>AND(IF(OR($Q54=1,$Q54=2),1,0),IF($X54&lt;=20,1,0))</formula>
    </cfRule>
    <cfRule type="expression" dxfId="1026" priority="1093">
      <formula>AND(IF($Q54=2,1,0),IF($X54&lt;30,1,0))</formula>
    </cfRule>
    <cfRule type="expression" dxfId="1025" priority="1094">
      <formula>AND(IF($Q54=3,1,0),IF($X54&lt;30,1,0))</formula>
    </cfRule>
    <cfRule type="expression" dxfId="1024" priority="1095">
      <formula>AND(IF($Q54=3,1,IF($Q54=4,1,0)),IF($F54&lt;=85,1,0))</formula>
    </cfRule>
  </conditionalFormatting>
  <conditionalFormatting sqref="AV55">
    <cfRule type="expression" dxfId="1023" priority="1090">
      <formula>AV55="X"</formula>
    </cfRule>
    <cfRule type="expression" dxfId="1022" priority="1091">
      <formula>AV55="후보"</formula>
    </cfRule>
  </conditionalFormatting>
  <conditionalFormatting sqref="Z55">
    <cfRule type="colorScale" priority="1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21" priority="1087" operator="greaterThan">
      <formula>0.9</formula>
    </cfRule>
    <cfRule type="cellIs" dxfId="1020" priority="1088" operator="greaterThan">
      <formula>0.85</formula>
    </cfRule>
  </conditionalFormatting>
  <conditionalFormatting sqref="N55">
    <cfRule type="cellIs" dxfId="1019" priority="1085" operator="greaterThan">
      <formula>0.9</formula>
    </cfRule>
    <cfRule type="cellIs" dxfId="1018" priority="1086" operator="greaterThan">
      <formula>0.85</formula>
    </cfRule>
  </conditionalFormatting>
  <conditionalFormatting sqref="E55">
    <cfRule type="expression" dxfId="1017" priority="1081">
      <formula>AND(IF(OR($Q55=1,$Q55=2),1,0),IF($X55&lt;=20,1,0))</formula>
    </cfRule>
    <cfRule type="expression" dxfId="1016" priority="1082">
      <formula>AND(IF($Q55=2,1,0),IF($X55&lt;30,1,0))</formula>
    </cfRule>
    <cfRule type="expression" dxfId="1015" priority="1083">
      <formula>AND(IF($Q55=3,1,0),IF($X55&lt;30,1,0))</formula>
    </cfRule>
    <cfRule type="expression" dxfId="1014" priority="1084">
      <formula>AND(IF($Q55=3,1,IF($Q55=4,1,0)),IF($F55&lt;=85,1,0))</formula>
    </cfRule>
  </conditionalFormatting>
  <conditionalFormatting sqref="X55">
    <cfRule type="expression" dxfId="1013" priority="1077">
      <formula>AND(IF(OR($Q55=1,$Q55=2),1,0),IF($X55&lt;=20,1,0))</formula>
    </cfRule>
    <cfRule type="expression" dxfId="1012" priority="1078">
      <formula>AND(IF($Q55=2,1,0),IF($X55&lt;30,1,0))</formula>
    </cfRule>
    <cfRule type="expression" dxfId="1011" priority="1079">
      <formula>AND(IF($Q55=3,1,0),IF($X55&lt;30,1,0))</formula>
    </cfRule>
    <cfRule type="expression" dxfId="1010" priority="1080">
      <formula>AND(IF($Q55=3,1,IF($Q55=4,1,0)),IF($F55&lt;=85,1,0))</formula>
    </cfRule>
  </conditionalFormatting>
  <conditionalFormatting sqref="AI55">
    <cfRule type="expression" dxfId="1009" priority="1073">
      <formula>AND(IF(OR($Q55=1,$Q55=2),1,0),IF($X55&lt;=20,1,0))</formula>
    </cfRule>
    <cfRule type="expression" dxfId="1008" priority="1074">
      <formula>AND(IF($Q55=2,1,0),IF($X55&lt;30,1,0))</formula>
    </cfRule>
    <cfRule type="expression" dxfId="1007" priority="1075">
      <formula>AND(IF($Q55=3,1,0),IF($X55&lt;30,1,0))</formula>
    </cfRule>
    <cfRule type="expression" dxfId="1006" priority="1076">
      <formula>AND(IF($Q55=3,1,IF($Q55=4,1,0)),IF($F55&lt;=85,1,0))</formula>
    </cfRule>
  </conditionalFormatting>
  <conditionalFormatting sqref="AV56">
    <cfRule type="expression" dxfId="1005" priority="1071">
      <formula>AV56="X"</formula>
    </cfRule>
    <cfRule type="expression" dxfId="1004" priority="1072">
      <formula>AV56="후보"</formula>
    </cfRule>
  </conditionalFormatting>
  <conditionalFormatting sqref="Z56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03" priority="1068" operator="greaterThan">
      <formula>0.9</formula>
    </cfRule>
    <cfRule type="cellIs" dxfId="1002" priority="1069" operator="greaterThan">
      <formula>0.85</formula>
    </cfRule>
  </conditionalFormatting>
  <conditionalFormatting sqref="N56">
    <cfRule type="cellIs" dxfId="1001" priority="1066" operator="greaterThan">
      <formula>0.9</formula>
    </cfRule>
    <cfRule type="cellIs" dxfId="1000" priority="1067" operator="greaterThan">
      <formula>0.85</formula>
    </cfRule>
  </conditionalFormatting>
  <conditionalFormatting sqref="E56">
    <cfRule type="expression" dxfId="999" priority="1062">
      <formula>AND(IF(OR($Q56=1,$Q56=2),1,0),IF($X56&lt;=20,1,0))</formula>
    </cfRule>
    <cfRule type="expression" dxfId="998" priority="1063">
      <formula>AND(IF($Q56=2,1,0),IF($X56&lt;30,1,0))</formula>
    </cfRule>
    <cfRule type="expression" dxfId="997" priority="1064">
      <formula>AND(IF($Q56=3,1,0),IF($X56&lt;30,1,0))</formula>
    </cfRule>
    <cfRule type="expression" dxfId="996" priority="1065">
      <formula>AND(IF($Q56=3,1,IF($Q56=4,1,0)),IF($F56&lt;=85,1,0))</formula>
    </cfRule>
  </conditionalFormatting>
  <conditionalFormatting sqref="X56">
    <cfRule type="expression" dxfId="995" priority="1058">
      <formula>AND(IF(OR($Q56=1,$Q56=2),1,0),IF($X56&lt;=20,1,0))</formula>
    </cfRule>
    <cfRule type="expression" dxfId="994" priority="1059">
      <formula>AND(IF($Q56=2,1,0),IF($X56&lt;30,1,0))</formula>
    </cfRule>
    <cfRule type="expression" dxfId="993" priority="1060">
      <formula>AND(IF($Q56=3,1,0),IF($X56&lt;30,1,0))</formula>
    </cfRule>
    <cfRule type="expression" dxfId="992" priority="1061">
      <formula>AND(IF($Q56=3,1,IF($Q56=4,1,0)),IF($F56&lt;=85,1,0))</formula>
    </cfRule>
  </conditionalFormatting>
  <conditionalFormatting sqref="AI56">
    <cfRule type="expression" dxfId="991" priority="1054">
      <formula>AND(IF(OR($Q56=1,$Q56=2),1,0),IF($X56&lt;=20,1,0))</formula>
    </cfRule>
    <cfRule type="expression" dxfId="990" priority="1055">
      <formula>AND(IF($Q56=2,1,0),IF($X56&lt;30,1,0))</formula>
    </cfRule>
    <cfRule type="expression" dxfId="989" priority="1056">
      <formula>AND(IF($Q56=3,1,0),IF($X56&lt;30,1,0))</formula>
    </cfRule>
    <cfRule type="expression" dxfId="988" priority="1057">
      <formula>AND(IF($Q56=3,1,IF($Q56=4,1,0)),IF($F56&lt;=85,1,0))</formula>
    </cfRule>
  </conditionalFormatting>
  <conditionalFormatting sqref="AV57">
    <cfRule type="expression" dxfId="987" priority="1052">
      <formula>AV57="X"</formula>
    </cfRule>
    <cfRule type="expression" dxfId="986" priority="1053">
      <formula>AV57="후보"</formula>
    </cfRule>
  </conditionalFormatting>
  <conditionalFormatting sqref="Z57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985" priority="1049" operator="greaterThan">
      <formula>0.9</formula>
    </cfRule>
    <cfRule type="cellIs" dxfId="984" priority="1050" operator="greaterThan">
      <formula>0.85</formula>
    </cfRule>
  </conditionalFormatting>
  <conditionalFormatting sqref="AV58">
    <cfRule type="expression" dxfId="983" priority="1047">
      <formula>AV58="X"</formula>
    </cfRule>
    <cfRule type="expression" dxfId="982" priority="1048">
      <formula>AV58="후보"</formula>
    </cfRule>
  </conditionalFormatting>
  <conditionalFormatting sqref="Z58">
    <cfRule type="colorScale" priority="1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981" priority="1044" operator="greaterThan">
      <formula>0.9</formula>
    </cfRule>
    <cfRule type="cellIs" dxfId="980" priority="1045" operator="greaterThan">
      <formula>0.85</formula>
    </cfRule>
  </conditionalFormatting>
  <conditionalFormatting sqref="N58">
    <cfRule type="cellIs" dxfId="979" priority="1042" operator="greaterThan">
      <formula>0.9</formula>
    </cfRule>
    <cfRule type="cellIs" dxfId="978" priority="1043" operator="greaterThan">
      <formula>0.85</formula>
    </cfRule>
  </conditionalFormatting>
  <conditionalFormatting sqref="E58">
    <cfRule type="expression" dxfId="977" priority="1038">
      <formula>AND(IF(OR($Q58=1,$Q58=2),1,0),IF($X58&lt;=20,1,0))</formula>
    </cfRule>
    <cfRule type="expression" dxfId="976" priority="1039">
      <formula>AND(IF($Q58=2,1,0),IF($X58&lt;30,1,0))</formula>
    </cfRule>
    <cfRule type="expression" dxfId="975" priority="1040">
      <formula>AND(IF($Q58=3,1,0),IF($X58&lt;30,1,0))</formula>
    </cfRule>
    <cfRule type="expression" dxfId="974" priority="1041">
      <formula>AND(IF($Q58=3,1,IF($Q58=4,1,0)),IF($F58&lt;=85,1,0))</formula>
    </cfRule>
  </conditionalFormatting>
  <conditionalFormatting sqref="X58">
    <cfRule type="expression" dxfId="973" priority="1034">
      <formula>AND(IF(OR($Q58=1,$Q58=2),1,0),IF($X58&lt;=20,1,0))</formula>
    </cfRule>
    <cfRule type="expression" dxfId="972" priority="1035">
      <formula>AND(IF($Q58=2,1,0),IF($X58&lt;30,1,0))</formula>
    </cfRule>
    <cfRule type="expression" dxfId="971" priority="1036">
      <formula>AND(IF($Q58=3,1,0),IF($X58&lt;30,1,0))</formula>
    </cfRule>
    <cfRule type="expression" dxfId="970" priority="1037">
      <formula>AND(IF($Q58=3,1,IF($Q58=4,1,0)),IF($F58&lt;=85,1,0))</formula>
    </cfRule>
  </conditionalFormatting>
  <conditionalFormatting sqref="AI58">
    <cfRule type="expression" dxfId="969" priority="1030">
      <formula>AND(IF(OR($Q58=1,$Q58=2),1,0),IF($X58&lt;=20,1,0))</formula>
    </cfRule>
    <cfRule type="expression" dxfId="968" priority="1031">
      <formula>AND(IF($Q58=2,1,0),IF($X58&lt;30,1,0))</formula>
    </cfRule>
    <cfRule type="expression" dxfId="967" priority="1032">
      <formula>AND(IF($Q58=3,1,0),IF($X58&lt;30,1,0))</formula>
    </cfRule>
    <cfRule type="expression" dxfId="966" priority="1033">
      <formula>AND(IF($Q58=3,1,IF($Q58=4,1,0)),IF($F58&lt;=85,1,0))</formula>
    </cfRule>
  </conditionalFormatting>
  <conditionalFormatting sqref="AV59">
    <cfRule type="expression" dxfId="965" priority="1028">
      <formula>AV59="X"</formula>
    </cfRule>
    <cfRule type="expression" dxfId="964" priority="1029">
      <formula>AV59="후보"</formula>
    </cfRule>
  </conditionalFormatting>
  <conditionalFormatting sqref="Z59">
    <cfRule type="colorScale" priority="1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963" priority="1025" operator="greaterThan">
      <formula>0.9</formula>
    </cfRule>
    <cfRule type="cellIs" dxfId="962" priority="1026" operator="greaterThan">
      <formula>0.85</formula>
    </cfRule>
  </conditionalFormatting>
  <conditionalFormatting sqref="N59">
    <cfRule type="cellIs" dxfId="961" priority="1023" operator="greaterThan">
      <formula>0.9</formula>
    </cfRule>
    <cfRule type="cellIs" dxfId="960" priority="1024" operator="greaterThan">
      <formula>0.85</formula>
    </cfRule>
  </conditionalFormatting>
  <conditionalFormatting sqref="E59">
    <cfRule type="expression" dxfId="959" priority="1019">
      <formula>AND(IF(OR($Q59=1,$Q59=2),1,0),IF($X59&lt;=20,1,0))</formula>
    </cfRule>
    <cfRule type="expression" dxfId="958" priority="1020">
      <formula>AND(IF($Q59=2,1,0),IF($X59&lt;30,1,0))</formula>
    </cfRule>
    <cfRule type="expression" dxfId="957" priority="1021">
      <formula>AND(IF($Q59=3,1,0),IF($X59&lt;30,1,0))</formula>
    </cfRule>
    <cfRule type="expression" dxfId="956" priority="1022">
      <formula>AND(IF($Q59=3,1,IF($Q59=4,1,0)),IF($F59&lt;=85,1,0))</formula>
    </cfRule>
  </conditionalFormatting>
  <conditionalFormatting sqref="X59">
    <cfRule type="expression" dxfId="955" priority="1015">
      <formula>AND(IF(OR($Q59=1,$Q59=2),1,0),IF($X59&lt;=20,1,0))</formula>
    </cfRule>
    <cfRule type="expression" dxfId="954" priority="1016">
      <formula>AND(IF($Q59=2,1,0),IF($X59&lt;30,1,0))</formula>
    </cfRule>
    <cfRule type="expression" dxfId="953" priority="1017">
      <formula>AND(IF($Q59=3,1,0),IF($X59&lt;30,1,0))</formula>
    </cfRule>
    <cfRule type="expression" dxfId="952" priority="1018">
      <formula>AND(IF($Q59=3,1,IF($Q59=4,1,0)),IF($F59&lt;=85,1,0))</formula>
    </cfRule>
  </conditionalFormatting>
  <conditionalFormatting sqref="AI59">
    <cfRule type="expression" dxfId="951" priority="1011">
      <formula>AND(IF(OR($Q59=1,$Q59=2),1,0),IF($X59&lt;=20,1,0))</formula>
    </cfRule>
    <cfRule type="expression" dxfId="950" priority="1012">
      <formula>AND(IF($Q59=2,1,0),IF($X59&lt;30,1,0))</formula>
    </cfRule>
    <cfRule type="expression" dxfId="949" priority="1013">
      <formula>AND(IF($Q59=3,1,0),IF($X59&lt;30,1,0))</formula>
    </cfRule>
    <cfRule type="expression" dxfId="948" priority="1014">
      <formula>AND(IF($Q59=3,1,IF($Q59=4,1,0)),IF($F59&lt;=85,1,0))</formula>
    </cfRule>
  </conditionalFormatting>
  <conditionalFormatting sqref="AV60">
    <cfRule type="expression" dxfId="947" priority="1009">
      <formula>AV60="X"</formula>
    </cfRule>
    <cfRule type="expression" dxfId="946" priority="1010">
      <formula>AV60="후보"</formula>
    </cfRule>
  </conditionalFormatting>
  <conditionalFormatting sqref="Z60">
    <cfRule type="colorScale" priority="1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945" priority="1006" operator="greaterThan">
      <formula>0.9</formula>
    </cfRule>
    <cfRule type="cellIs" dxfId="944" priority="1007" operator="greaterThan">
      <formula>0.85</formula>
    </cfRule>
  </conditionalFormatting>
  <conditionalFormatting sqref="N60">
    <cfRule type="cellIs" dxfId="943" priority="1004" operator="greaterThan">
      <formula>0.9</formula>
    </cfRule>
    <cfRule type="cellIs" dxfId="942" priority="1005" operator="greaterThan">
      <formula>0.85</formula>
    </cfRule>
  </conditionalFormatting>
  <conditionalFormatting sqref="E60">
    <cfRule type="expression" dxfId="941" priority="1000">
      <formula>AND(IF(OR($Q60=1,$Q60=2),1,0),IF($X60&lt;=20,1,0))</formula>
    </cfRule>
    <cfRule type="expression" dxfId="940" priority="1001">
      <formula>AND(IF($Q60=2,1,0),IF($X60&lt;30,1,0))</formula>
    </cfRule>
    <cfRule type="expression" dxfId="939" priority="1002">
      <formula>AND(IF($Q60=3,1,0),IF($X60&lt;30,1,0))</formula>
    </cfRule>
    <cfRule type="expression" dxfId="938" priority="1003">
      <formula>AND(IF($Q60=3,1,IF($Q60=4,1,0)),IF($F60&lt;=85,1,0))</formula>
    </cfRule>
  </conditionalFormatting>
  <conditionalFormatting sqref="X60">
    <cfRule type="expression" dxfId="937" priority="996">
      <formula>AND(IF(OR($Q60=1,$Q60=2),1,0),IF($X60&lt;=20,1,0))</formula>
    </cfRule>
    <cfRule type="expression" dxfId="936" priority="997">
      <formula>AND(IF($Q60=2,1,0),IF($X60&lt;30,1,0))</formula>
    </cfRule>
    <cfRule type="expression" dxfId="935" priority="998">
      <formula>AND(IF($Q60=3,1,0),IF($X60&lt;30,1,0))</formula>
    </cfRule>
    <cfRule type="expression" dxfId="934" priority="999">
      <formula>AND(IF($Q60=3,1,IF($Q60=4,1,0)),IF($F60&lt;=85,1,0))</formula>
    </cfRule>
  </conditionalFormatting>
  <conditionalFormatting sqref="AI60">
    <cfRule type="expression" dxfId="933" priority="992">
      <formula>AND(IF(OR($Q60=1,$Q60=2),1,0),IF($X60&lt;=20,1,0))</formula>
    </cfRule>
    <cfRule type="expression" dxfId="932" priority="993">
      <formula>AND(IF($Q60=2,1,0),IF($X60&lt;30,1,0))</formula>
    </cfRule>
    <cfRule type="expression" dxfId="931" priority="994">
      <formula>AND(IF($Q60=3,1,0),IF($X60&lt;30,1,0))</formula>
    </cfRule>
    <cfRule type="expression" dxfId="930" priority="995">
      <formula>AND(IF($Q60=3,1,IF($Q60=4,1,0)),IF($F60&lt;=85,1,0))</formula>
    </cfRule>
  </conditionalFormatting>
  <conditionalFormatting sqref="AV61">
    <cfRule type="expression" dxfId="929" priority="990">
      <formula>AV61="X"</formula>
    </cfRule>
    <cfRule type="expression" dxfId="928" priority="991">
      <formula>AV61="후보"</formula>
    </cfRule>
  </conditionalFormatting>
  <conditionalFormatting sqref="Z61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927" priority="987" operator="greaterThan">
      <formula>0.9</formula>
    </cfRule>
    <cfRule type="cellIs" dxfId="926" priority="988" operator="greaterThan">
      <formula>0.85</formula>
    </cfRule>
  </conditionalFormatting>
  <conditionalFormatting sqref="N61">
    <cfRule type="cellIs" dxfId="925" priority="985" operator="greaterThan">
      <formula>0.9</formula>
    </cfRule>
    <cfRule type="cellIs" dxfId="924" priority="986" operator="greaterThan">
      <formula>0.85</formula>
    </cfRule>
  </conditionalFormatting>
  <conditionalFormatting sqref="E61">
    <cfRule type="expression" dxfId="923" priority="981">
      <formula>AND(IF(OR($Q61=1,$Q61=2),1,0),IF($X61&lt;=20,1,0))</formula>
    </cfRule>
    <cfRule type="expression" dxfId="922" priority="982">
      <formula>AND(IF($Q61=2,1,0),IF($X61&lt;30,1,0))</formula>
    </cfRule>
    <cfRule type="expression" dxfId="921" priority="983">
      <formula>AND(IF($Q61=3,1,0),IF($X61&lt;30,1,0))</formula>
    </cfRule>
    <cfRule type="expression" dxfId="920" priority="984">
      <formula>AND(IF($Q61=3,1,IF($Q61=4,1,0)),IF($F61&lt;=85,1,0))</formula>
    </cfRule>
  </conditionalFormatting>
  <conditionalFormatting sqref="X61">
    <cfRule type="expression" dxfId="919" priority="977">
      <formula>AND(IF(OR($Q61=1,$Q61=2),1,0),IF($X61&lt;=20,1,0))</formula>
    </cfRule>
    <cfRule type="expression" dxfId="918" priority="978">
      <formula>AND(IF($Q61=2,1,0),IF($X61&lt;30,1,0))</formula>
    </cfRule>
    <cfRule type="expression" dxfId="917" priority="979">
      <formula>AND(IF($Q61=3,1,0),IF($X61&lt;30,1,0))</formula>
    </cfRule>
    <cfRule type="expression" dxfId="916" priority="980">
      <formula>AND(IF($Q61=3,1,IF($Q61=4,1,0)),IF($F61&lt;=85,1,0))</formula>
    </cfRule>
  </conditionalFormatting>
  <conditionalFormatting sqref="AI61">
    <cfRule type="expression" dxfId="915" priority="973">
      <formula>AND(IF(OR($Q61=1,$Q61=2),1,0),IF($X61&lt;=20,1,0))</formula>
    </cfRule>
    <cfRule type="expression" dxfId="914" priority="974">
      <formula>AND(IF($Q61=2,1,0),IF($X61&lt;30,1,0))</formula>
    </cfRule>
    <cfRule type="expression" dxfId="913" priority="975">
      <formula>AND(IF($Q61=3,1,0),IF($X61&lt;30,1,0))</formula>
    </cfRule>
    <cfRule type="expression" dxfId="912" priority="976">
      <formula>AND(IF($Q61=3,1,IF($Q61=4,1,0)),IF($F61&lt;=85,1,0))</formula>
    </cfRule>
  </conditionalFormatting>
  <conditionalFormatting sqref="AV62">
    <cfRule type="expression" dxfId="911" priority="971">
      <formula>AV62="X"</formula>
    </cfRule>
    <cfRule type="expression" dxfId="910" priority="972">
      <formula>AV62="후보"</formula>
    </cfRule>
  </conditionalFormatting>
  <conditionalFormatting sqref="Z62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909" priority="968" operator="greaterThan">
      <formula>0.9</formula>
    </cfRule>
    <cfRule type="cellIs" dxfId="908" priority="969" operator="greaterThan">
      <formula>0.85</formula>
    </cfRule>
  </conditionalFormatting>
  <conditionalFormatting sqref="N62">
    <cfRule type="cellIs" dxfId="907" priority="966" operator="greaterThan">
      <formula>0.9</formula>
    </cfRule>
    <cfRule type="cellIs" dxfId="906" priority="967" operator="greaterThan">
      <formula>0.85</formula>
    </cfRule>
  </conditionalFormatting>
  <conditionalFormatting sqref="E62">
    <cfRule type="expression" dxfId="905" priority="962">
      <formula>AND(IF(OR($Q62=1,$Q62=2),1,0),IF($X62&lt;=20,1,0))</formula>
    </cfRule>
    <cfRule type="expression" dxfId="904" priority="963">
      <formula>AND(IF($Q62=2,1,0),IF($X62&lt;30,1,0))</formula>
    </cfRule>
    <cfRule type="expression" dxfId="903" priority="964">
      <formula>AND(IF($Q62=3,1,0),IF($X62&lt;30,1,0))</formula>
    </cfRule>
    <cfRule type="expression" dxfId="902" priority="965">
      <formula>AND(IF($Q62=3,1,IF($Q62=4,1,0)),IF($F62&lt;=85,1,0))</formula>
    </cfRule>
  </conditionalFormatting>
  <conditionalFormatting sqref="X62">
    <cfRule type="expression" dxfId="901" priority="958">
      <formula>AND(IF(OR($Q62=1,$Q62=2),1,0),IF($X62&lt;=20,1,0))</formula>
    </cfRule>
    <cfRule type="expression" dxfId="900" priority="959">
      <formula>AND(IF($Q62=2,1,0),IF($X62&lt;30,1,0))</formula>
    </cfRule>
    <cfRule type="expression" dxfId="899" priority="960">
      <formula>AND(IF($Q62=3,1,0),IF($X62&lt;30,1,0))</formula>
    </cfRule>
    <cfRule type="expression" dxfId="898" priority="961">
      <formula>AND(IF($Q62=3,1,IF($Q62=4,1,0)),IF($F62&lt;=85,1,0))</formula>
    </cfRule>
  </conditionalFormatting>
  <conditionalFormatting sqref="AI62">
    <cfRule type="expression" dxfId="897" priority="954">
      <formula>AND(IF(OR($Q62=1,$Q62=2),1,0),IF($X62&lt;=20,1,0))</formula>
    </cfRule>
    <cfRule type="expression" dxfId="896" priority="955">
      <formula>AND(IF($Q62=2,1,0),IF($X62&lt;30,1,0))</formula>
    </cfRule>
    <cfRule type="expression" dxfId="895" priority="956">
      <formula>AND(IF($Q62=3,1,0),IF($X62&lt;30,1,0))</formula>
    </cfRule>
    <cfRule type="expression" dxfId="894" priority="957">
      <formula>AND(IF($Q62=3,1,IF($Q62=4,1,0)),IF($F62&lt;=85,1,0))</formula>
    </cfRule>
  </conditionalFormatting>
  <conditionalFormatting sqref="AV63">
    <cfRule type="expression" dxfId="893" priority="952">
      <formula>AV63="X"</formula>
    </cfRule>
    <cfRule type="expression" dxfId="892" priority="953">
      <formula>AV63="후보"</formula>
    </cfRule>
  </conditionalFormatting>
  <conditionalFormatting sqref="Z63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891" priority="949" operator="greaterThan">
      <formula>0.9</formula>
    </cfRule>
    <cfRule type="cellIs" dxfId="890" priority="950" operator="greaterThan">
      <formula>0.85</formula>
    </cfRule>
  </conditionalFormatting>
  <conditionalFormatting sqref="N63">
    <cfRule type="cellIs" dxfId="889" priority="947" operator="greaterThan">
      <formula>0.9</formula>
    </cfRule>
    <cfRule type="cellIs" dxfId="888" priority="948" operator="greaterThan">
      <formula>0.85</formula>
    </cfRule>
  </conditionalFormatting>
  <conditionalFormatting sqref="E63">
    <cfRule type="expression" dxfId="887" priority="943">
      <formula>AND(IF(OR($Q63=1,$Q63=2),1,0),IF($X63&lt;=20,1,0))</formula>
    </cfRule>
    <cfRule type="expression" dxfId="886" priority="944">
      <formula>AND(IF($Q63=2,1,0),IF($X63&lt;30,1,0))</formula>
    </cfRule>
    <cfRule type="expression" dxfId="885" priority="945">
      <formula>AND(IF($Q63=3,1,0),IF($X63&lt;30,1,0))</formula>
    </cfRule>
    <cfRule type="expression" dxfId="884" priority="946">
      <formula>AND(IF($Q63=3,1,IF($Q63=4,1,0)),IF($F63&lt;=85,1,0))</formula>
    </cfRule>
  </conditionalFormatting>
  <conditionalFormatting sqref="X63">
    <cfRule type="expression" dxfId="883" priority="939">
      <formula>AND(IF(OR($Q63=1,$Q63=2),1,0),IF($X63&lt;=20,1,0))</formula>
    </cfRule>
    <cfRule type="expression" dxfId="882" priority="940">
      <formula>AND(IF($Q63=2,1,0),IF($X63&lt;30,1,0))</formula>
    </cfRule>
    <cfRule type="expression" dxfId="881" priority="941">
      <formula>AND(IF($Q63=3,1,0),IF($X63&lt;30,1,0))</formula>
    </cfRule>
    <cfRule type="expression" dxfId="880" priority="942">
      <formula>AND(IF($Q63=3,1,IF($Q63=4,1,0)),IF($F63&lt;=85,1,0))</formula>
    </cfRule>
  </conditionalFormatting>
  <conditionalFormatting sqref="AI63">
    <cfRule type="expression" dxfId="879" priority="935">
      <formula>AND(IF(OR($Q63=1,$Q63=2),1,0),IF($X63&lt;=20,1,0))</formula>
    </cfRule>
    <cfRule type="expression" dxfId="878" priority="936">
      <formula>AND(IF($Q63=2,1,0),IF($X63&lt;30,1,0))</formula>
    </cfRule>
    <cfRule type="expression" dxfId="877" priority="937">
      <formula>AND(IF($Q63=3,1,0),IF($X63&lt;30,1,0))</formula>
    </cfRule>
    <cfRule type="expression" dxfId="876" priority="938">
      <formula>AND(IF($Q63=3,1,IF($Q63=4,1,0)),IF($F63&lt;=85,1,0))</formula>
    </cfRule>
  </conditionalFormatting>
  <conditionalFormatting sqref="AV64">
    <cfRule type="expression" dxfId="875" priority="933">
      <formula>AV64="X"</formula>
    </cfRule>
    <cfRule type="expression" dxfId="874" priority="934">
      <formula>AV64="후보"</formula>
    </cfRule>
  </conditionalFormatting>
  <conditionalFormatting sqref="Z64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873" priority="930" operator="greaterThan">
      <formula>0.9</formula>
    </cfRule>
    <cfRule type="cellIs" dxfId="872" priority="931" operator="greaterThan">
      <formula>0.85</formula>
    </cfRule>
  </conditionalFormatting>
  <conditionalFormatting sqref="AV65">
    <cfRule type="expression" dxfId="871" priority="928">
      <formula>AV65="X"</formula>
    </cfRule>
    <cfRule type="expression" dxfId="870" priority="929">
      <formula>AV65="후보"</formula>
    </cfRule>
  </conditionalFormatting>
  <conditionalFormatting sqref="Z65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869" priority="925" operator="greaterThan">
      <formula>0.9</formula>
    </cfRule>
    <cfRule type="cellIs" dxfId="868" priority="926" operator="greaterThan">
      <formula>0.85</formula>
    </cfRule>
  </conditionalFormatting>
  <conditionalFormatting sqref="N65">
    <cfRule type="cellIs" dxfId="867" priority="923" operator="greaterThan">
      <formula>0.9</formula>
    </cfRule>
    <cfRule type="cellIs" dxfId="866" priority="924" operator="greaterThan">
      <formula>0.85</formula>
    </cfRule>
  </conditionalFormatting>
  <conditionalFormatting sqref="E65">
    <cfRule type="expression" dxfId="865" priority="919">
      <formula>AND(IF(OR($Q65=1,$Q65=2),1,0),IF($X65&lt;=20,1,0))</formula>
    </cfRule>
    <cfRule type="expression" dxfId="864" priority="920">
      <formula>AND(IF($Q65=2,1,0),IF($X65&lt;30,1,0))</formula>
    </cfRule>
    <cfRule type="expression" dxfId="863" priority="921">
      <formula>AND(IF($Q65=3,1,0),IF($X65&lt;30,1,0))</formula>
    </cfRule>
    <cfRule type="expression" dxfId="862" priority="922">
      <formula>AND(IF($Q65=3,1,IF($Q65=4,1,0)),IF($F65&lt;=85,1,0))</formula>
    </cfRule>
  </conditionalFormatting>
  <conditionalFormatting sqref="X65">
    <cfRule type="expression" dxfId="861" priority="915">
      <formula>AND(IF(OR($Q65=1,$Q65=2),1,0),IF($X65&lt;=20,1,0))</formula>
    </cfRule>
    <cfRule type="expression" dxfId="860" priority="916">
      <formula>AND(IF($Q65=2,1,0),IF($X65&lt;30,1,0))</formula>
    </cfRule>
    <cfRule type="expression" dxfId="859" priority="917">
      <formula>AND(IF($Q65=3,1,0),IF($X65&lt;30,1,0))</formula>
    </cfRule>
    <cfRule type="expression" dxfId="858" priority="918">
      <formula>AND(IF($Q65=3,1,IF($Q65=4,1,0)),IF($F65&lt;=85,1,0))</formula>
    </cfRule>
  </conditionalFormatting>
  <conditionalFormatting sqref="AI65">
    <cfRule type="expression" dxfId="857" priority="911">
      <formula>AND(IF(OR($Q65=1,$Q65=2),1,0),IF($X65&lt;=20,1,0))</formula>
    </cfRule>
    <cfRule type="expression" dxfId="856" priority="912">
      <formula>AND(IF($Q65=2,1,0),IF($X65&lt;30,1,0))</formula>
    </cfRule>
    <cfRule type="expression" dxfId="855" priority="913">
      <formula>AND(IF($Q65=3,1,0),IF($X65&lt;30,1,0))</formula>
    </cfRule>
    <cfRule type="expression" dxfId="854" priority="914">
      <formula>AND(IF($Q65=3,1,IF($Q65=4,1,0)),IF($F65&lt;=85,1,0))</formula>
    </cfRule>
  </conditionalFormatting>
  <conditionalFormatting sqref="AV66">
    <cfRule type="expression" dxfId="853" priority="909">
      <formula>AV66="X"</formula>
    </cfRule>
    <cfRule type="expression" dxfId="852" priority="910">
      <formula>AV66="후보"</formula>
    </cfRule>
  </conditionalFormatting>
  <conditionalFormatting sqref="Z66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851" priority="906" operator="greaterThan">
      <formula>0.9</formula>
    </cfRule>
    <cfRule type="cellIs" dxfId="850" priority="907" operator="greaterThan">
      <formula>0.85</formula>
    </cfRule>
  </conditionalFormatting>
  <conditionalFormatting sqref="N66">
    <cfRule type="cellIs" dxfId="849" priority="904" operator="greaterThan">
      <formula>0.9</formula>
    </cfRule>
    <cfRule type="cellIs" dxfId="848" priority="905" operator="greaterThan">
      <formula>0.85</formula>
    </cfRule>
  </conditionalFormatting>
  <conditionalFormatting sqref="E66">
    <cfRule type="expression" dxfId="847" priority="900">
      <formula>AND(IF(OR($Q66=1,$Q66=2),1,0),IF($X66&lt;=20,1,0))</formula>
    </cfRule>
    <cfRule type="expression" dxfId="846" priority="901">
      <formula>AND(IF($Q66=2,1,0),IF($X66&lt;30,1,0))</formula>
    </cfRule>
    <cfRule type="expression" dxfId="845" priority="902">
      <formula>AND(IF($Q66=3,1,0),IF($X66&lt;30,1,0))</formula>
    </cfRule>
    <cfRule type="expression" dxfId="844" priority="903">
      <formula>AND(IF($Q66=3,1,IF($Q66=4,1,0)),IF($F66&lt;=85,1,0))</formula>
    </cfRule>
  </conditionalFormatting>
  <conditionalFormatting sqref="X66">
    <cfRule type="expression" dxfId="843" priority="896">
      <formula>AND(IF(OR($Q66=1,$Q66=2),1,0),IF($X66&lt;=20,1,0))</formula>
    </cfRule>
    <cfRule type="expression" dxfId="842" priority="897">
      <formula>AND(IF($Q66=2,1,0),IF($X66&lt;30,1,0))</formula>
    </cfRule>
    <cfRule type="expression" dxfId="841" priority="898">
      <formula>AND(IF($Q66=3,1,0),IF($X66&lt;30,1,0))</formula>
    </cfRule>
    <cfRule type="expression" dxfId="840" priority="899">
      <formula>AND(IF($Q66=3,1,IF($Q66=4,1,0)),IF($F66&lt;=85,1,0))</formula>
    </cfRule>
  </conditionalFormatting>
  <conditionalFormatting sqref="AI66">
    <cfRule type="expression" dxfId="839" priority="892">
      <formula>AND(IF(OR($Q66=1,$Q66=2),1,0),IF($X66&lt;=20,1,0))</formula>
    </cfRule>
    <cfRule type="expression" dxfId="838" priority="893">
      <formula>AND(IF($Q66=2,1,0),IF($X66&lt;30,1,0))</formula>
    </cfRule>
    <cfRule type="expression" dxfId="837" priority="894">
      <formula>AND(IF($Q66=3,1,0),IF($X66&lt;30,1,0))</formula>
    </cfRule>
    <cfRule type="expression" dxfId="836" priority="895">
      <formula>AND(IF($Q66=3,1,IF($Q66=4,1,0)),IF($F66&lt;=85,1,0))</formula>
    </cfRule>
  </conditionalFormatting>
  <conditionalFormatting sqref="AV67">
    <cfRule type="expression" dxfId="835" priority="890">
      <formula>AV67="X"</formula>
    </cfRule>
    <cfRule type="expression" dxfId="834" priority="891">
      <formula>AV67="후보"</formula>
    </cfRule>
  </conditionalFormatting>
  <conditionalFormatting sqref="Z67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833" priority="887" operator="greaterThan">
      <formula>0.9</formula>
    </cfRule>
    <cfRule type="cellIs" dxfId="832" priority="888" operator="greaterThan">
      <formula>0.85</formula>
    </cfRule>
  </conditionalFormatting>
  <conditionalFormatting sqref="N67">
    <cfRule type="cellIs" dxfId="831" priority="885" operator="greaterThan">
      <formula>0.9</formula>
    </cfRule>
    <cfRule type="cellIs" dxfId="830" priority="886" operator="greaterThan">
      <formula>0.85</formula>
    </cfRule>
  </conditionalFormatting>
  <conditionalFormatting sqref="E67">
    <cfRule type="expression" dxfId="829" priority="881">
      <formula>AND(IF(OR($Q67=1,$Q67=2),1,0),IF($X67&lt;=20,1,0))</formula>
    </cfRule>
    <cfRule type="expression" dxfId="828" priority="882">
      <formula>AND(IF($Q67=2,1,0),IF($X67&lt;30,1,0))</formula>
    </cfRule>
    <cfRule type="expression" dxfId="827" priority="883">
      <formula>AND(IF($Q67=3,1,0),IF($X67&lt;30,1,0))</formula>
    </cfRule>
    <cfRule type="expression" dxfId="826" priority="884">
      <formula>AND(IF($Q67=3,1,IF($Q67=4,1,0)),IF($F67&lt;=85,1,0))</formula>
    </cfRule>
  </conditionalFormatting>
  <conditionalFormatting sqref="X67">
    <cfRule type="expression" dxfId="825" priority="877">
      <formula>AND(IF(OR($Q67=1,$Q67=2),1,0),IF($X67&lt;=20,1,0))</formula>
    </cfRule>
    <cfRule type="expression" dxfId="824" priority="878">
      <formula>AND(IF($Q67=2,1,0),IF($X67&lt;30,1,0))</formula>
    </cfRule>
    <cfRule type="expression" dxfId="823" priority="879">
      <formula>AND(IF($Q67=3,1,0),IF($X67&lt;30,1,0))</formula>
    </cfRule>
    <cfRule type="expression" dxfId="822" priority="880">
      <formula>AND(IF($Q67=3,1,IF($Q67=4,1,0)),IF($F67&lt;=85,1,0))</formula>
    </cfRule>
  </conditionalFormatting>
  <conditionalFormatting sqref="AI67">
    <cfRule type="expression" dxfId="821" priority="873">
      <formula>AND(IF(OR($Q67=1,$Q67=2),1,0),IF($X67&lt;=20,1,0))</formula>
    </cfRule>
    <cfRule type="expression" dxfId="820" priority="874">
      <formula>AND(IF($Q67=2,1,0),IF($X67&lt;30,1,0))</formula>
    </cfRule>
    <cfRule type="expression" dxfId="819" priority="875">
      <formula>AND(IF($Q67=3,1,0),IF($X67&lt;30,1,0))</formula>
    </cfRule>
    <cfRule type="expression" dxfId="818" priority="876">
      <formula>AND(IF($Q67=3,1,IF($Q67=4,1,0)),IF($F67&lt;=85,1,0))</formula>
    </cfRule>
  </conditionalFormatting>
  <conditionalFormatting sqref="AV68">
    <cfRule type="expression" dxfId="817" priority="871">
      <formula>AV68="X"</formula>
    </cfRule>
    <cfRule type="expression" dxfId="816" priority="872">
      <formula>AV68="후보"</formula>
    </cfRule>
  </conditionalFormatting>
  <conditionalFormatting sqref="Z68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815" priority="868" operator="greaterThan">
      <formula>0.9</formula>
    </cfRule>
    <cfRule type="cellIs" dxfId="814" priority="869" operator="greaterThan">
      <formula>0.85</formula>
    </cfRule>
  </conditionalFormatting>
  <conditionalFormatting sqref="N68">
    <cfRule type="cellIs" dxfId="813" priority="866" operator="greaterThan">
      <formula>0.9</formula>
    </cfRule>
    <cfRule type="cellIs" dxfId="812" priority="867" operator="greaterThan">
      <formula>0.85</formula>
    </cfRule>
  </conditionalFormatting>
  <conditionalFormatting sqref="E68">
    <cfRule type="expression" dxfId="811" priority="862">
      <formula>AND(IF(OR($Q68=1,$Q68=2),1,0),IF($X68&lt;=20,1,0))</formula>
    </cfRule>
    <cfRule type="expression" dxfId="810" priority="863">
      <formula>AND(IF($Q68=2,1,0),IF($X68&lt;30,1,0))</formula>
    </cfRule>
    <cfRule type="expression" dxfId="809" priority="864">
      <formula>AND(IF($Q68=3,1,0),IF($X68&lt;30,1,0))</formula>
    </cfRule>
    <cfRule type="expression" dxfId="808" priority="865">
      <formula>AND(IF($Q68=3,1,IF($Q68=4,1,0)),IF($F68&lt;=85,1,0))</formula>
    </cfRule>
  </conditionalFormatting>
  <conditionalFormatting sqref="X68">
    <cfRule type="expression" dxfId="807" priority="858">
      <formula>AND(IF(OR($Q68=1,$Q68=2),1,0),IF($X68&lt;=20,1,0))</formula>
    </cfRule>
    <cfRule type="expression" dxfId="806" priority="859">
      <formula>AND(IF($Q68=2,1,0),IF($X68&lt;30,1,0))</formula>
    </cfRule>
    <cfRule type="expression" dxfId="805" priority="860">
      <formula>AND(IF($Q68=3,1,0),IF($X68&lt;30,1,0))</formula>
    </cfRule>
    <cfRule type="expression" dxfId="804" priority="861">
      <formula>AND(IF($Q68=3,1,IF($Q68=4,1,0)),IF($F68&lt;=85,1,0))</formula>
    </cfRule>
  </conditionalFormatting>
  <conditionalFormatting sqref="AI68">
    <cfRule type="expression" dxfId="803" priority="854">
      <formula>AND(IF(OR($Q68=1,$Q68=2),1,0),IF($X68&lt;=20,1,0))</formula>
    </cfRule>
    <cfRule type="expression" dxfId="802" priority="855">
      <formula>AND(IF($Q68=2,1,0),IF($X68&lt;30,1,0))</formula>
    </cfRule>
    <cfRule type="expression" dxfId="801" priority="856">
      <formula>AND(IF($Q68=3,1,0),IF($X68&lt;30,1,0))</formula>
    </cfRule>
    <cfRule type="expression" dxfId="800" priority="857">
      <formula>AND(IF($Q68=3,1,IF($Q68=4,1,0)),IF($F68&lt;=85,1,0))</formula>
    </cfRule>
  </conditionalFormatting>
  <conditionalFormatting sqref="AV69">
    <cfRule type="expression" dxfId="799" priority="852">
      <formula>AV69="X"</formula>
    </cfRule>
    <cfRule type="expression" dxfId="798" priority="853">
      <formula>AV69="후보"</formula>
    </cfRule>
  </conditionalFormatting>
  <conditionalFormatting sqref="Z69">
    <cfRule type="colorScale" priority="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797" priority="849" operator="greaterThan">
      <formula>0.9</formula>
    </cfRule>
    <cfRule type="cellIs" dxfId="796" priority="850" operator="greaterThan">
      <formula>0.85</formula>
    </cfRule>
  </conditionalFormatting>
  <conditionalFormatting sqref="AV70">
    <cfRule type="expression" dxfId="795" priority="847">
      <formula>AV70="X"</formula>
    </cfRule>
    <cfRule type="expression" dxfId="794" priority="848">
      <formula>AV70="후보"</formula>
    </cfRule>
  </conditionalFormatting>
  <conditionalFormatting sqref="Z70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793" priority="844" operator="greaterThan">
      <formula>0.9</formula>
    </cfRule>
    <cfRule type="cellIs" dxfId="792" priority="845" operator="greaterThan">
      <formula>0.85</formula>
    </cfRule>
  </conditionalFormatting>
  <conditionalFormatting sqref="N70">
    <cfRule type="cellIs" dxfId="791" priority="842" operator="greaterThan">
      <formula>0.9</formula>
    </cfRule>
    <cfRule type="cellIs" dxfId="790" priority="843" operator="greaterThan">
      <formula>0.85</formula>
    </cfRule>
  </conditionalFormatting>
  <conditionalFormatting sqref="E70">
    <cfRule type="expression" dxfId="789" priority="838">
      <formula>AND(IF(OR($Q70=1,$Q70=2),1,0),IF($X70&lt;=20,1,0))</formula>
    </cfRule>
    <cfRule type="expression" dxfId="788" priority="839">
      <formula>AND(IF($Q70=2,1,0),IF($X70&lt;30,1,0))</formula>
    </cfRule>
    <cfRule type="expression" dxfId="787" priority="840">
      <formula>AND(IF($Q70=3,1,0),IF($X70&lt;30,1,0))</formula>
    </cfRule>
    <cfRule type="expression" dxfId="786" priority="841">
      <formula>AND(IF($Q70=3,1,IF($Q70=4,1,0)),IF($F70&lt;=85,1,0))</formula>
    </cfRule>
  </conditionalFormatting>
  <conditionalFormatting sqref="X70">
    <cfRule type="expression" dxfId="785" priority="834">
      <formula>AND(IF(OR($Q70=1,$Q70=2),1,0),IF($X70&lt;=20,1,0))</formula>
    </cfRule>
    <cfRule type="expression" dxfId="784" priority="835">
      <formula>AND(IF($Q70=2,1,0),IF($X70&lt;30,1,0))</formula>
    </cfRule>
    <cfRule type="expression" dxfId="783" priority="836">
      <formula>AND(IF($Q70=3,1,0),IF($X70&lt;30,1,0))</formula>
    </cfRule>
    <cfRule type="expression" dxfId="782" priority="837">
      <formula>AND(IF($Q70=3,1,IF($Q70=4,1,0)),IF($F70&lt;=85,1,0))</formula>
    </cfRule>
  </conditionalFormatting>
  <conditionalFormatting sqref="AI70">
    <cfRule type="expression" dxfId="781" priority="830">
      <formula>AND(IF(OR($Q70=1,$Q70=2),1,0),IF($X70&lt;=20,1,0))</formula>
    </cfRule>
    <cfRule type="expression" dxfId="780" priority="831">
      <formula>AND(IF($Q70=2,1,0),IF($X70&lt;30,1,0))</formula>
    </cfRule>
    <cfRule type="expression" dxfId="779" priority="832">
      <formula>AND(IF($Q70=3,1,0),IF($X70&lt;30,1,0))</formula>
    </cfRule>
    <cfRule type="expression" dxfId="778" priority="833">
      <formula>AND(IF($Q70=3,1,IF($Q70=4,1,0)),IF($F70&lt;=85,1,0))</formula>
    </cfRule>
  </conditionalFormatting>
  <conditionalFormatting sqref="AV71">
    <cfRule type="expression" dxfId="777" priority="828">
      <formula>AV71="X"</formula>
    </cfRule>
    <cfRule type="expression" dxfId="776" priority="829">
      <formula>AV71="후보"</formula>
    </cfRule>
  </conditionalFormatting>
  <conditionalFormatting sqref="Z71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775" priority="825" operator="greaterThan">
      <formula>0.9</formula>
    </cfRule>
    <cfRule type="cellIs" dxfId="774" priority="826" operator="greaterThan">
      <formula>0.85</formula>
    </cfRule>
  </conditionalFormatting>
  <conditionalFormatting sqref="N71">
    <cfRule type="cellIs" dxfId="773" priority="823" operator="greaterThan">
      <formula>0.9</formula>
    </cfRule>
    <cfRule type="cellIs" dxfId="772" priority="824" operator="greaterThan">
      <formula>0.85</formula>
    </cfRule>
  </conditionalFormatting>
  <conditionalFormatting sqref="E71">
    <cfRule type="expression" dxfId="771" priority="819">
      <formula>AND(IF(OR($Q71=1,$Q71=2),1,0),IF($X71&lt;=20,1,0))</formula>
    </cfRule>
    <cfRule type="expression" dxfId="770" priority="820">
      <formula>AND(IF($Q71=2,1,0),IF($X71&lt;30,1,0))</formula>
    </cfRule>
    <cfRule type="expression" dxfId="769" priority="821">
      <formula>AND(IF($Q71=3,1,0),IF($X71&lt;30,1,0))</formula>
    </cfRule>
    <cfRule type="expression" dxfId="768" priority="822">
      <formula>AND(IF($Q71=3,1,IF($Q71=4,1,0)),IF($F71&lt;=85,1,0))</formula>
    </cfRule>
  </conditionalFormatting>
  <conditionalFormatting sqref="X71">
    <cfRule type="expression" dxfId="767" priority="815">
      <formula>AND(IF(OR($Q71=1,$Q71=2),1,0),IF($X71&lt;=20,1,0))</formula>
    </cfRule>
    <cfRule type="expression" dxfId="766" priority="816">
      <formula>AND(IF($Q71=2,1,0),IF($X71&lt;30,1,0))</formula>
    </cfRule>
    <cfRule type="expression" dxfId="765" priority="817">
      <formula>AND(IF($Q71=3,1,0),IF($X71&lt;30,1,0))</formula>
    </cfRule>
    <cfRule type="expression" dxfId="764" priority="818">
      <formula>AND(IF($Q71=3,1,IF($Q71=4,1,0)),IF($F71&lt;=85,1,0))</formula>
    </cfRule>
  </conditionalFormatting>
  <conditionalFormatting sqref="AI71">
    <cfRule type="expression" dxfId="763" priority="811">
      <formula>AND(IF(OR($Q71=1,$Q71=2),1,0),IF($X71&lt;=20,1,0))</formula>
    </cfRule>
    <cfRule type="expression" dxfId="762" priority="812">
      <formula>AND(IF($Q71=2,1,0),IF($X71&lt;30,1,0))</formula>
    </cfRule>
    <cfRule type="expression" dxfId="761" priority="813">
      <formula>AND(IF($Q71=3,1,0),IF($X71&lt;30,1,0))</formula>
    </cfRule>
    <cfRule type="expression" dxfId="760" priority="814">
      <formula>AND(IF($Q71=3,1,IF($Q71=4,1,0)),IF($F71&lt;=85,1,0))</formula>
    </cfRule>
  </conditionalFormatting>
  <conditionalFormatting sqref="AV72">
    <cfRule type="expression" dxfId="759" priority="809">
      <formula>AV72="X"</formula>
    </cfRule>
    <cfRule type="expression" dxfId="758" priority="810">
      <formula>AV72="후보"</formula>
    </cfRule>
  </conditionalFormatting>
  <conditionalFormatting sqref="Z72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757" priority="806" operator="greaterThan">
      <formula>0.9</formula>
    </cfRule>
    <cfRule type="cellIs" dxfId="756" priority="807" operator="greaterThan">
      <formula>0.85</formula>
    </cfRule>
  </conditionalFormatting>
  <conditionalFormatting sqref="AV73">
    <cfRule type="expression" dxfId="755" priority="804">
      <formula>AV73="X"</formula>
    </cfRule>
    <cfRule type="expression" dxfId="754" priority="805">
      <formula>AV73="후보"</formula>
    </cfRule>
  </conditionalFormatting>
  <conditionalFormatting sqref="Z73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753" priority="801" operator="greaterThan">
      <formula>0.9</formula>
    </cfRule>
    <cfRule type="cellIs" dxfId="752" priority="802" operator="greaterThan">
      <formula>0.85</formula>
    </cfRule>
  </conditionalFormatting>
  <conditionalFormatting sqref="N73">
    <cfRule type="cellIs" dxfId="751" priority="799" operator="greaterThan">
      <formula>0.9</formula>
    </cfRule>
    <cfRule type="cellIs" dxfId="750" priority="800" operator="greaterThan">
      <formula>0.85</formula>
    </cfRule>
  </conditionalFormatting>
  <conditionalFormatting sqref="E73">
    <cfRule type="expression" dxfId="749" priority="795">
      <formula>AND(IF(OR($Q73=1,$Q73=2),1,0),IF($X73&lt;=20,1,0))</formula>
    </cfRule>
    <cfRule type="expression" dxfId="748" priority="796">
      <formula>AND(IF($Q73=2,1,0),IF($X73&lt;30,1,0))</formula>
    </cfRule>
    <cfRule type="expression" dxfId="747" priority="797">
      <formula>AND(IF($Q73=3,1,0),IF($X73&lt;30,1,0))</formula>
    </cfRule>
    <cfRule type="expression" dxfId="746" priority="798">
      <formula>AND(IF($Q73=3,1,IF($Q73=4,1,0)),IF($F73&lt;=85,1,0))</formula>
    </cfRule>
  </conditionalFormatting>
  <conditionalFormatting sqref="X73">
    <cfRule type="expression" dxfId="745" priority="791">
      <formula>AND(IF(OR($Q73=1,$Q73=2),1,0),IF($X73&lt;=20,1,0))</formula>
    </cfRule>
    <cfRule type="expression" dxfId="744" priority="792">
      <formula>AND(IF($Q73=2,1,0),IF($X73&lt;30,1,0))</formula>
    </cfRule>
    <cfRule type="expression" dxfId="743" priority="793">
      <formula>AND(IF($Q73=3,1,0),IF($X73&lt;30,1,0))</formula>
    </cfRule>
    <cfRule type="expression" dxfId="742" priority="794">
      <formula>AND(IF($Q73=3,1,IF($Q73=4,1,0)),IF($F73&lt;=85,1,0))</formula>
    </cfRule>
  </conditionalFormatting>
  <conditionalFormatting sqref="AI73">
    <cfRule type="expression" dxfId="741" priority="787">
      <formula>AND(IF(OR($Q73=1,$Q73=2),1,0),IF($X73&lt;=20,1,0))</formula>
    </cfRule>
    <cfRule type="expression" dxfId="740" priority="788">
      <formula>AND(IF($Q73=2,1,0),IF($X73&lt;30,1,0))</formula>
    </cfRule>
    <cfRule type="expression" dxfId="739" priority="789">
      <formula>AND(IF($Q73=3,1,0),IF($X73&lt;30,1,0))</formula>
    </cfRule>
    <cfRule type="expression" dxfId="738" priority="790">
      <formula>AND(IF($Q73=3,1,IF($Q73=4,1,0)),IF($F73&lt;=85,1,0))</formula>
    </cfRule>
  </conditionalFormatting>
  <conditionalFormatting sqref="AV74">
    <cfRule type="expression" dxfId="737" priority="785">
      <formula>AV74="X"</formula>
    </cfRule>
    <cfRule type="expression" dxfId="736" priority="786">
      <formula>AV74="후보"</formula>
    </cfRule>
  </conditionalFormatting>
  <conditionalFormatting sqref="Z74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735" priority="782" operator="greaterThan">
      <formula>0.9</formula>
    </cfRule>
    <cfRule type="cellIs" dxfId="734" priority="783" operator="greaterThan">
      <formula>0.85</formula>
    </cfRule>
  </conditionalFormatting>
  <conditionalFormatting sqref="N74">
    <cfRule type="cellIs" dxfId="733" priority="780" operator="greaterThan">
      <formula>0.9</formula>
    </cfRule>
    <cfRule type="cellIs" dxfId="732" priority="781" operator="greaterThan">
      <formula>0.85</formula>
    </cfRule>
  </conditionalFormatting>
  <conditionalFormatting sqref="E74">
    <cfRule type="expression" dxfId="731" priority="776">
      <formula>AND(IF(OR($Q74=1,$Q74=2),1,0),IF($X74&lt;=20,1,0))</formula>
    </cfRule>
    <cfRule type="expression" dxfId="730" priority="777">
      <formula>AND(IF($Q74=2,1,0),IF($X74&lt;30,1,0))</formula>
    </cfRule>
    <cfRule type="expression" dxfId="729" priority="778">
      <formula>AND(IF($Q74=3,1,0),IF($X74&lt;30,1,0))</formula>
    </cfRule>
    <cfRule type="expression" dxfId="728" priority="779">
      <formula>AND(IF($Q74=3,1,IF($Q74=4,1,0)),IF($F74&lt;=85,1,0))</formula>
    </cfRule>
  </conditionalFormatting>
  <conditionalFormatting sqref="X74">
    <cfRule type="expression" dxfId="727" priority="772">
      <formula>AND(IF(OR($Q74=1,$Q74=2),1,0),IF($X74&lt;=20,1,0))</formula>
    </cfRule>
    <cfRule type="expression" dxfId="726" priority="773">
      <formula>AND(IF($Q74=2,1,0),IF($X74&lt;30,1,0))</formula>
    </cfRule>
    <cfRule type="expression" dxfId="725" priority="774">
      <formula>AND(IF($Q74=3,1,0),IF($X74&lt;30,1,0))</formula>
    </cfRule>
    <cfRule type="expression" dxfId="724" priority="775">
      <formula>AND(IF($Q74=3,1,IF($Q74=4,1,0)),IF($F74&lt;=85,1,0))</formula>
    </cfRule>
  </conditionalFormatting>
  <conditionalFormatting sqref="AI74">
    <cfRule type="expression" dxfId="723" priority="768">
      <formula>AND(IF(OR($Q74=1,$Q74=2),1,0),IF($X74&lt;=20,1,0))</formula>
    </cfRule>
    <cfRule type="expression" dxfId="722" priority="769">
      <formula>AND(IF($Q74=2,1,0),IF($X74&lt;30,1,0))</formula>
    </cfRule>
    <cfRule type="expression" dxfId="721" priority="770">
      <formula>AND(IF($Q74=3,1,0),IF($X74&lt;30,1,0))</formula>
    </cfRule>
    <cfRule type="expression" dxfId="720" priority="771">
      <formula>AND(IF($Q74=3,1,IF($Q74=4,1,0)),IF($F74&lt;=85,1,0))</formula>
    </cfRule>
  </conditionalFormatting>
  <conditionalFormatting sqref="AV75">
    <cfRule type="expression" dxfId="719" priority="766">
      <formula>AV75="X"</formula>
    </cfRule>
    <cfRule type="expression" dxfId="718" priority="767">
      <formula>AV75="후보"</formula>
    </cfRule>
  </conditionalFormatting>
  <conditionalFormatting sqref="Z75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717" priority="763" operator="greaterThan">
      <formula>0.9</formula>
    </cfRule>
    <cfRule type="cellIs" dxfId="716" priority="764" operator="greaterThan">
      <formula>0.85</formula>
    </cfRule>
  </conditionalFormatting>
  <conditionalFormatting sqref="AV76">
    <cfRule type="expression" dxfId="715" priority="761">
      <formula>AV76="X"</formula>
    </cfRule>
    <cfRule type="expression" dxfId="714" priority="762">
      <formula>AV76="후보"</formula>
    </cfRule>
  </conditionalFormatting>
  <conditionalFormatting sqref="Z76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713" priority="758" operator="greaterThan">
      <formula>0.9</formula>
    </cfRule>
    <cfRule type="cellIs" dxfId="712" priority="759" operator="greaterThan">
      <formula>0.85</formula>
    </cfRule>
  </conditionalFormatting>
  <conditionalFormatting sqref="N76">
    <cfRule type="cellIs" dxfId="711" priority="756" operator="greaterThan">
      <formula>0.9</formula>
    </cfRule>
    <cfRule type="cellIs" dxfId="710" priority="757" operator="greaterThan">
      <formula>0.85</formula>
    </cfRule>
  </conditionalFormatting>
  <conditionalFormatting sqref="E76">
    <cfRule type="expression" dxfId="709" priority="752">
      <formula>AND(IF(OR($Q76=1,$Q76=2),1,0),IF($X76&lt;=20,1,0))</formula>
    </cfRule>
    <cfRule type="expression" dxfId="708" priority="753">
      <formula>AND(IF($Q76=2,1,0),IF($X76&lt;30,1,0))</formula>
    </cfRule>
    <cfRule type="expression" dxfId="707" priority="754">
      <formula>AND(IF($Q76=3,1,0),IF($X76&lt;30,1,0))</formula>
    </cfRule>
    <cfRule type="expression" dxfId="706" priority="755">
      <formula>AND(IF($Q76=3,1,IF($Q76=4,1,0)),IF($F76&lt;=85,1,0))</formula>
    </cfRule>
  </conditionalFormatting>
  <conditionalFormatting sqref="X76">
    <cfRule type="expression" dxfId="705" priority="748">
      <formula>AND(IF(OR($Q76=1,$Q76=2),1,0),IF($X76&lt;=20,1,0))</formula>
    </cfRule>
    <cfRule type="expression" dxfId="704" priority="749">
      <formula>AND(IF($Q76=2,1,0),IF($X76&lt;30,1,0))</formula>
    </cfRule>
    <cfRule type="expression" dxfId="703" priority="750">
      <formula>AND(IF($Q76=3,1,0),IF($X76&lt;30,1,0))</formula>
    </cfRule>
    <cfRule type="expression" dxfId="702" priority="751">
      <formula>AND(IF($Q76=3,1,IF($Q76=4,1,0)),IF($F76&lt;=85,1,0))</formula>
    </cfRule>
  </conditionalFormatting>
  <conditionalFormatting sqref="AI76">
    <cfRule type="expression" dxfId="701" priority="744">
      <formula>AND(IF(OR($Q76=1,$Q76=2),1,0),IF($X76&lt;=20,1,0))</formula>
    </cfRule>
    <cfRule type="expression" dxfId="700" priority="745">
      <formula>AND(IF($Q76=2,1,0),IF($X76&lt;30,1,0))</formula>
    </cfRule>
    <cfRule type="expression" dxfId="699" priority="746">
      <formula>AND(IF($Q76=3,1,0),IF($X76&lt;30,1,0))</formula>
    </cfRule>
    <cfRule type="expression" dxfId="698" priority="747">
      <formula>AND(IF($Q76=3,1,IF($Q76=4,1,0)),IF($F76&lt;=85,1,0))</formula>
    </cfRule>
  </conditionalFormatting>
  <conditionalFormatting sqref="AV77">
    <cfRule type="expression" dxfId="697" priority="742">
      <formula>AV77="X"</formula>
    </cfRule>
    <cfRule type="expression" dxfId="696" priority="743">
      <formula>AV77="후보"</formula>
    </cfRule>
  </conditionalFormatting>
  <conditionalFormatting sqref="Z77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695" priority="739" operator="greaterThan">
      <formula>0.9</formula>
    </cfRule>
    <cfRule type="cellIs" dxfId="694" priority="740" operator="greaterThan">
      <formula>0.85</formula>
    </cfRule>
  </conditionalFormatting>
  <conditionalFormatting sqref="N77">
    <cfRule type="cellIs" dxfId="693" priority="737" operator="greaterThan">
      <formula>0.9</formula>
    </cfRule>
    <cfRule type="cellIs" dxfId="692" priority="738" operator="greaterThan">
      <formula>0.85</formula>
    </cfRule>
  </conditionalFormatting>
  <conditionalFormatting sqref="E77">
    <cfRule type="expression" dxfId="691" priority="733">
      <formula>AND(IF(OR($Q77=1,$Q77=2),1,0),IF($X77&lt;=20,1,0))</formula>
    </cfRule>
    <cfRule type="expression" dxfId="690" priority="734">
      <formula>AND(IF($Q77=2,1,0),IF($X77&lt;30,1,0))</formula>
    </cfRule>
    <cfRule type="expression" dxfId="689" priority="735">
      <formula>AND(IF($Q77=3,1,0),IF($X77&lt;30,1,0))</formula>
    </cfRule>
    <cfRule type="expression" dxfId="688" priority="736">
      <formula>AND(IF($Q77=3,1,IF($Q77=4,1,0)),IF($F77&lt;=85,1,0))</formula>
    </cfRule>
  </conditionalFormatting>
  <conditionalFormatting sqref="X77">
    <cfRule type="expression" dxfId="687" priority="729">
      <formula>AND(IF(OR($Q77=1,$Q77=2),1,0),IF($X77&lt;=20,1,0))</formula>
    </cfRule>
    <cfRule type="expression" dxfId="686" priority="730">
      <formula>AND(IF($Q77=2,1,0),IF($X77&lt;30,1,0))</formula>
    </cfRule>
    <cfRule type="expression" dxfId="685" priority="731">
      <formula>AND(IF($Q77=3,1,0),IF($X77&lt;30,1,0))</formula>
    </cfRule>
    <cfRule type="expression" dxfId="684" priority="732">
      <formula>AND(IF($Q77=3,1,IF($Q77=4,1,0)),IF($F77&lt;=85,1,0))</formula>
    </cfRule>
  </conditionalFormatting>
  <conditionalFormatting sqref="AI77">
    <cfRule type="expression" dxfId="683" priority="725">
      <formula>AND(IF(OR($Q77=1,$Q77=2),1,0),IF($X77&lt;=20,1,0))</formula>
    </cfRule>
    <cfRule type="expression" dxfId="682" priority="726">
      <formula>AND(IF($Q77=2,1,0),IF($X77&lt;30,1,0))</formula>
    </cfRule>
    <cfRule type="expression" dxfId="681" priority="727">
      <formula>AND(IF($Q77=3,1,0),IF($X77&lt;30,1,0))</formula>
    </cfRule>
    <cfRule type="expression" dxfId="680" priority="728">
      <formula>AND(IF($Q77=3,1,IF($Q77=4,1,0)),IF($F77&lt;=85,1,0))</formula>
    </cfRule>
  </conditionalFormatting>
  <conditionalFormatting sqref="AV78">
    <cfRule type="expression" dxfId="679" priority="723">
      <formula>AV78="X"</formula>
    </cfRule>
    <cfRule type="expression" dxfId="678" priority="724">
      <formula>AV78="후보"</formula>
    </cfRule>
  </conditionalFormatting>
  <conditionalFormatting sqref="Z78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677" priority="720" operator="greaterThan">
      <formula>0.9</formula>
    </cfRule>
    <cfRule type="cellIs" dxfId="676" priority="721" operator="greaterThan">
      <formula>0.85</formula>
    </cfRule>
  </conditionalFormatting>
  <conditionalFormatting sqref="N78">
    <cfRule type="cellIs" dxfId="675" priority="718" operator="greaterThan">
      <formula>0.9</formula>
    </cfRule>
    <cfRule type="cellIs" dxfId="674" priority="719" operator="greaterThan">
      <formula>0.85</formula>
    </cfRule>
  </conditionalFormatting>
  <conditionalFormatting sqref="E78">
    <cfRule type="expression" dxfId="673" priority="714">
      <formula>AND(IF(OR($Q78=1,$Q78=2),1,0),IF($X78&lt;=20,1,0))</formula>
    </cfRule>
    <cfRule type="expression" dxfId="672" priority="715">
      <formula>AND(IF($Q78=2,1,0),IF($X78&lt;30,1,0))</formula>
    </cfRule>
    <cfRule type="expression" dxfId="671" priority="716">
      <formula>AND(IF($Q78=3,1,0),IF($X78&lt;30,1,0))</formula>
    </cfRule>
    <cfRule type="expression" dxfId="670" priority="717">
      <formula>AND(IF($Q78=3,1,IF($Q78=4,1,0)),IF($F78&lt;=85,1,0))</formula>
    </cfRule>
  </conditionalFormatting>
  <conditionalFormatting sqref="X78">
    <cfRule type="expression" dxfId="669" priority="710">
      <formula>AND(IF(OR($Q78=1,$Q78=2),1,0),IF($X78&lt;=20,1,0))</formula>
    </cfRule>
    <cfRule type="expression" dxfId="668" priority="711">
      <formula>AND(IF($Q78=2,1,0),IF($X78&lt;30,1,0))</formula>
    </cfRule>
    <cfRule type="expression" dxfId="667" priority="712">
      <formula>AND(IF($Q78=3,1,0),IF($X78&lt;30,1,0))</formula>
    </cfRule>
    <cfRule type="expression" dxfId="666" priority="713">
      <formula>AND(IF($Q78=3,1,IF($Q78=4,1,0)),IF($F78&lt;=85,1,0))</formula>
    </cfRule>
  </conditionalFormatting>
  <conditionalFormatting sqref="AI78">
    <cfRule type="expression" dxfId="665" priority="706">
      <formula>AND(IF(OR($Q78=1,$Q78=2),1,0),IF($X78&lt;=20,1,0))</formula>
    </cfRule>
    <cfRule type="expression" dxfId="664" priority="707">
      <formula>AND(IF($Q78=2,1,0),IF($X78&lt;30,1,0))</formula>
    </cfRule>
    <cfRule type="expression" dxfId="663" priority="708">
      <formula>AND(IF($Q78=3,1,0),IF($X78&lt;30,1,0))</formula>
    </cfRule>
    <cfRule type="expression" dxfId="662" priority="709">
      <formula>AND(IF($Q78=3,1,IF($Q78=4,1,0)),IF($F78&lt;=85,1,0))</formula>
    </cfRule>
  </conditionalFormatting>
  <conditionalFormatting sqref="AV79">
    <cfRule type="expression" dxfId="661" priority="704">
      <formula>AV79="X"</formula>
    </cfRule>
    <cfRule type="expression" dxfId="660" priority="705">
      <formula>AV79="후보"</formula>
    </cfRule>
  </conditionalFormatting>
  <conditionalFormatting sqref="Z79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659" priority="701" operator="greaterThan">
      <formula>0.9</formula>
    </cfRule>
    <cfRule type="cellIs" dxfId="658" priority="702" operator="greaterThan">
      <formula>0.85</formula>
    </cfRule>
  </conditionalFormatting>
  <conditionalFormatting sqref="N79">
    <cfRule type="cellIs" dxfId="657" priority="699" operator="greaterThan">
      <formula>0.9</formula>
    </cfRule>
    <cfRule type="cellIs" dxfId="656" priority="700" operator="greaterThan">
      <formula>0.85</formula>
    </cfRule>
  </conditionalFormatting>
  <conditionalFormatting sqref="E79">
    <cfRule type="expression" dxfId="655" priority="695">
      <formula>AND(IF(OR($Q79=1,$Q79=2),1,0),IF($X79&lt;=20,1,0))</formula>
    </cfRule>
    <cfRule type="expression" dxfId="654" priority="696">
      <formula>AND(IF($Q79=2,1,0),IF($X79&lt;30,1,0))</formula>
    </cfRule>
    <cfRule type="expression" dxfId="653" priority="697">
      <formula>AND(IF($Q79=3,1,0),IF($X79&lt;30,1,0))</formula>
    </cfRule>
    <cfRule type="expression" dxfId="652" priority="698">
      <formula>AND(IF($Q79=3,1,IF($Q79=4,1,0)),IF($F79&lt;=85,1,0))</formula>
    </cfRule>
  </conditionalFormatting>
  <conditionalFormatting sqref="X79">
    <cfRule type="expression" dxfId="651" priority="691">
      <formula>AND(IF(OR($Q79=1,$Q79=2),1,0),IF($X79&lt;=20,1,0))</formula>
    </cfRule>
    <cfRule type="expression" dxfId="650" priority="692">
      <formula>AND(IF($Q79=2,1,0),IF($X79&lt;30,1,0))</formula>
    </cfRule>
    <cfRule type="expression" dxfId="649" priority="693">
      <formula>AND(IF($Q79=3,1,0),IF($X79&lt;30,1,0))</formula>
    </cfRule>
    <cfRule type="expression" dxfId="648" priority="694">
      <formula>AND(IF($Q79=3,1,IF($Q79=4,1,0)),IF($F79&lt;=85,1,0))</formula>
    </cfRule>
  </conditionalFormatting>
  <conditionalFormatting sqref="AI79">
    <cfRule type="expression" dxfId="647" priority="687">
      <formula>AND(IF(OR($Q79=1,$Q79=2),1,0),IF($X79&lt;=20,1,0))</formula>
    </cfRule>
    <cfRule type="expression" dxfId="646" priority="688">
      <formula>AND(IF($Q79=2,1,0),IF($X79&lt;30,1,0))</formula>
    </cfRule>
    <cfRule type="expression" dxfId="645" priority="689">
      <formula>AND(IF($Q79=3,1,0),IF($X79&lt;30,1,0))</formula>
    </cfRule>
    <cfRule type="expression" dxfId="644" priority="690">
      <formula>AND(IF($Q79=3,1,IF($Q79=4,1,0)),IF($F79&lt;=85,1,0))</formula>
    </cfRule>
  </conditionalFormatting>
  <conditionalFormatting sqref="AV80">
    <cfRule type="expression" dxfId="643" priority="685">
      <formula>AV80="X"</formula>
    </cfRule>
    <cfRule type="expression" dxfId="642" priority="686">
      <formula>AV80="후보"</formula>
    </cfRule>
  </conditionalFormatting>
  <conditionalFormatting sqref="Z80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641" priority="682" operator="greaterThan">
      <formula>0.9</formula>
    </cfRule>
    <cfRule type="cellIs" dxfId="640" priority="683" operator="greaterThan">
      <formula>0.85</formula>
    </cfRule>
  </conditionalFormatting>
  <conditionalFormatting sqref="AV81">
    <cfRule type="expression" dxfId="639" priority="680">
      <formula>AV81="X"</formula>
    </cfRule>
    <cfRule type="expression" dxfId="638" priority="681">
      <formula>AV81="후보"</formula>
    </cfRule>
  </conditionalFormatting>
  <conditionalFormatting sqref="Z81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637" priority="677" operator="greaterThan">
      <formula>0.9</formula>
    </cfRule>
    <cfRule type="cellIs" dxfId="636" priority="678" operator="greaterThan">
      <formula>0.85</formula>
    </cfRule>
  </conditionalFormatting>
  <conditionalFormatting sqref="N81">
    <cfRule type="cellIs" dxfId="635" priority="675" operator="greaterThan">
      <formula>0.9</formula>
    </cfRule>
    <cfRule type="cellIs" dxfId="634" priority="676" operator="greaterThan">
      <formula>0.85</formula>
    </cfRule>
  </conditionalFormatting>
  <conditionalFormatting sqref="E81">
    <cfRule type="expression" dxfId="633" priority="671">
      <formula>AND(IF(OR($Q81=1,$Q81=2),1,0),IF($X81&lt;=20,1,0))</formula>
    </cfRule>
    <cfRule type="expression" dxfId="632" priority="672">
      <formula>AND(IF($Q81=2,1,0),IF($X81&lt;30,1,0))</formula>
    </cfRule>
    <cfRule type="expression" dxfId="631" priority="673">
      <formula>AND(IF($Q81=3,1,0),IF($X81&lt;30,1,0))</formula>
    </cfRule>
    <cfRule type="expression" dxfId="630" priority="674">
      <formula>AND(IF($Q81=3,1,IF($Q81=4,1,0)),IF($F81&lt;=85,1,0))</formula>
    </cfRule>
  </conditionalFormatting>
  <conditionalFormatting sqref="X81">
    <cfRule type="expression" dxfId="629" priority="667">
      <formula>AND(IF(OR($Q81=1,$Q81=2),1,0),IF($X81&lt;=20,1,0))</formula>
    </cfRule>
    <cfRule type="expression" dxfId="628" priority="668">
      <formula>AND(IF($Q81=2,1,0),IF($X81&lt;30,1,0))</formula>
    </cfRule>
    <cfRule type="expression" dxfId="627" priority="669">
      <formula>AND(IF($Q81=3,1,0),IF($X81&lt;30,1,0))</formula>
    </cfRule>
    <cfRule type="expression" dxfId="626" priority="670">
      <formula>AND(IF($Q81=3,1,IF($Q81=4,1,0)),IF($F81&lt;=85,1,0))</formula>
    </cfRule>
  </conditionalFormatting>
  <conditionalFormatting sqref="AI81">
    <cfRule type="expression" dxfId="625" priority="663">
      <formula>AND(IF(OR($Q81=1,$Q81=2),1,0),IF($X81&lt;=20,1,0))</formula>
    </cfRule>
    <cfRule type="expression" dxfId="624" priority="664">
      <formula>AND(IF($Q81=2,1,0),IF($X81&lt;30,1,0))</formula>
    </cfRule>
    <cfRule type="expression" dxfId="623" priority="665">
      <formula>AND(IF($Q81=3,1,0),IF($X81&lt;30,1,0))</formula>
    </cfRule>
    <cfRule type="expression" dxfId="622" priority="666">
      <formula>AND(IF($Q81=3,1,IF($Q81=4,1,0)),IF($F81&lt;=85,1,0))</formula>
    </cfRule>
  </conditionalFormatting>
  <conditionalFormatting sqref="AV82">
    <cfRule type="expression" dxfId="621" priority="661">
      <formula>AV82="X"</formula>
    </cfRule>
    <cfRule type="expression" dxfId="620" priority="662">
      <formula>AV82="후보"</formula>
    </cfRule>
  </conditionalFormatting>
  <conditionalFormatting sqref="Z82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619" priority="658" operator="greaterThan">
      <formula>0.9</formula>
    </cfRule>
    <cfRule type="cellIs" dxfId="618" priority="659" operator="greaterThan">
      <formula>0.85</formula>
    </cfRule>
  </conditionalFormatting>
  <conditionalFormatting sqref="N82">
    <cfRule type="cellIs" dxfId="617" priority="656" operator="greaterThan">
      <formula>0.9</formula>
    </cfRule>
    <cfRule type="cellIs" dxfId="616" priority="657" operator="greaterThan">
      <formula>0.85</formula>
    </cfRule>
  </conditionalFormatting>
  <conditionalFormatting sqref="E82">
    <cfRule type="expression" dxfId="615" priority="652">
      <formula>AND(IF(OR($Q82=1,$Q82=2),1,0),IF($X82&lt;=20,1,0))</formula>
    </cfRule>
    <cfRule type="expression" dxfId="614" priority="653">
      <formula>AND(IF($Q82=2,1,0),IF($X82&lt;30,1,0))</formula>
    </cfRule>
    <cfRule type="expression" dxfId="613" priority="654">
      <formula>AND(IF($Q82=3,1,0),IF($X82&lt;30,1,0))</formula>
    </cfRule>
    <cfRule type="expression" dxfId="612" priority="655">
      <formula>AND(IF($Q82=3,1,IF($Q82=4,1,0)),IF($F82&lt;=85,1,0))</formula>
    </cfRule>
  </conditionalFormatting>
  <conditionalFormatting sqref="X82">
    <cfRule type="expression" dxfId="611" priority="648">
      <formula>AND(IF(OR($Q82=1,$Q82=2),1,0),IF($X82&lt;=20,1,0))</formula>
    </cfRule>
    <cfRule type="expression" dxfId="610" priority="649">
      <formula>AND(IF($Q82=2,1,0),IF($X82&lt;30,1,0))</formula>
    </cfRule>
    <cfRule type="expression" dxfId="609" priority="650">
      <formula>AND(IF($Q82=3,1,0),IF($X82&lt;30,1,0))</formula>
    </cfRule>
    <cfRule type="expression" dxfId="608" priority="651">
      <formula>AND(IF($Q82=3,1,IF($Q82=4,1,0)),IF($F82&lt;=85,1,0))</formula>
    </cfRule>
  </conditionalFormatting>
  <conditionalFormatting sqref="AI82">
    <cfRule type="expression" dxfId="607" priority="644">
      <formula>AND(IF(OR($Q82=1,$Q82=2),1,0),IF($X82&lt;=20,1,0))</formula>
    </cfRule>
    <cfRule type="expression" dxfId="606" priority="645">
      <formula>AND(IF($Q82=2,1,0),IF($X82&lt;30,1,0))</formula>
    </cfRule>
    <cfRule type="expression" dxfId="605" priority="646">
      <formula>AND(IF($Q82=3,1,0),IF($X82&lt;30,1,0))</formula>
    </cfRule>
    <cfRule type="expression" dxfId="604" priority="647">
      <formula>AND(IF($Q82=3,1,IF($Q82=4,1,0)),IF($F82&lt;=85,1,0))</formula>
    </cfRule>
  </conditionalFormatting>
  <conditionalFormatting sqref="AV83">
    <cfRule type="expression" dxfId="603" priority="642">
      <formula>AV83="X"</formula>
    </cfRule>
    <cfRule type="expression" dxfId="602" priority="643">
      <formula>AV83="후보"</formula>
    </cfRule>
  </conditionalFormatting>
  <conditionalFormatting sqref="Z83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601" priority="639" operator="greaterThan">
      <formula>0.9</formula>
    </cfRule>
    <cfRule type="cellIs" dxfId="600" priority="640" operator="greaterThan">
      <formula>0.85</formula>
    </cfRule>
  </conditionalFormatting>
  <conditionalFormatting sqref="N83">
    <cfRule type="cellIs" dxfId="599" priority="637" operator="greaterThan">
      <formula>0.9</formula>
    </cfRule>
    <cfRule type="cellIs" dxfId="598" priority="638" operator="greaterThan">
      <formula>0.85</formula>
    </cfRule>
  </conditionalFormatting>
  <conditionalFormatting sqref="E83">
    <cfRule type="expression" dxfId="597" priority="633">
      <formula>AND(IF(OR($Q83=1,$Q83=2),1,0),IF($X83&lt;=20,1,0))</formula>
    </cfRule>
    <cfRule type="expression" dxfId="596" priority="634">
      <formula>AND(IF($Q83=2,1,0),IF($X83&lt;30,1,0))</formula>
    </cfRule>
    <cfRule type="expression" dxfId="595" priority="635">
      <formula>AND(IF($Q83=3,1,0),IF($X83&lt;30,1,0))</formula>
    </cfRule>
    <cfRule type="expression" dxfId="594" priority="636">
      <formula>AND(IF($Q83=3,1,IF($Q83=4,1,0)),IF($F83&lt;=85,1,0))</formula>
    </cfRule>
  </conditionalFormatting>
  <conditionalFormatting sqref="X83">
    <cfRule type="expression" dxfId="593" priority="629">
      <formula>AND(IF(OR($Q83=1,$Q83=2),1,0),IF($X83&lt;=20,1,0))</formula>
    </cfRule>
    <cfRule type="expression" dxfId="592" priority="630">
      <formula>AND(IF($Q83=2,1,0),IF($X83&lt;30,1,0))</formula>
    </cfRule>
    <cfRule type="expression" dxfId="591" priority="631">
      <formula>AND(IF($Q83=3,1,0),IF($X83&lt;30,1,0))</formula>
    </cfRule>
    <cfRule type="expression" dxfId="590" priority="632">
      <formula>AND(IF($Q83=3,1,IF($Q83=4,1,0)),IF($F83&lt;=85,1,0))</formula>
    </cfRule>
  </conditionalFormatting>
  <conditionalFormatting sqref="AI83">
    <cfRule type="expression" dxfId="589" priority="625">
      <formula>AND(IF(OR($Q83=1,$Q83=2),1,0),IF($X83&lt;=20,1,0))</formula>
    </cfRule>
    <cfRule type="expression" dxfId="588" priority="626">
      <formula>AND(IF($Q83=2,1,0),IF($X83&lt;30,1,0))</formula>
    </cfRule>
    <cfRule type="expression" dxfId="587" priority="627">
      <formula>AND(IF($Q83=3,1,0),IF($X83&lt;30,1,0))</formula>
    </cfRule>
    <cfRule type="expression" dxfId="586" priority="628">
      <formula>AND(IF($Q83=3,1,IF($Q83=4,1,0)),IF($F83&lt;=85,1,0))</formula>
    </cfRule>
  </conditionalFormatting>
  <conditionalFormatting sqref="AV84">
    <cfRule type="expression" dxfId="585" priority="623">
      <formula>AV84="X"</formula>
    </cfRule>
    <cfRule type="expression" dxfId="584" priority="624">
      <formula>AV84="후보"</formula>
    </cfRule>
  </conditionalFormatting>
  <conditionalFormatting sqref="Z84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583" priority="620" operator="greaterThan">
      <formula>0.9</formula>
    </cfRule>
    <cfRule type="cellIs" dxfId="582" priority="621" operator="greaterThan">
      <formula>0.85</formula>
    </cfRule>
  </conditionalFormatting>
  <conditionalFormatting sqref="N84">
    <cfRule type="cellIs" dxfId="581" priority="618" operator="greaterThan">
      <formula>0.9</formula>
    </cfRule>
    <cfRule type="cellIs" dxfId="580" priority="619" operator="greaterThan">
      <formula>0.85</formula>
    </cfRule>
  </conditionalFormatting>
  <conditionalFormatting sqref="E84">
    <cfRule type="expression" dxfId="579" priority="614">
      <formula>AND(IF(OR($Q84=1,$Q84=2),1,0),IF($X84&lt;=20,1,0))</formula>
    </cfRule>
    <cfRule type="expression" dxfId="578" priority="615">
      <formula>AND(IF($Q84=2,1,0),IF($X84&lt;30,1,0))</formula>
    </cfRule>
    <cfRule type="expression" dxfId="577" priority="616">
      <formula>AND(IF($Q84=3,1,0),IF($X84&lt;30,1,0))</formula>
    </cfRule>
    <cfRule type="expression" dxfId="576" priority="617">
      <formula>AND(IF($Q84=3,1,IF($Q84=4,1,0)),IF($F84&lt;=85,1,0))</formula>
    </cfRule>
  </conditionalFormatting>
  <conditionalFormatting sqref="X84">
    <cfRule type="expression" dxfId="575" priority="610">
      <formula>AND(IF(OR($Q84=1,$Q84=2),1,0),IF($X84&lt;=20,1,0))</formula>
    </cfRule>
    <cfRule type="expression" dxfId="574" priority="611">
      <formula>AND(IF($Q84=2,1,0),IF($X84&lt;30,1,0))</formula>
    </cfRule>
    <cfRule type="expression" dxfId="573" priority="612">
      <formula>AND(IF($Q84=3,1,0),IF($X84&lt;30,1,0))</formula>
    </cfRule>
    <cfRule type="expression" dxfId="572" priority="613">
      <formula>AND(IF($Q84=3,1,IF($Q84=4,1,0)),IF($F84&lt;=85,1,0))</formula>
    </cfRule>
  </conditionalFormatting>
  <conditionalFormatting sqref="AI84">
    <cfRule type="expression" dxfId="571" priority="606">
      <formula>AND(IF(OR($Q84=1,$Q84=2),1,0),IF($X84&lt;=20,1,0))</formula>
    </cfRule>
    <cfRule type="expression" dxfId="570" priority="607">
      <formula>AND(IF($Q84=2,1,0),IF($X84&lt;30,1,0))</formula>
    </cfRule>
    <cfRule type="expression" dxfId="569" priority="608">
      <formula>AND(IF($Q84=3,1,0),IF($X84&lt;30,1,0))</formula>
    </cfRule>
    <cfRule type="expression" dxfId="568" priority="609">
      <formula>AND(IF($Q84=3,1,IF($Q84=4,1,0)),IF($F84&lt;=85,1,0))</formula>
    </cfRule>
  </conditionalFormatting>
  <conditionalFormatting sqref="AV85">
    <cfRule type="expression" dxfId="567" priority="604">
      <formula>AV85="X"</formula>
    </cfRule>
    <cfRule type="expression" dxfId="566" priority="605">
      <formula>AV85="후보"</formula>
    </cfRule>
  </conditionalFormatting>
  <conditionalFormatting sqref="Z85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565" priority="601" operator="greaterThan">
      <formula>0.9</formula>
    </cfRule>
    <cfRule type="cellIs" dxfId="564" priority="602" operator="greaterThan">
      <formula>0.85</formula>
    </cfRule>
  </conditionalFormatting>
  <conditionalFormatting sqref="N85">
    <cfRule type="cellIs" dxfId="563" priority="599" operator="greaterThan">
      <formula>0.9</formula>
    </cfRule>
    <cfRule type="cellIs" dxfId="562" priority="600" operator="greaterThan">
      <formula>0.85</formula>
    </cfRule>
  </conditionalFormatting>
  <conditionalFormatting sqref="E85">
    <cfRule type="expression" dxfId="561" priority="595">
      <formula>AND(IF(OR($Q85=1,$Q85=2),1,0),IF($X85&lt;=20,1,0))</formula>
    </cfRule>
    <cfRule type="expression" dxfId="560" priority="596">
      <formula>AND(IF($Q85=2,1,0),IF($X85&lt;30,1,0))</formula>
    </cfRule>
    <cfRule type="expression" dxfId="559" priority="597">
      <formula>AND(IF($Q85=3,1,0),IF($X85&lt;30,1,0))</formula>
    </cfRule>
    <cfRule type="expression" dxfId="558" priority="598">
      <formula>AND(IF($Q85=3,1,IF($Q85=4,1,0)),IF($F85&lt;=85,1,0))</formula>
    </cfRule>
  </conditionalFormatting>
  <conditionalFormatting sqref="X85">
    <cfRule type="expression" dxfId="557" priority="591">
      <formula>AND(IF(OR($Q85=1,$Q85=2),1,0),IF($X85&lt;=20,1,0))</formula>
    </cfRule>
    <cfRule type="expression" dxfId="556" priority="592">
      <formula>AND(IF($Q85=2,1,0),IF($X85&lt;30,1,0))</formula>
    </cfRule>
    <cfRule type="expression" dxfId="555" priority="593">
      <formula>AND(IF($Q85=3,1,0),IF($X85&lt;30,1,0))</formula>
    </cfRule>
    <cfRule type="expression" dxfId="554" priority="594">
      <formula>AND(IF($Q85=3,1,IF($Q85=4,1,0)),IF($F85&lt;=85,1,0))</formula>
    </cfRule>
  </conditionalFormatting>
  <conditionalFormatting sqref="AI85">
    <cfRule type="expression" dxfId="553" priority="587">
      <formula>AND(IF(OR($Q85=1,$Q85=2),1,0),IF($X85&lt;=20,1,0))</formula>
    </cfRule>
    <cfRule type="expression" dxfId="552" priority="588">
      <formula>AND(IF($Q85=2,1,0),IF($X85&lt;30,1,0))</formula>
    </cfRule>
    <cfRule type="expression" dxfId="551" priority="589">
      <formula>AND(IF($Q85=3,1,0),IF($X85&lt;30,1,0))</formula>
    </cfRule>
    <cfRule type="expression" dxfId="550" priority="590">
      <formula>AND(IF($Q85=3,1,IF($Q85=4,1,0)),IF($F85&lt;=85,1,0))</formula>
    </cfRule>
  </conditionalFormatting>
  <conditionalFormatting sqref="AV86">
    <cfRule type="expression" dxfId="549" priority="585">
      <formula>AV86="X"</formula>
    </cfRule>
    <cfRule type="expression" dxfId="548" priority="586">
      <formula>AV86="후보"</formula>
    </cfRule>
  </conditionalFormatting>
  <conditionalFormatting sqref="Z86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547" priority="582" operator="greaterThan">
      <formula>0.9</formula>
    </cfRule>
    <cfRule type="cellIs" dxfId="546" priority="583" operator="greaterThan">
      <formula>0.85</formula>
    </cfRule>
  </conditionalFormatting>
  <conditionalFormatting sqref="AV87">
    <cfRule type="expression" dxfId="545" priority="580">
      <formula>AV87="X"</formula>
    </cfRule>
    <cfRule type="expression" dxfId="544" priority="581">
      <formula>AV87="후보"</formula>
    </cfRule>
  </conditionalFormatting>
  <conditionalFormatting sqref="Z87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543" priority="577" operator="greaterThan">
      <formula>0.9</formula>
    </cfRule>
    <cfRule type="cellIs" dxfId="542" priority="578" operator="greaterThan">
      <formula>0.85</formula>
    </cfRule>
  </conditionalFormatting>
  <conditionalFormatting sqref="N87">
    <cfRule type="cellIs" dxfId="541" priority="575" operator="greaterThan">
      <formula>0.9</formula>
    </cfRule>
    <cfRule type="cellIs" dxfId="540" priority="576" operator="greaterThan">
      <formula>0.85</formula>
    </cfRule>
  </conditionalFormatting>
  <conditionalFormatting sqref="E87">
    <cfRule type="expression" dxfId="539" priority="571">
      <formula>AND(IF(OR($Q87=1,$Q87=2),1,0),IF($X87&lt;=20,1,0))</formula>
    </cfRule>
    <cfRule type="expression" dxfId="538" priority="572">
      <formula>AND(IF($Q87=2,1,0),IF($X87&lt;30,1,0))</formula>
    </cfRule>
    <cfRule type="expression" dxfId="537" priority="573">
      <formula>AND(IF($Q87=3,1,0),IF($X87&lt;30,1,0))</formula>
    </cfRule>
    <cfRule type="expression" dxfId="536" priority="574">
      <formula>AND(IF($Q87=3,1,IF($Q87=4,1,0)),IF($F87&lt;=85,1,0))</formula>
    </cfRule>
  </conditionalFormatting>
  <conditionalFormatting sqref="X87">
    <cfRule type="expression" dxfId="535" priority="567">
      <formula>AND(IF(OR($Q87=1,$Q87=2),1,0),IF($X87&lt;=20,1,0))</formula>
    </cfRule>
    <cfRule type="expression" dxfId="534" priority="568">
      <formula>AND(IF($Q87=2,1,0),IF($X87&lt;30,1,0))</formula>
    </cfRule>
    <cfRule type="expression" dxfId="533" priority="569">
      <formula>AND(IF($Q87=3,1,0),IF($X87&lt;30,1,0))</formula>
    </cfRule>
    <cfRule type="expression" dxfId="532" priority="570">
      <formula>AND(IF($Q87=3,1,IF($Q87=4,1,0)),IF($F87&lt;=85,1,0))</formula>
    </cfRule>
  </conditionalFormatting>
  <conditionalFormatting sqref="AI87">
    <cfRule type="expression" dxfId="531" priority="563">
      <formula>AND(IF(OR($Q87=1,$Q87=2),1,0),IF($X87&lt;=20,1,0))</formula>
    </cfRule>
    <cfRule type="expression" dxfId="530" priority="564">
      <formula>AND(IF($Q87=2,1,0),IF($X87&lt;30,1,0))</formula>
    </cfRule>
    <cfRule type="expression" dxfId="529" priority="565">
      <formula>AND(IF($Q87=3,1,0),IF($X87&lt;30,1,0))</formula>
    </cfRule>
    <cfRule type="expression" dxfId="528" priority="566">
      <formula>AND(IF($Q87=3,1,IF($Q87=4,1,0)),IF($F87&lt;=85,1,0))</formula>
    </cfRule>
  </conditionalFormatting>
  <conditionalFormatting sqref="AV88">
    <cfRule type="expression" dxfId="527" priority="561">
      <formula>AV88="X"</formula>
    </cfRule>
    <cfRule type="expression" dxfId="526" priority="562">
      <formula>AV88="후보"</formula>
    </cfRule>
  </conditionalFormatting>
  <conditionalFormatting sqref="Z88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525" priority="558" operator="greaterThan">
      <formula>0.9</formula>
    </cfRule>
    <cfRule type="cellIs" dxfId="524" priority="559" operator="greaterThan">
      <formula>0.85</formula>
    </cfRule>
  </conditionalFormatting>
  <conditionalFormatting sqref="N88">
    <cfRule type="cellIs" dxfId="523" priority="556" operator="greaterThan">
      <formula>0.9</formula>
    </cfRule>
    <cfRule type="cellIs" dxfId="522" priority="557" operator="greaterThan">
      <formula>0.85</formula>
    </cfRule>
  </conditionalFormatting>
  <conditionalFormatting sqref="E88">
    <cfRule type="expression" dxfId="521" priority="552">
      <formula>AND(IF(OR($Q88=1,$Q88=2),1,0),IF($X88&lt;=20,1,0))</formula>
    </cfRule>
    <cfRule type="expression" dxfId="520" priority="553">
      <formula>AND(IF($Q88=2,1,0),IF($X88&lt;30,1,0))</formula>
    </cfRule>
    <cfRule type="expression" dxfId="519" priority="554">
      <formula>AND(IF($Q88=3,1,0),IF($X88&lt;30,1,0))</formula>
    </cfRule>
    <cfRule type="expression" dxfId="518" priority="555">
      <formula>AND(IF($Q88=3,1,IF($Q88=4,1,0)),IF($F88&lt;=85,1,0))</formula>
    </cfRule>
  </conditionalFormatting>
  <conditionalFormatting sqref="X88">
    <cfRule type="expression" dxfId="517" priority="548">
      <formula>AND(IF(OR($Q88=1,$Q88=2),1,0),IF($X88&lt;=20,1,0))</formula>
    </cfRule>
    <cfRule type="expression" dxfId="516" priority="549">
      <formula>AND(IF($Q88=2,1,0),IF($X88&lt;30,1,0))</formula>
    </cfRule>
    <cfRule type="expression" dxfId="515" priority="550">
      <formula>AND(IF($Q88=3,1,0),IF($X88&lt;30,1,0))</formula>
    </cfRule>
    <cfRule type="expression" dxfId="514" priority="551">
      <formula>AND(IF($Q88=3,1,IF($Q88=4,1,0)),IF($F88&lt;=85,1,0))</formula>
    </cfRule>
  </conditionalFormatting>
  <conditionalFormatting sqref="AI88">
    <cfRule type="expression" dxfId="513" priority="544">
      <formula>AND(IF(OR($Q88=1,$Q88=2),1,0),IF($X88&lt;=20,1,0))</formula>
    </cfRule>
    <cfRule type="expression" dxfId="512" priority="545">
      <formula>AND(IF($Q88=2,1,0),IF($X88&lt;30,1,0))</formula>
    </cfRule>
    <cfRule type="expression" dxfId="511" priority="546">
      <formula>AND(IF($Q88=3,1,0),IF($X88&lt;30,1,0))</formula>
    </cfRule>
    <cfRule type="expression" dxfId="510" priority="547">
      <formula>AND(IF($Q88=3,1,IF($Q88=4,1,0)),IF($F88&lt;=85,1,0))</formula>
    </cfRule>
  </conditionalFormatting>
  <conditionalFormatting sqref="AV89">
    <cfRule type="expression" dxfId="509" priority="542">
      <formula>AV89="X"</formula>
    </cfRule>
    <cfRule type="expression" dxfId="508" priority="543">
      <formula>AV89="후보"</formula>
    </cfRule>
  </conditionalFormatting>
  <conditionalFormatting sqref="Z89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507" priority="539" operator="greaterThan">
      <formula>0.9</formula>
    </cfRule>
    <cfRule type="cellIs" dxfId="506" priority="540" operator="greaterThan">
      <formula>0.85</formula>
    </cfRule>
  </conditionalFormatting>
  <conditionalFormatting sqref="N89">
    <cfRule type="cellIs" dxfId="505" priority="537" operator="greaterThan">
      <formula>0.9</formula>
    </cfRule>
    <cfRule type="cellIs" dxfId="504" priority="538" operator="greaterThan">
      <formula>0.85</formula>
    </cfRule>
  </conditionalFormatting>
  <conditionalFormatting sqref="E89">
    <cfRule type="expression" dxfId="503" priority="533">
      <formula>AND(IF(OR($Q89=1,$Q89=2),1,0),IF($X89&lt;=20,1,0))</formula>
    </cfRule>
    <cfRule type="expression" dxfId="502" priority="534">
      <formula>AND(IF($Q89=2,1,0),IF($X89&lt;30,1,0))</formula>
    </cfRule>
    <cfRule type="expression" dxfId="501" priority="535">
      <formula>AND(IF($Q89=3,1,0),IF($X89&lt;30,1,0))</formula>
    </cfRule>
    <cfRule type="expression" dxfId="500" priority="536">
      <formula>AND(IF($Q89=3,1,IF($Q89=4,1,0)),IF($F89&lt;=85,1,0))</formula>
    </cfRule>
  </conditionalFormatting>
  <conditionalFormatting sqref="X89">
    <cfRule type="expression" dxfId="499" priority="529">
      <formula>AND(IF(OR($Q89=1,$Q89=2),1,0),IF($X89&lt;=20,1,0))</formula>
    </cfRule>
    <cfRule type="expression" dxfId="498" priority="530">
      <formula>AND(IF($Q89=2,1,0),IF($X89&lt;30,1,0))</formula>
    </cfRule>
    <cfRule type="expression" dxfId="497" priority="531">
      <formula>AND(IF($Q89=3,1,0),IF($X89&lt;30,1,0))</formula>
    </cfRule>
    <cfRule type="expression" dxfId="496" priority="532">
      <formula>AND(IF($Q89=3,1,IF($Q89=4,1,0)),IF($F89&lt;=85,1,0))</formula>
    </cfRule>
  </conditionalFormatting>
  <conditionalFormatting sqref="AI89">
    <cfRule type="expression" dxfId="495" priority="525">
      <formula>AND(IF(OR($Q89=1,$Q89=2),1,0),IF($X89&lt;=20,1,0))</formula>
    </cfRule>
    <cfRule type="expression" dxfId="494" priority="526">
      <formula>AND(IF($Q89=2,1,0),IF($X89&lt;30,1,0))</formula>
    </cfRule>
    <cfRule type="expression" dxfId="493" priority="527">
      <formula>AND(IF($Q89=3,1,0),IF($X89&lt;30,1,0))</formula>
    </cfRule>
    <cfRule type="expression" dxfId="492" priority="528">
      <formula>AND(IF($Q89=3,1,IF($Q89=4,1,0)),IF($F89&lt;=85,1,0))</formula>
    </cfRule>
  </conditionalFormatting>
  <conditionalFormatting sqref="AV90">
    <cfRule type="expression" dxfId="491" priority="523">
      <formula>AV90="X"</formula>
    </cfRule>
    <cfRule type="expression" dxfId="490" priority="524">
      <formula>AV90="후보"</formula>
    </cfRule>
  </conditionalFormatting>
  <conditionalFormatting sqref="Z90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489" priority="520" operator="greaterThan">
      <formula>0.9</formula>
    </cfRule>
    <cfRule type="cellIs" dxfId="488" priority="521" operator="greaterThan">
      <formula>0.85</formula>
    </cfRule>
  </conditionalFormatting>
  <conditionalFormatting sqref="N90">
    <cfRule type="cellIs" dxfId="487" priority="518" operator="greaterThan">
      <formula>0.9</formula>
    </cfRule>
    <cfRule type="cellIs" dxfId="486" priority="519" operator="greaterThan">
      <formula>0.85</formula>
    </cfRule>
  </conditionalFormatting>
  <conditionalFormatting sqref="E90">
    <cfRule type="expression" dxfId="485" priority="514">
      <formula>AND(IF(OR($Q90=1,$Q90=2),1,0),IF($X90&lt;=20,1,0))</formula>
    </cfRule>
    <cfRule type="expression" dxfId="484" priority="515">
      <formula>AND(IF($Q90=2,1,0),IF($X90&lt;30,1,0))</formula>
    </cfRule>
    <cfRule type="expression" dxfId="483" priority="516">
      <formula>AND(IF($Q90=3,1,0),IF($X90&lt;30,1,0))</formula>
    </cfRule>
    <cfRule type="expression" dxfId="482" priority="517">
      <formula>AND(IF($Q90=3,1,IF($Q90=4,1,0)),IF($F90&lt;=85,1,0))</formula>
    </cfRule>
  </conditionalFormatting>
  <conditionalFormatting sqref="X90">
    <cfRule type="expression" dxfId="481" priority="510">
      <formula>AND(IF(OR($Q90=1,$Q90=2),1,0),IF($X90&lt;=20,1,0))</formula>
    </cfRule>
    <cfRule type="expression" dxfId="480" priority="511">
      <formula>AND(IF($Q90=2,1,0),IF($X90&lt;30,1,0))</formula>
    </cfRule>
    <cfRule type="expression" dxfId="479" priority="512">
      <formula>AND(IF($Q90=3,1,0),IF($X90&lt;30,1,0))</formula>
    </cfRule>
    <cfRule type="expression" dxfId="478" priority="513">
      <formula>AND(IF($Q90=3,1,IF($Q90=4,1,0)),IF($F90&lt;=85,1,0))</formula>
    </cfRule>
  </conditionalFormatting>
  <conditionalFormatting sqref="AI90">
    <cfRule type="expression" dxfId="477" priority="506">
      <formula>AND(IF(OR($Q90=1,$Q90=2),1,0),IF($X90&lt;=20,1,0))</formula>
    </cfRule>
    <cfRule type="expression" dxfId="476" priority="507">
      <formula>AND(IF($Q90=2,1,0),IF($X90&lt;30,1,0))</formula>
    </cfRule>
    <cfRule type="expression" dxfId="475" priority="508">
      <formula>AND(IF($Q90=3,1,0),IF($X90&lt;30,1,0))</formula>
    </cfRule>
    <cfRule type="expression" dxfId="474" priority="509">
      <formula>AND(IF($Q90=3,1,IF($Q90=4,1,0)),IF($F90&lt;=85,1,0))</formula>
    </cfRule>
  </conditionalFormatting>
  <conditionalFormatting sqref="AV91">
    <cfRule type="expression" dxfId="473" priority="504">
      <formula>AV91="X"</formula>
    </cfRule>
    <cfRule type="expression" dxfId="472" priority="505">
      <formula>AV91="후보"</formula>
    </cfRule>
  </conditionalFormatting>
  <conditionalFormatting sqref="Z91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471" priority="501" operator="greaterThan">
      <formula>0.9</formula>
    </cfRule>
    <cfRule type="cellIs" dxfId="470" priority="502" operator="greaterThan">
      <formula>0.85</formula>
    </cfRule>
  </conditionalFormatting>
  <conditionalFormatting sqref="AV92">
    <cfRule type="expression" dxfId="469" priority="499">
      <formula>AV92="X"</formula>
    </cfRule>
    <cfRule type="expression" dxfId="468" priority="500">
      <formula>AV92="후보"</formula>
    </cfRule>
  </conditionalFormatting>
  <conditionalFormatting sqref="Z92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467" priority="496" operator="greaterThan">
      <formula>0.9</formula>
    </cfRule>
    <cfRule type="cellIs" dxfId="466" priority="497" operator="greaterThan">
      <formula>0.85</formula>
    </cfRule>
  </conditionalFormatting>
  <conditionalFormatting sqref="N92">
    <cfRule type="cellIs" dxfId="465" priority="494" operator="greaterThan">
      <formula>0.9</formula>
    </cfRule>
    <cfRule type="cellIs" dxfId="464" priority="495" operator="greaterThan">
      <formula>0.85</formula>
    </cfRule>
  </conditionalFormatting>
  <conditionalFormatting sqref="E92">
    <cfRule type="expression" dxfId="463" priority="490">
      <formula>AND(IF(OR($Q92=1,$Q92=2),1,0),IF($X92&lt;=20,1,0))</formula>
    </cfRule>
    <cfRule type="expression" dxfId="462" priority="491">
      <formula>AND(IF($Q92=2,1,0),IF($X92&lt;30,1,0))</formula>
    </cfRule>
    <cfRule type="expression" dxfId="461" priority="492">
      <formula>AND(IF($Q92=3,1,0),IF($X92&lt;30,1,0))</formula>
    </cfRule>
    <cfRule type="expression" dxfId="460" priority="493">
      <formula>AND(IF($Q92=3,1,IF($Q92=4,1,0)),IF($F92&lt;=85,1,0))</formula>
    </cfRule>
  </conditionalFormatting>
  <conditionalFormatting sqref="X92">
    <cfRule type="expression" dxfId="459" priority="486">
      <formula>AND(IF(OR($Q92=1,$Q92=2),1,0),IF($X92&lt;=20,1,0))</formula>
    </cfRule>
    <cfRule type="expression" dxfId="458" priority="487">
      <formula>AND(IF($Q92=2,1,0),IF($X92&lt;30,1,0))</formula>
    </cfRule>
    <cfRule type="expression" dxfId="457" priority="488">
      <formula>AND(IF($Q92=3,1,0),IF($X92&lt;30,1,0))</formula>
    </cfRule>
    <cfRule type="expression" dxfId="456" priority="489">
      <formula>AND(IF($Q92=3,1,IF($Q92=4,1,0)),IF($F92&lt;=85,1,0))</formula>
    </cfRule>
  </conditionalFormatting>
  <conditionalFormatting sqref="AI92">
    <cfRule type="expression" dxfId="455" priority="482">
      <formula>AND(IF(OR($Q92=1,$Q92=2),1,0),IF($X92&lt;=20,1,0))</formula>
    </cfRule>
    <cfRule type="expression" dxfId="454" priority="483">
      <formula>AND(IF($Q92=2,1,0),IF($X92&lt;30,1,0))</formula>
    </cfRule>
    <cfRule type="expression" dxfId="453" priority="484">
      <formula>AND(IF($Q92=3,1,0),IF($X92&lt;30,1,0))</formula>
    </cfRule>
    <cfRule type="expression" dxfId="452" priority="485">
      <formula>AND(IF($Q92=3,1,IF($Q92=4,1,0)),IF($F92&lt;=85,1,0))</formula>
    </cfRule>
  </conditionalFormatting>
  <conditionalFormatting sqref="AV93">
    <cfRule type="expression" dxfId="451" priority="480">
      <formula>AV93="X"</formula>
    </cfRule>
    <cfRule type="expression" dxfId="450" priority="481">
      <formula>AV93="후보"</formula>
    </cfRule>
  </conditionalFormatting>
  <conditionalFormatting sqref="Z93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 N93">
    <cfRule type="cellIs" dxfId="449" priority="477" operator="greaterThan">
      <formula>0.9</formula>
    </cfRule>
    <cfRule type="cellIs" dxfId="448" priority="478" operator="greaterThan">
      <formula>0.85</formula>
    </cfRule>
  </conditionalFormatting>
  <conditionalFormatting sqref="AV94">
    <cfRule type="expression" dxfId="447" priority="475">
      <formula>AV94="X"</formula>
    </cfRule>
    <cfRule type="expression" dxfId="446" priority="476">
      <formula>AV94="후보"</formula>
    </cfRule>
  </conditionalFormatting>
  <conditionalFormatting sqref="Z94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445" priority="472" operator="greaterThan">
      <formula>0.9</formula>
    </cfRule>
    <cfRule type="cellIs" dxfId="444" priority="473" operator="greaterThan">
      <formula>0.85</formula>
    </cfRule>
  </conditionalFormatting>
  <conditionalFormatting sqref="N94">
    <cfRule type="cellIs" dxfId="443" priority="470" operator="greaterThan">
      <formula>0.9</formula>
    </cfRule>
    <cfRule type="cellIs" dxfId="442" priority="471" operator="greaterThan">
      <formula>0.85</formula>
    </cfRule>
  </conditionalFormatting>
  <conditionalFormatting sqref="E94">
    <cfRule type="expression" dxfId="441" priority="466">
      <formula>AND(IF(OR($Q94=1,$Q94=2),1,0),IF($X94&lt;=20,1,0))</formula>
    </cfRule>
    <cfRule type="expression" dxfId="440" priority="467">
      <formula>AND(IF($Q94=2,1,0),IF($X94&lt;30,1,0))</formula>
    </cfRule>
    <cfRule type="expression" dxfId="439" priority="468">
      <formula>AND(IF($Q94=3,1,0),IF($X94&lt;30,1,0))</formula>
    </cfRule>
    <cfRule type="expression" dxfId="438" priority="469">
      <formula>AND(IF($Q94=3,1,IF($Q94=4,1,0)),IF($F94&lt;=85,1,0))</formula>
    </cfRule>
  </conditionalFormatting>
  <conditionalFormatting sqref="X94">
    <cfRule type="expression" dxfId="437" priority="462">
      <formula>AND(IF(OR($Q94=1,$Q94=2),1,0),IF($X94&lt;=20,1,0))</formula>
    </cfRule>
    <cfRule type="expression" dxfId="436" priority="463">
      <formula>AND(IF($Q94=2,1,0),IF($X94&lt;30,1,0))</formula>
    </cfRule>
    <cfRule type="expression" dxfId="435" priority="464">
      <formula>AND(IF($Q94=3,1,0),IF($X94&lt;30,1,0))</formula>
    </cfRule>
    <cfRule type="expression" dxfId="434" priority="465">
      <formula>AND(IF($Q94=3,1,IF($Q94=4,1,0)),IF($F94&lt;=85,1,0))</formula>
    </cfRule>
  </conditionalFormatting>
  <conditionalFormatting sqref="AI94">
    <cfRule type="expression" dxfId="433" priority="458">
      <formula>AND(IF(OR($Q94=1,$Q94=2),1,0),IF($X94&lt;=20,1,0))</formula>
    </cfRule>
    <cfRule type="expression" dxfId="432" priority="459">
      <formula>AND(IF($Q94=2,1,0),IF($X94&lt;30,1,0))</formula>
    </cfRule>
    <cfRule type="expression" dxfId="431" priority="460">
      <formula>AND(IF($Q94=3,1,0),IF($X94&lt;30,1,0))</formula>
    </cfRule>
    <cfRule type="expression" dxfId="430" priority="461">
      <formula>AND(IF($Q94=3,1,IF($Q94=4,1,0)),IF($F94&lt;=85,1,0))</formula>
    </cfRule>
  </conditionalFormatting>
  <conditionalFormatting sqref="AV95">
    <cfRule type="expression" dxfId="429" priority="456">
      <formula>AV95="X"</formula>
    </cfRule>
    <cfRule type="expression" dxfId="428" priority="457">
      <formula>AV95="후보"</formula>
    </cfRule>
  </conditionalFormatting>
  <conditionalFormatting sqref="Z95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427" priority="453" operator="greaterThan">
      <formula>0.9</formula>
    </cfRule>
    <cfRule type="cellIs" dxfId="426" priority="454" operator="greaterThan">
      <formula>0.85</formula>
    </cfRule>
  </conditionalFormatting>
  <conditionalFormatting sqref="N95">
    <cfRule type="cellIs" dxfId="425" priority="451" operator="greaterThan">
      <formula>0.9</formula>
    </cfRule>
    <cfRule type="cellIs" dxfId="424" priority="452" operator="greaterThan">
      <formula>0.85</formula>
    </cfRule>
  </conditionalFormatting>
  <conditionalFormatting sqref="E95">
    <cfRule type="expression" dxfId="423" priority="447">
      <formula>AND(IF(OR($Q95=1,$Q95=2),1,0),IF($X95&lt;=20,1,0))</formula>
    </cfRule>
    <cfRule type="expression" dxfId="422" priority="448">
      <formula>AND(IF($Q95=2,1,0),IF($X95&lt;30,1,0))</formula>
    </cfRule>
    <cfRule type="expression" dxfId="421" priority="449">
      <formula>AND(IF($Q95=3,1,0),IF($X95&lt;30,1,0))</formula>
    </cfRule>
    <cfRule type="expression" dxfId="420" priority="450">
      <formula>AND(IF($Q95=3,1,IF($Q95=4,1,0)),IF($F95&lt;=85,1,0))</formula>
    </cfRule>
  </conditionalFormatting>
  <conditionalFormatting sqref="X95">
    <cfRule type="expression" dxfId="419" priority="443">
      <formula>AND(IF(OR($Q95=1,$Q95=2),1,0),IF($X95&lt;=20,1,0))</formula>
    </cfRule>
    <cfRule type="expression" dxfId="418" priority="444">
      <formula>AND(IF($Q95=2,1,0),IF($X95&lt;30,1,0))</formula>
    </cfRule>
    <cfRule type="expression" dxfId="417" priority="445">
      <formula>AND(IF($Q95=3,1,0),IF($X95&lt;30,1,0))</formula>
    </cfRule>
    <cfRule type="expression" dxfId="416" priority="446">
      <formula>AND(IF($Q95=3,1,IF($Q95=4,1,0)),IF($F95&lt;=85,1,0))</formula>
    </cfRule>
  </conditionalFormatting>
  <conditionalFormatting sqref="AI95">
    <cfRule type="expression" dxfId="415" priority="439">
      <formula>AND(IF(OR($Q95=1,$Q95=2),1,0),IF($X95&lt;=20,1,0))</formula>
    </cfRule>
    <cfRule type="expression" dxfId="414" priority="440">
      <formula>AND(IF($Q95=2,1,0),IF($X95&lt;30,1,0))</formula>
    </cfRule>
    <cfRule type="expression" dxfId="413" priority="441">
      <formula>AND(IF($Q95=3,1,0),IF($X95&lt;30,1,0))</formula>
    </cfRule>
    <cfRule type="expression" dxfId="412" priority="442">
      <formula>AND(IF($Q95=3,1,IF($Q95=4,1,0)),IF($F95&lt;=85,1,0))</formula>
    </cfRule>
  </conditionalFormatting>
  <conditionalFormatting sqref="AV96">
    <cfRule type="expression" dxfId="411" priority="437">
      <formula>AV96="X"</formula>
    </cfRule>
    <cfRule type="expression" dxfId="410" priority="438">
      <formula>AV96="후보"</formula>
    </cfRule>
  </conditionalFormatting>
  <conditionalFormatting sqref="Z96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409" priority="434" operator="greaterThan">
      <formula>0.9</formula>
    </cfRule>
    <cfRule type="cellIs" dxfId="408" priority="435" operator="greaterThan">
      <formula>0.85</formula>
    </cfRule>
  </conditionalFormatting>
  <conditionalFormatting sqref="N96">
    <cfRule type="cellIs" dxfId="407" priority="432" operator="greaterThan">
      <formula>0.9</formula>
    </cfRule>
    <cfRule type="cellIs" dxfId="406" priority="433" operator="greaterThan">
      <formula>0.85</formula>
    </cfRule>
  </conditionalFormatting>
  <conditionalFormatting sqref="E96">
    <cfRule type="expression" dxfId="405" priority="428">
      <formula>AND(IF(OR($Q96=1,$Q96=2),1,0),IF($X96&lt;=20,1,0))</formula>
    </cfRule>
    <cfRule type="expression" dxfId="404" priority="429">
      <formula>AND(IF($Q96=2,1,0),IF($X96&lt;30,1,0))</formula>
    </cfRule>
    <cfRule type="expression" dxfId="403" priority="430">
      <formula>AND(IF($Q96=3,1,0),IF($X96&lt;30,1,0))</formula>
    </cfRule>
    <cfRule type="expression" dxfId="402" priority="431">
      <formula>AND(IF($Q96=3,1,IF($Q96=4,1,0)),IF($F96&lt;=85,1,0))</formula>
    </cfRule>
  </conditionalFormatting>
  <conditionalFormatting sqref="X96">
    <cfRule type="expression" dxfId="401" priority="424">
      <formula>AND(IF(OR($Q96=1,$Q96=2),1,0),IF($X96&lt;=20,1,0))</formula>
    </cfRule>
    <cfRule type="expression" dxfId="400" priority="425">
      <formula>AND(IF($Q96=2,1,0),IF($X96&lt;30,1,0))</formula>
    </cfRule>
    <cfRule type="expression" dxfId="399" priority="426">
      <formula>AND(IF($Q96=3,1,0),IF($X96&lt;30,1,0))</formula>
    </cfRule>
    <cfRule type="expression" dxfId="398" priority="427">
      <formula>AND(IF($Q96=3,1,IF($Q96=4,1,0)),IF($F96&lt;=85,1,0))</formula>
    </cfRule>
  </conditionalFormatting>
  <conditionalFormatting sqref="AI96">
    <cfRule type="expression" dxfId="397" priority="420">
      <formula>AND(IF(OR($Q96=1,$Q96=2),1,0),IF($X96&lt;=20,1,0))</formula>
    </cfRule>
    <cfRule type="expression" dxfId="396" priority="421">
      <formula>AND(IF($Q96=2,1,0),IF($X96&lt;30,1,0))</formula>
    </cfRule>
    <cfRule type="expression" dxfId="395" priority="422">
      <formula>AND(IF($Q96=3,1,0),IF($X96&lt;30,1,0))</formula>
    </cfRule>
    <cfRule type="expression" dxfId="394" priority="423">
      <formula>AND(IF($Q96=3,1,IF($Q96=4,1,0)),IF($F96&lt;=85,1,0))</formula>
    </cfRule>
  </conditionalFormatting>
  <conditionalFormatting sqref="AV97">
    <cfRule type="expression" dxfId="393" priority="418">
      <formula>AV97="X"</formula>
    </cfRule>
    <cfRule type="expression" dxfId="392" priority="419">
      <formula>AV97="후보"</formula>
    </cfRule>
  </conditionalFormatting>
  <conditionalFormatting sqref="Z97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391" priority="415" operator="greaterThan">
      <formula>0.9</formula>
    </cfRule>
    <cfRule type="cellIs" dxfId="390" priority="416" operator="greaterThan">
      <formula>0.85</formula>
    </cfRule>
  </conditionalFormatting>
  <conditionalFormatting sqref="N97">
    <cfRule type="cellIs" dxfId="389" priority="413" operator="greaterThan">
      <formula>0.9</formula>
    </cfRule>
    <cfRule type="cellIs" dxfId="388" priority="414" operator="greaterThan">
      <formula>0.85</formula>
    </cfRule>
  </conditionalFormatting>
  <conditionalFormatting sqref="E97">
    <cfRule type="expression" dxfId="387" priority="409">
      <formula>AND(IF(OR($Q97=1,$Q97=2),1,0),IF($X97&lt;=20,1,0))</formula>
    </cfRule>
    <cfRule type="expression" dxfId="386" priority="410">
      <formula>AND(IF($Q97=2,1,0),IF($X97&lt;30,1,0))</formula>
    </cfRule>
    <cfRule type="expression" dxfId="385" priority="411">
      <formula>AND(IF($Q97=3,1,0),IF($X97&lt;30,1,0))</formula>
    </cfRule>
    <cfRule type="expression" dxfId="384" priority="412">
      <formula>AND(IF($Q97=3,1,IF($Q97=4,1,0)),IF($F97&lt;=85,1,0))</formula>
    </cfRule>
  </conditionalFormatting>
  <conditionalFormatting sqref="X97">
    <cfRule type="expression" dxfId="383" priority="405">
      <formula>AND(IF(OR($Q97=1,$Q97=2),1,0),IF($X97&lt;=20,1,0))</formula>
    </cfRule>
    <cfRule type="expression" dxfId="382" priority="406">
      <formula>AND(IF($Q97=2,1,0),IF($X97&lt;30,1,0))</formula>
    </cfRule>
    <cfRule type="expression" dxfId="381" priority="407">
      <formula>AND(IF($Q97=3,1,0),IF($X97&lt;30,1,0))</formula>
    </cfRule>
    <cfRule type="expression" dxfId="380" priority="408">
      <formula>AND(IF($Q97=3,1,IF($Q97=4,1,0)),IF($F97&lt;=85,1,0))</formula>
    </cfRule>
  </conditionalFormatting>
  <conditionalFormatting sqref="AI97">
    <cfRule type="expression" dxfId="379" priority="401">
      <formula>AND(IF(OR($Q97=1,$Q97=2),1,0),IF($X97&lt;=20,1,0))</formula>
    </cfRule>
    <cfRule type="expression" dxfId="378" priority="402">
      <formula>AND(IF($Q97=2,1,0),IF($X97&lt;30,1,0))</formula>
    </cfRule>
    <cfRule type="expression" dxfId="377" priority="403">
      <formula>AND(IF($Q97=3,1,0),IF($X97&lt;30,1,0))</formula>
    </cfRule>
    <cfRule type="expression" dxfId="376" priority="404">
      <formula>AND(IF($Q97=3,1,IF($Q97=4,1,0)),IF($F97&lt;=85,1,0))</formula>
    </cfRule>
  </conditionalFormatting>
  <conditionalFormatting sqref="AV98">
    <cfRule type="expression" dxfId="375" priority="399">
      <formula>AV98="X"</formula>
    </cfRule>
    <cfRule type="expression" dxfId="374" priority="400">
      <formula>AV98="후보"</formula>
    </cfRule>
  </conditionalFormatting>
  <conditionalFormatting sqref="Z98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373" priority="396" operator="greaterThan">
      <formula>0.9</formula>
    </cfRule>
    <cfRule type="cellIs" dxfId="372" priority="397" operator="greaterThan">
      <formula>0.85</formula>
    </cfRule>
  </conditionalFormatting>
  <conditionalFormatting sqref="N98">
    <cfRule type="cellIs" dxfId="371" priority="394" operator="greaterThan">
      <formula>0.9</formula>
    </cfRule>
    <cfRule type="cellIs" dxfId="370" priority="395" operator="greaterThan">
      <formula>0.85</formula>
    </cfRule>
  </conditionalFormatting>
  <conditionalFormatting sqref="E98">
    <cfRule type="expression" dxfId="369" priority="390">
      <formula>AND(IF(OR($Q98=1,$Q98=2),1,0),IF($X98&lt;=20,1,0))</formula>
    </cfRule>
    <cfRule type="expression" dxfId="368" priority="391">
      <formula>AND(IF($Q98=2,1,0),IF($X98&lt;30,1,0))</formula>
    </cfRule>
    <cfRule type="expression" dxfId="367" priority="392">
      <formula>AND(IF($Q98=3,1,0),IF($X98&lt;30,1,0))</formula>
    </cfRule>
    <cfRule type="expression" dxfId="366" priority="393">
      <formula>AND(IF($Q98=3,1,IF($Q98=4,1,0)),IF($F98&lt;=85,1,0))</formula>
    </cfRule>
  </conditionalFormatting>
  <conditionalFormatting sqref="X98">
    <cfRule type="expression" dxfId="365" priority="386">
      <formula>AND(IF(OR($Q98=1,$Q98=2),1,0),IF($X98&lt;=20,1,0))</formula>
    </cfRule>
    <cfRule type="expression" dxfId="364" priority="387">
      <formula>AND(IF($Q98=2,1,0),IF($X98&lt;30,1,0))</formula>
    </cfRule>
    <cfRule type="expression" dxfId="363" priority="388">
      <formula>AND(IF($Q98=3,1,0),IF($X98&lt;30,1,0))</formula>
    </cfRule>
    <cfRule type="expression" dxfId="362" priority="389">
      <formula>AND(IF($Q98=3,1,IF($Q98=4,1,0)),IF($F98&lt;=85,1,0))</formula>
    </cfRule>
  </conditionalFormatting>
  <conditionalFormatting sqref="AI98">
    <cfRule type="expression" dxfId="361" priority="382">
      <formula>AND(IF(OR($Q98=1,$Q98=2),1,0),IF($X98&lt;=20,1,0))</formula>
    </cfRule>
    <cfRule type="expression" dxfId="360" priority="383">
      <formula>AND(IF($Q98=2,1,0),IF($X98&lt;30,1,0))</formula>
    </cfRule>
    <cfRule type="expression" dxfId="359" priority="384">
      <formula>AND(IF($Q98=3,1,0),IF($X98&lt;30,1,0))</formula>
    </cfRule>
    <cfRule type="expression" dxfId="358" priority="385">
      <formula>AND(IF($Q98=3,1,IF($Q98=4,1,0)),IF($F98&lt;=85,1,0))</formula>
    </cfRule>
  </conditionalFormatting>
  <conditionalFormatting sqref="AV99">
    <cfRule type="expression" dxfId="357" priority="380">
      <formula>AV99="X"</formula>
    </cfRule>
    <cfRule type="expression" dxfId="356" priority="381">
      <formula>AV99="후보"</formula>
    </cfRule>
  </conditionalFormatting>
  <conditionalFormatting sqref="Z99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355" priority="377" operator="greaterThan">
      <formula>0.9</formula>
    </cfRule>
    <cfRule type="cellIs" dxfId="354" priority="378" operator="greaterThan">
      <formula>0.85</formula>
    </cfRule>
  </conditionalFormatting>
  <conditionalFormatting sqref="N99">
    <cfRule type="cellIs" dxfId="353" priority="375" operator="greaterThan">
      <formula>0.9</formula>
    </cfRule>
    <cfRule type="cellIs" dxfId="352" priority="376" operator="greaterThan">
      <formula>0.85</formula>
    </cfRule>
  </conditionalFormatting>
  <conditionalFormatting sqref="E99">
    <cfRule type="expression" dxfId="351" priority="371">
      <formula>AND(IF(OR($Q99=1,$Q99=2),1,0),IF($X99&lt;=20,1,0))</formula>
    </cfRule>
    <cfRule type="expression" dxfId="350" priority="372">
      <formula>AND(IF($Q99=2,1,0),IF($X99&lt;30,1,0))</formula>
    </cfRule>
    <cfRule type="expression" dxfId="349" priority="373">
      <formula>AND(IF($Q99=3,1,0),IF($X99&lt;30,1,0))</formula>
    </cfRule>
    <cfRule type="expression" dxfId="348" priority="374">
      <formula>AND(IF($Q99=3,1,IF($Q99=4,1,0)),IF($F99&lt;=85,1,0))</formula>
    </cfRule>
  </conditionalFormatting>
  <conditionalFormatting sqref="X99">
    <cfRule type="expression" dxfId="347" priority="367">
      <formula>AND(IF(OR($Q99=1,$Q99=2),1,0),IF($X99&lt;=20,1,0))</formula>
    </cfRule>
    <cfRule type="expression" dxfId="346" priority="368">
      <formula>AND(IF($Q99=2,1,0),IF($X99&lt;30,1,0))</formula>
    </cfRule>
    <cfRule type="expression" dxfId="345" priority="369">
      <formula>AND(IF($Q99=3,1,0),IF($X99&lt;30,1,0))</formula>
    </cfRule>
    <cfRule type="expression" dxfId="344" priority="370">
      <formula>AND(IF($Q99=3,1,IF($Q99=4,1,0)),IF($F99&lt;=85,1,0))</formula>
    </cfRule>
  </conditionalFormatting>
  <conditionalFormatting sqref="AI99">
    <cfRule type="expression" dxfId="343" priority="363">
      <formula>AND(IF(OR($Q99=1,$Q99=2),1,0),IF($X99&lt;=20,1,0))</formula>
    </cfRule>
    <cfRule type="expression" dxfId="342" priority="364">
      <formula>AND(IF($Q99=2,1,0),IF($X99&lt;30,1,0))</formula>
    </cfRule>
    <cfRule type="expression" dxfId="341" priority="365">
      <formula>AND(IF($Q99=3,1,0),IF($X99&lt;30,1,0))</formula>
    </cfRule>
    <cfRule type="expression" dxfId="340" priority="366">
      <formula>AND(IF($Q99=3,1,IF($Q99=4,1,0)),IF($F99&lt;=85,1,0))</formula>
    </cfRule>
  </conditionalFormatting>
  <conditionalFormatting sqref="AV100">
    <cfRule type="expression" dxfId="339" priority="361">
      <formula>AV100="X"</formula>
    </cfRule>
    <cfRule type="expression" dxfId="338" priority="362">
      <formula>AV100="후보"</formula>
    </cfRule>
  </conditionalFormatting>
  <conditionalFormatting sqref="Z100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 N100">
    <cfRule type="cellIs" dxfId="337" priority="358" operator="greaterThan">
      <formula>0.9</formula>
    </cfRule>
    <cfRule type="cellIs" dxfId="336" priority="359" operator="greaterThan">
      <formula>0.85</formula>
    </cfRule>
  </conditionalFormatting>
  <conditionalFormatting sqref="AV101">
    <cfRule type="expression" dxfId="335" priority="356">
      <formula>AV101="X"</formula>
    </cfRule>
    <cfRule type="expression" dxfId="334" priority="357">
      <formula>AV101="후보"</formula>
    </cfRule>
  </conditionalFormatting>
  <conditionalFormatting sqref="Z101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333" priority="353" operator="greaterThan">
      <formula>0.9</formula>
    </cfRule>
    <cfRule type="cellIs" dxfId="332" priority="354" operator="greaterThan">
      <formula>0.85</formula>
    </cfRule>
  </conditionalFormatting>
  <conditionalFormatting sqref="N101">
    <cfRule type="cellIs" dxfId="331" priority="351" operator="greaterThan">
      <formula>0.9</formula>
    </cfRule>
    <cfRule type="cellIs" dxfId="330" priority="352" operator="greaterThan">
      <formula>0.85</formula>
    </cfRule>
  </conditionalFormatting>
  <conditionalFormatting sqref="E101">
    <cfRule type="expression" dxfId="329" priority="347">
      <formula>AND(IF(OR($Q101=1,$Q101=2),1,0),IF($X101&lt;=20,1,0))</formula>
    </cfRule>
    <cfRule type="expression" dxfId="328" priority="348">
      <formula>AND(IF($Q101=2,1,0),IF($X101&lt;30,1,0))</formula>
    </cfRule>
    <cfRule type="expression" dxfId="327" priority="349">
      <formula>AND(IF($Q101=3,1,0),IF($X101&lt;30,1,0))</formula>
    </cfRule>
    <cfRule type="expression" dxfId="326" priority="350">
      <formula>AND(IF($Q101=3,1,IF($Q101=4,1,0)),IF($F101&lt;=85,1,0))</formula>
    </cfRule>
  </conditionalFormatting>
  <conditionalFormatting sqref="X101">
    <cfRule type="expression" dxfId="325" priority="343">
      <formula>AND(IF(OR($Q101=1,$Q101=2),1,0),IF($X101&lt;=20,1,0))</formula>
    </cfRule>
    <cfRule type="expression" dxfId="324" priority="344">
      <formula>AND(IF($Q101=2,1,0),IF($X101&lt;30,1,0))</formula>
    </cfRule>
    <cfRule type="expression" dxfId="323" priority="345">
      <formula>AND(IF($Q101=3,1,0),IF($X101&lt;30,1,0))</formula>
    </cfRule>
    <cfRule type="expression" dxfId="322" priority="346">
      <formula>AND(IF($Q101=3,1,IF($Q101=4,1,0)),IF($F101&lt;=85,1,0))</formula>
    </cfRule>
  </conditionalFormatting>
  <conditionalFormatting sqref="AI101">
    <cfRule type="expression" dxfId="321" priority="339">
      <formula>AND(IF(OR($Q101=1,$Q101=2),1,0),IF($X101&lt;=20,1,0))</formula>
    </cfRule>
    <cfRule type="expression" dxfId="320" priority="340">
      <formula>AND(IF($Q101=2,1,0),IF($X101&lt;30,1,0))</formula>
    </cfRule>
    <cfRule type="expression" dxfId="319" priority="341">
      <formula>AND(IF($Q101=3,1,0),IF($X101&lt;30,1,0))</formula>
    </cfRule>
    <cfRule type="expression" dxfId="318" priority="342">
      <formula>AND(IF($Q101=3,1,IF($Q101=4,1,0)),IF($F101&lt;=85,1,0))</formula>
    </cfRule>
  </conditionalFormatting>
  <conditionalFormatting sqref="AV102">
    <cfRule type="expression" dxfId="317" priority="337">
      <formula>AV102="X"</formula>
    </cfRule>
    <cfRule type="expression" dxfId="316" priority="338">
      <formula>AV102="후보"</formula>
    </cfRule>
  </conditionalFormatting>
  <conditionalFormatting sqref="Z102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315" priority="334" operator="greaterThan">
      <formula>0.9</formula>
    </cfRule>
    <cfRule type="cellIs" dxfId="314" priority="335" operator="greaterThan">
      <formula>0.85</formula>
    </cfRule>
  </conditionalFormatting>
  <conditionalFormatting sqref="N102">
    <cfRule type="cellIs" dxfId="313" priority="332" operator="greaterThan">
      <formula>0.9</formula>
    </cfRule>
    <cfRule type="cellIs" dxfId="312" priority="333" operator="greaterThan">
      <formula>0.85</formula>
    </cfRule>
  </conditionalFormatting>
  <conditionalFormatting sqref="E102">
    <cfRule type="expression" dxfId="311" priority="328">
      <formula>AND(IF(OR($Q102=1,$Q102=2),1,0),IF($X102&lt;=20,1,0))</formula>
    </cfRule>
    <cfRule type="expression" dxfId="310" priority="329">
      <formula>AND(IF($Q102=2,1,0),IF($X102&lt;30,1,0))</formula>
    </cfRule>
    <cfRule type="expression" dxfId="309" priority="330">
      <formula>AND(IF($Q102=3,1,0),IF($X102&lt;30,1,0))</formula>
    </cfRule>
    <cfRule type="expression" dxfId="308" priority="331">
      <formula>AND(IF($Q102=3,1,IF($Q102=4,1,0)),IF($F102&lt;=85,1,0))</formula>
    </cfRule>
  </conditionalFormatting>
  <conditionalFormatting sqref="X102">
    <cfRule type="expression" dxfId="307" priority="324">
      <formula>AND(IF(OR($Q102=1,$Q102=2),1,0),IF($X102&lt;=20,1,0))</formula>
    </cfRule>
    <cfRule type="expression" dxfId="306" priority="325">
      <formula>AND(IF($Q102=2,1,0),IF($X102&lt;30,1,0))</formula>
    </cfRule>
    <cfRule type="expression" dxfId="305" priority="326">
      <formula>AND(IF($Q102=3,1,0),IF($X102&lt;30,1,0))</formula>
    </cfRule>
    <cfRule type="expression" dxfId="304" priority="327">
      <formula>AND(IF($Q102=3,1,IF($Q102=4,1,0)),IF($F102&lt;=85,1,0))</formula>
    </cfRule>
  </conditionalFormatting>
  <conditionalFormatting sqref="AI102">
    <cfRule type="expression" dxfId="303" priority="320">
      <formula>AND(IF(OR($Q102=1,$Q102=2),1,0),IF($X102&lt;=20,1,0))</formula>
    </cfRule>
    <cfRule type="expression" dxfId="302" priority="321">
      <formula>AND(IF($Q102=2,1,0),IF($X102&lt;30,1,0))</formula>
    </cfRule>
    <cfRule type="expression" dxfId="301" priority="322">
      <formula>AND(IF($Q102=3,1,0),IF($X102&lt;30,1,0))</formula>
    </cfRule>
    <cfRule type="expression" dxfId="300" priority="323">
      <formula>AND(IF($Q102=3,1,IF($Q102=4,1,0)),IF($F102&lt;=85,1,0))</formula>
    </cfRule>
  </conditionalFormatting>
  <conditionalFormatting sqref="AV103">
    <cfRule type="expression" dxfId="299" priority="318">
      <formula>AV103="X"</formula>
    </cfRule>
    <cfRule type="expression" dxfId="298" priority="319">
      <formula>AV103="후보"</formula>
    </cfRule>
  </conditionalFormatting>
  <conditionalFormatting sqref="Z103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97" priority="315" operator="greaterThan">
      <formula>0.9</formula>
    </cfRule>
    <cfRule type="cellIs" dxfId="296" priority="316" operator="greaterThan">
      <formula>0.85</formula>
    </cfRule>
  </conditionalFormatting>
  <conditionalFormatting sqref="N103">
    <cfRule type="cellIs" dxfId="295" priority="313" operator="greaterThan">
      <formula>0.9</formula>
    </cfRule>
    <cfRule type="cellIs" dxfId="294" priority="314" operator="greaterThan">
      <formula>0.85</formula>
    </cfRule>
  </conditionalFormatting>
  <conditionalFormatting sqref="E103">
    <cfRule type="expression" dxfId="293" priority="309">
      <formula>AND(IF(OR($Q103=1,$Q103=2),1,0),IF($X103&lt;=20,1,0))</formula>
    </cfRule>
    <cfRule type="expression" dxfId="292" priority="310">
      <formula>AND(IF($Q103=2,1,0),IF($X103&lt;30,1,0))</formula>
    </cfRule>
    <cfRule type="expression" dxfId="291" priority="311">
      <formula>AND(IF($Q103=3,1,0),IF($X103&lt;30,1,0))</formula>
    </cfRule>
    <cfRule type="expression" dxfId="290" priority="312">
      <formula>AND(IF($Q103=3,1,IF($Q103=4,1,0)),IF($F103&lt;=85,1,0))</formula>
    </cfRule>
  </conditionalFormatting>
  <conditionalFormatting sqref="X103">
    <cfRule type="expression" dxfId="289" priority="305">
      <formula>AND(IF(OR($Q103=1,$Q103=2),1,0),IF($X103&lt;=20,1,0))</formula>
    </cfRule>
    <cfRule type="expression" dxfId="288" priority="306">
      <formula>AND(IF($Q103=2,1,0),IF($X103&lt;30,1,0))</formula>
    </cfRule>
    <cfRule type="expression" dxfId="287" priority="307">
      <formula>AND(IF($Q103=3,1,0),IF($X103&lt;30,1,0))</formula>
    </cfRule>
    <cfRule type="expression" dxfId="286" priority="308">
      <formula>AND(IF($Q103=3,1,IF($Q103=4,1,0)),IF($F103&lt;=85,1,0))</formula>
    </cfRule>
  </conditionalFormatting>
  <conditionalFormatting sqref="AI103">
    <cfRule type="expression" dxfId="285" priority="301">
      <formula>AND(IF(OR($Q103=1,$Q103=2),1,0),IF($X103&lt;=20,1,0))</formula>
    </cfRule>
    <cfRule type="expression" dxfId="284" priority="302">
      <formula>AND(IF($Q103=2,1,0),IF($X103&lt;30,1,0))</formula>
    </cfRule>
    <cfRule type="expression" dxfId="283" priority="303">
      <formula>AND(IF($Q103=3,1,0),IF($X103&lt;30,1,0))</formula>
    </cfRule>
    <cfRule type="expression" dxfId="282" priority="304">
      <formula>AND(IF($Q103=3,1,IF($Q103=4,1,0)),IF($F103&lt;=85,1,0))</formula>
    </cfRule>
  </conditionalFormatting>
  <conditionalFormatting sqref="AV104">
    <cfRule type="expression" dxfId="281" priority="299">
      <formula>AV104="X"</formula>
    </cfRule>
    <cfRule type="expression" dxfId="280" priority="300">
      <formula>AV104="후보"</formula>
    </cfRule>
  </conditionalFormatting>
  <conditionalFormatting sqref="Z104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79" priority="296" operator="greaterThan">
      <formula>0.9</formula>
    </cfRule>
    <cfRule type="cellIs" dxfId="278" priority="297" operator="greaterThan">
      <formula>0.85</formula>
    </cfRule>
  </conditionalFormatting>
  <conditionalFormatting sqref="N104">
    <cfRule type="cellIs" dxfId="277" priority="294" operator="greaterThan">
      <formula>0.9</formula>
    </cfRule>
    <cfRule type="cellIs" dxfId="276" priority="295" operator="greaterThan">
      <formula>0.85</formula>
    </cfRule>
  </conditionalFormatting>
  <conditionalFormatting sqref="E104">
    <cfRule type="expression" dxfId="275" priority="290">
      <formula>AND(IF(OR($Q104=1,$Q104=2),1,0),IF($X104&lt;=20,1,0))</formula>
    </cfRule>
    <cfRule type="expression" dxfId="274" priority="291">
      <formula>AND(IF($Q104=2,1,0),IF($X104&lt;30,1,0))</formula>
    </cfRule>
    <cfRule type="expression" dxfId="273" priority="292">
      <formula>AND(IF($Q104=3,1,0),IF($X104&lt;30,1,0))</formula>
    </cfRule>
    <cfRule type="expression" dxfId="272" priority="293">
      <formula>AND(IF($Q104=3,1,IF($Q104=4,1,0)),IF($F104&lt;=85,1,0))</formula>
    </cfRule>
  </conditionalFormatting>
  <conditionalFormatting sqref="X104">
    <cfRule type="expression" dxfId="271" priority="286">
      <formula>AND(IF(OR($Q104=1,$Q104=2),1,0),IF($X104&lt;=20,1,0))</formula>
    </cfRule>
    <cfRule type="expression" dxfId="270" priority="287">
      <formula>AND(IF($Q104=2,1,0),IF($X104&lt;30,1,0))</formula>
    </cfRule>
    <cfRule type="expression" dxfId="269" priority="288">
      <formula>AND(IF($Q104=3,1,0),IF($X104&lt;30,1,0))</formula>
    </cfRule>
    <cfRule type="expression" dxfId="268" priority="289">
      <formula>AND(IF($Q104=3,1,IF($Q104=4,1,0)),IF($F104&lt;=85,1,0))</formula>
    </cfRule>
  </conditionalFormatting>
  <conditionalFormatting sqref="AI104">
    <cfRule type="expression" dxfId="267" priority="282">
      <formula>AND(IF(OR($Q104=1,$Q104=2),1,0),IF($X104&lt;=20,1,0))</formula>
    </cfRule>
    <cfRule type="expression" dxfId="266" priority="283">
      <formula>AND(IF($Q104=2,1,0),IF($X104&lt;30,1,0))</formula>
    </cfRule>
    <cfRule type="expression" dxfId="265" priority="284">
      <formula>AND(IF($Q104=3,1,0),IF($X104&lt;30,1,0))</formula>
    </cfRule>
    <cfRule type="expression" dxfId="264" priority="285">
      <formula>AND(IF($Q104=3,1,IF($Q104=4,1,0)),IF($F104&lt;=85,1,0))</formula>
    </cfRule>
  </conditionalFormatting>
  <conditionalFormatting sqref="AV105">
    <cfRule type="expression" dxfId="263" priority="280">
      <formula>AV105="X"</formula>
    </cfRule>
    <cfRule type="expression" dxfId="262" priority="281">
      <formula>AV105="후보"</formula>
    </cfRule>
  </conditionalFormatting>
  <conditionalFormatting sqref="Z105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61" priority="277" operator="greaterThan">
      <formula>0.9</formula>
    </cfRule>
    <cfRule type="cellIs" dxfId="260" priority="278" operator="greaterThan">
      <formula>0.85</formula>
    </cfRule>
  </conditionalFormatting>
  <conditionalFormatting sqref="N105">
    <cfRule type="cellIs" dxfId="259" priority="275" operator="greaterThan">
      <formula>0.9</formula>
    </cfRule>
    <cfRule type="cellIs" dxfId="258" priority="276" operator="greaterThan">
      <formula>0.85</formula>
    </cfRule>
  </conditionalFormatting>
  <conditionalFormatting sqref="E105">
    <cfRule type="expression" dxfId="257" priority="271">
      <formula>AND(IF(OR($Q105=1,$Q105=2),1,0),IF($X105&lt;=20,1,0))</formula>
    </cfRule>
    <cfRule type="expression" dxfId="256" priority="272">
      <formula>AND(IF($Q105=2,1,0),IF($X105&lt;30,1,0))</formula>
    </cfRule>
    <cfRule type="expression" dxfId="255" priority="273">
      <formula>AND(IF($Q105=3,1,0),IF($X105&lt;30,1,0))</formula>
    </cfRule>
    <cfRule type="expression" dxfId="254" priority="274">
      <formula>AND(IF($Q105=3,1,IF($Q105=4,1,0)),IF($F105&lt;=85,1,0))</formula>
    </cfRule>
  </conditionalFormatting>
  <conditionalFormatting sqref="X105">
    <cfRule type="expression" dxfId="253" priority="267">
      <formula>AND(IF(OR($Q105=1,$Q105=2),1,0),IF($X105&lt;=20,1,0))</formula>
    </cfRule>
    <cfRule type="expression" dxfId="252" priority="268">
      <formula>AND(IF($Q105=2,1,0),IF($X105&lt;30,1,0))</formula>
    </cfRule>
    <cfRule type="expression" dxfId="251" priority="269">
      <formula>AND(IF($Q105=3,1,0),IF($X105&lt;30,1,0))</formula>
    </cfRule>
    <cfRule type="expression" dxfId="250" priority="270">
      <formula>AND(IF($Q105=3,1,IF($Q105=4,1,0)),IF($F105&lt;=85,1,0))</formula>
    </cfRule>
  </conditionalFormatting>
  <conditionalFormatting sqref="AI105">
    <cfRule type="expression" dxfId="249" priority="263">
      <formula>AND(IF(OR($Q105=1,$Q105=2),1,0),IF($X105&lt;=20,1,0))</formula>
    </cfRule>
    <cfRule type="expression" dxfId="248" priority="264">
      <formula>AND(IF($Q105=2,1,0),IF($X105&lt;30,1,0))</formula>
    </cfRule>
    <cfRule type="expression" dxfId="247" priority="265">
      <formula>AND(IF($Q105=3,1,0),IF($X105&lt;30,1,0))</formula>
    </cfRule>
    <cfRule type="expression" dxfId="246" priority="266">
      <formula>AND(IF($Q105=3,1,IF($Q105=4,1,0)),IF($F105&lt;=85,1,0))</formula>
    </cfRule>
  </conditionalFormatting>
  <conditionalFormatting sqref="AV106">
    <cfRule type="expression" dxfId="245" priority="261">
      <formula>AV106="X"</formula>
    </cfRule>
    <cfRule type="expression" dxfId="244" priority="262">
      <formula>AV106="후보"</formula>
    </cfRule>
  </conditionalFormatting>
  <conditionalFormatting sqref="Z106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243" priority="258" operator="greaterThan">
      <formula>0.9</formula>
    </cfRule>
    <cfRule type="cellIs" dxfId="242" priority="259" operator="greaterThan">
      <formula>0.85</formula>
    </cfRule>
  </conditionalFormatting>
  <conditionalFormatting sqref="AV107">
    <cfRule type="expression" dxfId="241" priority="256">
      <formula>AV107="X"</formula>
    </cfRule>
    <cfRule type="expression" dxfId="240" priority="257">
      <formula>AV107="후보"</formula>
    </cfRule>
  </conditionalFormatting>
  <conditionalFormatting sqref="Z107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39" priority="253" operator="greaterThan">
      <formula>0.9</formula>
    </cfRule>
    <cfRule type="cellIs" dxfId="238" priority="254" operator="greaterThan">
      <formula>0.85</formula>
    </cfRule>
  </conditionalFormatting>
  <conditionalFormatting sqref="N107">
    <cfRule type="cellIs" dxfId="237" priority="251" operator="greaterThan">
      <formula>0.9</formula>
    </cfRule>
    <cfRule type="cellIs" dxfId="236" priority="252" operator="greaterThan">
      <formula>0.85</formula>
    </cfRule>
  </conditionalFormatting>
  <conditionalFormatting sqref="E107">
    <cfRule type="expression" dxfId="235" priority="247">
      <formula>AND(IF(OR($Q107=1,$Q107=2),1,0),IF($X107&lt;=20,1,0))</formula>
    </cfRule>
    <cfRule type="expression" dxfId="234" priority="248">
      <formula>AND(IF($Q107=2,1,0),IF($X107&lt;30,1,0))</formula>
    </cfRule>
    <cfRule type="expression" dxfId="233" priority="249">
      <formula>AND(IF($Q107=3,1,0),IF($X107&lt;30,1,0))</formula>
    </cfRule>
    <cfRule type="expression" dxfId="232" priority="250">
      <formula>AND(IF($Q107=3,1,IF($Q107=4,1,0)),IF($F107&lt;=85,1,0))</formula>
    </cfRule>
  </conditionalFormatting>
  <conditionalFormatting sqref="X107">
    <cfRule type="expression" dxfId="231" priority="243">
      <formula>AND(IF(OR($Q107=1,$Q107=2),1,0),IF($X107&lt;=20,1,0))</formula>
    </cfRule>
    <cfRule type="expression" dxfId="230" priority="244">
      <formula>AND(IF($Q107=2,1,0),IF($X107&lt;30,1,0))</formula>
    </cfRule>
    <cfRule type="expression" dxfId="229" priority="245">
      <formula>AND(IF($Q107=3,1,0),IF($X107&lt;30,1,0))</formula>
    </cfRule>
    <cfRule type="expression" dxfId="228" priority="246">
      <formula>AND(IF($Q107=3,1,IF($Q107=4,1,0)),IF($F107&lt;=85,1,0))</formula>
    </cfRule>
  </conditionalFormatting>
  <conditionalFormatting sqref="AI107">
    <cfRule type="expression" dxfId="227" priority="239">
      <formula>AND(IF(OR($Q107=1,$Q107=2),1,0),IF($X107&lt;=20,1,0))</formula>
    </cfRule>
    <cfRule type="expression" dxfId="226" priority="240">
      <formula>AND(IF($Q107=2,1,0),IF($X107&lt;30,1,0))</formula>
    </cfRule>
    <cfRule type="expression" dxfId="225" priority="241">
      <formula>AND(IF($Q107=3,1,0),IF($X107&lt;30,1,0))</formula>
    </cfRule>
    <cfRule type="expression" dxfId="224" priority="242">
      <formula>AND(IF($Q107=3,1,IF($Q107=4,1,0)),IF($F107&lt;=85,1,0))</formula>
    </cfRule>
  </conditionalFormatting>
  <conditionalFormatting sqref="AV108">
    <cfRule type="expression" dxfId="223" priority="237">
      <formula>AV108="X"</formula>
    </cfRule>
    <cfRule type="expression" dxfId="222" priority="238">
      <formula>AV108="후보"</formula>
    </cfRule>
  </conditionalFormatting>
  <conditionalFormatting sqref="Z108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21" priority="234" operator="greaterThan">
      <formula>0.9</formula>
    </cfRule>
    <cfRule type="cellIs" dxfId="220" priority="235" operator="greaterThan">
      <formula>0.85</formula>
    </cfRule>
  </conditionalFormatting>
  <conditionalFormatting sqref="N108">
    <cfRule type="cellIs" dxfId="219" priority="232" operator="greaterThan">
      <formula>0.9</formula>
    </cfRule>
    <cfRule type="cellIs" dxfId="218" priority="233" operator="greaterThan">
      <formula>0.85</formula>
    </cfRule>
  </conditionalFormatting>
  <conditionalFormatting sqref="E108">
    <cfRule type="expression" dxfId="217" priority="228">
      <formula>AND(IF(OR($Q108=1,$Q108=2),1,0),IF($X108&lt;=20,1,0))</formula>
    </cfRule>
    <cfRule type="expression" dxfId="216" priority="229">
      <formula>AND(IF($Q108=2,1,0),IF($X108&lt;30,1,0))</formula>
    </cfRule>
    <cfRule type="expression" dxfId="215" priority="230">
      <formula>AND(IF($Q108=3,1,0),IF($X108&lt;30,1,0))</formula>
    </cfRule>
    <cfRule type="expression" dxfId="214" priority="231">
      <formula>AND(IF($Q108=3,1,IF($Q108=4,1,0)),IF($F108&lt;=85,1,0))</formula>
    </cfRule>
  </conditionalFormatting>
  <conditionalFormatting sqref="X108">
    <cfRule type="expression" dxfId="213" priority="224">
      <formula>AND(IF(OR($Q108=1,$Q108=2),1,0),IF($X108&lt;=20,1,0))</formula>
    </cfRule>
    <cfRule type="expression" dxfId="212" priority="225">
      <formula>AND(IF($Q108=2,1,0),IF($X108&lt;30,1,0))</formula>
    </cfRule>
    <cfRule type="expression" dxfId="211" priority="226">
      <formula>AND(IF($Q108=3,1,0),IF($X108&lt;30,1,0))</formula>
    </cfRule>
    <cfRule type="expression" dxfId="210" priority="227">
      <formula>AND(IF($Q108=3,1,IF($Q108=4,1,0)),IF($F108&lt;=85,1,0))</formula>
    </cfRule>
  </conditionalFormatting>
  <conditionalFormatting sqref="AI108">
    <cfRule type="expression" dxfId="209" priority="220">
      <formula>AND(IF(OR($Q108=1,$Q108=2),1,0),IF($X108&lt;=20,1,0))</formula>
    </cfRule>
    <cfRule type="expression" dxfId="208" priority="221">
      <formula>AND(IF($Q108=2,1,0),IF($X108&lt;30,1,0))</formula>
    </cfRule>
    <cfRule type="expression" dxfId="207" priority="222">
      <formula>AND(IF($Q108=3,1,0),IF($X108&lt;30,1,0))</formula>
    </cfRule>
    <cfRule type="expression" dxfId="206" priority="223">
      <formula>AND(IF($Q108=3,1,IF($Q108=4,1,0)),IF($F108&lt;=85,1,0))</formula>
    </cfRule>
  </conditionalFormatting>
  <conditionalFormatting sqref="AV109">
    <cfRule type="expression" dxfId="205" priority="218">
      <formula>AV109="X"</formula>
    </cfRule>
    <cfRule type="expression" dxfId="204" priority="219">
      <formula>AV109="후보"</formula>
    </cfRule>
  </conditionalFormatting>
  <conditionalFormatting sqref="Z109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03" priority="215" operator="greaterThan">
      <formula>0.9</formula>
    </cfRule>
    <cfRule type="cellIs" dxfId="202" priority="216" operator="greaterThan">
      <formula>0.85</formula>
    </cfRule>
  </conditionalFormatting>
  <conditionalFormatting sqref="N109">
    <cfRule type="cellIs" dxfId="201" priority="213" operator="greaterThan">
      <formula>0.9</formula>
    </cfRule>
    <cfRule type="cellIs" dxfId="200" priority="214" operator="greaterThan">
      <formula>0.85</formula>
    </cfRule>
  </conditionalFormatting>
  <conditionalFormatting sqref="E109">
    <cfRule type="expression" dxfId="199" priority="209">
      <formula>AND(IF(OR($Q109=1,$Q109=2),1,0),IF($X109&lt;=20,1,0))</formula>
    </cfRule>
    <cfRule type="expression" dxfId="198" priority="210">
      <formula>AND(IF($Q109=2,1,0),IF($X109&lt;30,1,0))</formula>
    </cfRule>
    <cfRule type="expression" dxfId="197" priority="211">
      <formula>AND(IF($Q109=3,1,0),IF($X109&lt;30,1,0))</formula>
    </cfRule>
    <cfRule type="expression" dxfId="196" priority="212">
      <formula>AND(IF($Q109=3,1,IF($Q109=4,1,0)),IF($F109&lt;=85,1,0))</formula>
    </cfRule>
  </conditionalFormatting>
  <conditionalFormatting sqref="X109">
    <cfRule type="expression" dxfId="195" priority="205">
      <formula>AND(IF(OR($Q109=1,$Q109=2),1,0),IF($X109&lt;=20,1,0))</formula>
    </cfRule>
    <cfRule type="expression" dxfId="194" priority="206">
      <formula>AND(IF($Q109=2,1,0),IF($X109&lt;30,1,0))</formula>
    </cfRule>
    <cfRule type="expression" dxfId="193" priority="207">
      <formula>AND(IF($Q109=3,1,0),IF($X109&lt;30,1,0))</formula>
    </cfRule>
    <cfRule type="expression" dxfId="192" priority="208">
      <formula>AND(IF($Q109=3,1,IF($Q109=4,1,0)),IF($F109&lt;=85,1,0))</formula>
    </cfRule>
  </conditionalFormatting>
  <conditionalFormatting sqref="AI109">
    <cfRule type="expression" dxfId="191" priority="201">
      <formula>AND(IF(OR($Q109=1,$Q109=2),1,0),IF($X109&lt;=20,1,0))</formula>
    </cfRule>
    <cfRule type="expression" dxfId="190" priority="202">
      <formula>AND(IF($Q109=2,1,0),IF($X109&lt;30,1,0))</formula>
    </cfRule>
    <cfRule type="expression" dxfId="189" priority="203">
      <formula>AND(IF($Q109=3,1,0),IF($X109&lt;30,1,0))</formula>
    </cfRule>
    <cfRule type="expression" dxfId="188" priority="204">
      <formula>AND(IF($Q109=3,1,IF($Q109=4,1,0)),IF($F109&lt;=85,1,0))</formula>
    </cfRule>
  </conditionalFormatting>
  <conditionalFormatting sqref="AV110">
    <cfRule type="expression" dxfId="187" priority="199">
      <formula>AV110="X"</formula>
    </cfRule>
    <cfRule type="expression" dxfId="186" priority="200">
      <formula>AV110="후보"</formula>
    </cfRule>
  </conditionalFormatting>
  <conditionalFormatting sqref="Z110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85" priority="196" operator="greaterThan">
      <formula>0.9</formula>
    </cfRule>
    <cfRule type="cellIs" dxfId="184" priority="197" operator="greaterThan">
      <formula>0.85</formula>
    </cfRule>
  </conditionalFormatting>
  <conditionalFormatting sqref="N110">
    <cfRule type="cellIs" dxfId="183" priority="194" operator="greaterThan">
      <formula>0.9</formula>
    </cfRule>
    <cfRule type="cellIs" dxfId="182" priority="195" operator="greaterThan">
      <formula>0.85</formula>
    </cfRule>
  </conditionalFormatting>
  <conditionalFormatting sqref="E110">
    <cfRule type="expression" dxfId="181" priority="190">
      <formula>AND(IF(OR($Q110=1,$Q110=2),1,0),IF($X110&lt;=20,1,0))</formula>
    </cfRule>
    <cfRule type="expression" dxfId="180" priority="191">
      <formula>AND(IF($Q110=2,1,0),IF($X110&lt;30,1,0))</formula>
    </cfRule>
    <cfRule type="expression" dxfId="179" priority="192">
      <formula>AND(IF($Q110=3,1,0),IF($X110&lt;30,1,0))</formula>
    </cfRule>
    <cfRule type="expression" dxfId="178" priority="193">
      <formula>AND(IF($Q110=3,1,IF($Q110=4,1,0)),IF($F110&lt;=85,1,0))</formula>
    </cfRule>
  </conditionalFormatting>
  <conditionalFormatting sqref="X110">
    <cfRule type="expression" dxfId="177" priority="186">
      <formula>AND(IF(OR($Q110=1,$Q110=2),1,0),IF($X110&lt;=20,1,0))</formula>
    </cfRule>
    <cfRule type="expression" dxfId="176" priority="187">
      <formula>AND(IF($Q110=2,1,0),IF($X110&lt;30,1,0))</formula>
    </cfRule>
    <cfRule type="expression" dxfId="175" priority="188">
      <formula>AND(IF($Q110=3,1,0),IF($X110&lt;30,1,0))</formula>
    </cfRule>
    <cfRule type="expression" dxfId="174" priority="189">
      <formula>AND(IF($Q110=3,1,IF($Q110=4,1,0)),IF($F110&lt;=85,1,0))</formula>
    </cfRule>
  </conditionalFormatting>
  <conditionalFormatting sqref="AI110">
    <cfRule type="expression" dxfId="173" priority="182">
      <formula>AND(IF(OR($Q110=1,$Q110=2),1,0),IF($X110&lt;=20,1,0))</formula>
    </cfRule>
    <cfRule type="expression" dxfId="172" priority="183">
      <formula>AND(IF($Q110=2,1,0),IF($X110&lt;30,1,0))</formula>
    </cfRule>
    <cfRule type="expression" dxfId="171" priority="184">
      <formula>AND(IF($Q110=3,1,0),IF($X110&lt;30,1,0))</formula>
    </cfRule>
    <cfRule type="expression" dxfId="170" priority="185">
      <formula>AND(IF($Q110=3,1,IF($Q110=4,1,0)),IF($F110&lt;=85,1,0))</formula>
    </cfRule>
  </conditionalFormatting>
  <conditionalFormatting sqref="AV111">
    <cfRule type="expression" dxfId="169" priority="180">
      <formula>AV111="X"</formula>
    </cfRule>
    <cfRule type="expression" dxfId="168" priority="181">
      <formula>AV111="후보"</formula>
    </cfRule>
  </conditionalFormatting>
  <conditionalFormatting sqref="Z111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67" priority="177" operator="greaterThan">
      <formula>0.9</formula>
    </cfRule>
    <cfRule type="cellIs" dxfId="166" priority="178" operator="greaterThan">
      <formula>0.85</formula>
    </cfRule>
  </conditionalFormatting>
  <conditionalFormatting sqref="N111">
    <cfRule type="cellIs" dxfId="165" priority="175" operator="greaterThan">
      <formula>0.9</formula>
    </cfRule>
    <cfRule type="cellIs" dxfId="164" priority="176" operator="greaterThan">
      <formula>0.85</formula>
    </cfRule>
  </conditionalFormatting>
  <conditionalFormatting sqref="E111">
    <cfRule type="expression" dxfId="163" priority="171">
      <formula>AND(IF(OR($Q111=1,$Q111=2),1,0),IF($X111&lt;=20,1,0))</formula>
    </cfRule>
    <cfRule type="expression" dxfId="162" priority="172">
      <formula>AND(IF($Q111=2,1,0),IF($X111&lt;30,1,0))</formula>
    </cfRule>
    <cfRule type="expression" dxfId="161" priority="173">
      <formula>AND(IF($Q111=3,1,0),IF($X111&lt;30,1,0))</formula>
    </cfRule>
    <cfRule type="expression" dxfId="160" priority="174">
      <formula>AND(IF($Q111=3,1,IF($Q111=4,1,0)),IF($F111&lt;=85,1,0))</formula>
    </cfRule>
  </conditionalFormatting>
  <conditionalFormatting sqref="X111">
    <cfRule type="expression" dxfId="159" priority="167">
      <formula>AND(IF(OR($Q111=1,$Q111=2),1,0),IF($X111&lt;=20,1,0))</formula>
    </cfRule>
    <cfRule type="expression" dxfId="158" priority="168">
      <formula>AND(IF($Q111=2,1,0),IF($X111&lt;30,1,0))</formula>
    </cfRule>
    <cfRule type="expression" dxfId="157" priority="169">
      <formula>AND(IF($Q111=3,1,0),IF($X111&lt;30,1,0))</formula>
    </cfRule>
    <cfRule type="expression" dxfId="156" priority="170">
      <formula>AND(IF($Q111=3,1,IF($Q111=4,1,0)),IF($F111&lt;=85,1,0))</formula>
    </cfRule>
  </conditionalFormatting>
  <conditionalFormatting sqref="AI111">
    <cfRule type="expression" dxfId="155" priority="163">
      <formula>AND(IF(OR($Q111=1,$Q111=2),1,0),IF($X111&lt;=20,1,0))</formula>
    </cfRule>
    <cfRule type="expression" dxfId="154" priority="164">
      <formula>AND(IF($Q111=2,1,0),IF($X111&lt;30,1,0))</formula>
    </cfRule>
    <cfRule type="expression" dxfId="153" priority="165">
      <formula>AND(IF($Q111=3,1,0),IF($X111&lt;30,1,0))</formula>
    </cfRule>
    <cfRule type="expression" dxfId="152" priority="166">
      <formula>AND(IF($Q111=3,1,IF($Q111=4,1,0)),IF($F111&lt;=85,1,0))</formula>
    </cfRule>
  </conditionalFormatting>
  <conditionalFormatting sqref="AV112">
    <cfRule type="expression" dxfId="151" priority="161">
      <formula>AV112="X"</formula>
    </cfRule>
    <cfRule type="expression" dxfId="150" priority="162">
      <formula>AV112="후보"</formula>
    </cfRule>
  </conditionalFormatting>
  <conditionalFormatting sqref="Z112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 N112">
    <cfRule type="cellIs" dxfId="149" priority="158" operator="greaterThan">
      <formula>0.9</formula>
    </cfRule>
    <cfRule type="cellIs" dxfId="148" priority="159" operator="greaterThan">
      <formula>0.85</formula>
    </cfRule>
  </conditionalFormatting>
  <conditionalFormatting sqref="AV113">
    <cfRule type="expression" dxfId="147" priority="156">
      <formula>AV113="X"</formula>
    </cfRule>
    <cfRule type="expression" dxfId="146" priority="157">
      <formula>AV113="후보"</formula>
    </cfRule>
  </conditionalFormatting>
  <conditionalFormatting sqref="Z113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45" priority="153" operator="greaterThan">
      <formula>0.9</formula>
    </cfRule>
    <cfRule type="cellIs" dxfId="144" priority="154" operator="greaterThan">
      <formula>0.85</formula>
    </cfRule>
  </conditionalFormatting>
  <conditionalFormatting sqref="N113">
    <cfRule type="cellIs" dxfId="143" priority="151" operator="greaterThan">
      <formula>0.9</formula>
    </cfRule>
    <cfRule type="cellIs" dxfId="142" priority="152" operator="greaterThan">
      <formula>0.85</formula>
    </cfRule>
  </conditionalFormatting>
  <conditionalFormatting sqref="E113">
    <cfRule type="expression" dxfId="141" priority="147">
      <formula>AND(IF(OR($Q113=1,$Q113=2),1,0),IF($X113&lt;=20,1,0))</formula>
    </cfRule>
    <cfRule type="expression" dxfId="140" priority="148">
      <formula>AND(IF($Q113=2,1,0),IF($X113&lt;30,1,0))</formula>
    </cfRule>
    <cfRule type="expression" dxfId="139" priority="149">
      <formula>AND(IF($Q113=3,1,0),IF($X113&lt;30,1,0))</formula>
    </cfRule>
    <cfRule type="expression" dxfId="138" priority="150">
      <formula>AND(IF($Q113=3,1,IF($Q113=4,1,0)),IF($F113&lt;=85,1,0))</formula>
    </cfRule>
  </conditionalFormatting>
  <conditionalFormatting sqref="X113">
    <cfRule type="expression" dxfId="137" priority="143">
      <formula>AND(IF(OR($Q113=1,$Q113=2),1,0),IF($X113&lt;=20,1,0))</formula>
    </cfRule>
    <cfRule type="expression" dxfId="136" priority="144">
      <formula>AND(IF($Q113=2,1,0),IF($X113&lt;30,1,0))</formula>
    </cfRule>
    <cfRule type="expression" dxfId="135" priority="145">
      <formula>AND(IF($Q113=3,1,0),IF($X113&lt;30,1,0))</formula>
    </cfRule>
    <cfRule type="expression" dxfId="134" priority="146">
      <formula>AND(IF($Q113=3,1,IF($Q113=4,1,0)),IF($F113&lt;=85,1,0))</formula>
    </cfRule>
  </conditionalFormatting>
  <conditionalFormatting sqref="AI113">
    <cfRule type="expression" dxfId="133" priority="139">
      <formula>AND(IF(OR($Q113=1,$Q113=2),1,0),IF($X113&lt;=20,1,0))</formula>
    </cfRule>
    <cfRule type="expression" dxfId="132" priority="140">
      <formula>AND(IF($Q113=2,1,0),IF($X113&lt;30,1,0))</formula>
    </cfRule>
    <cfRule type="expression" dxfId="131" priority="141">
      <formula>AND(IF($Q113=3,1,0),IF($X113&lt;30,1,0))</formula>
    </cfRule>
    <cfRule type="expression" dxfId="130" priority="142">
      <formula>AND(IF($Q113=3,1,IF($Q113=4,1,0)),IF($F113&lt;=85,1,0))</formula>
    </cfRule>
  </conditionalFormatting>
  <conditionalFormatting sqref="AV114">
    <cfRule type="expression" dxfId="129" priority="137">
      <formula>AV114="X"</formula>
    </cfRule>
    <cfRule type="expression" dxfId="128" priority="138">
      <formula>AV114="후보"</formula>
    </cfRule>
  </conditionalFormatting>
  <conditionalFormatting sqref="Z114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27" priority="134" operator="greaterThan">
      <formula>0.9</formula>
    </cfRule>
    <cfRule type="cellIs" dxfId="126" priority="135" operator="greaterThan">
      <formula>0.85</formula>
    </cfRule>
  </conditionalFormatting>
  <conditionalFormatting sqref="N114">
    <cfRule type="cellIs" dxfId="125" priority="132" operator="greaterThan">
      <formula>0.9</formula>
    </cfRule>
    <cfRule type="cellIs" dxfId="124" priority="133" operator="greaterThan">
      <formula>0.85</formula>
    </cfRule>
  </conditionalFormatting>
  <conditionalFormatting sqref="E114">
    <cfRule type="expression" dxfId="123" priority="128">
      <formula>AND(IF(OR($Q114=1,$Q114=2),1,0),IF($X114&lt;=20,1,0))</formula>
    </cfRule>
    <cfRule type="expression" dxfId="122" priority="129">
      <formula>AND(IF($Q114=2,1,0),IF($X114&lt;30,1,0))</formula>
    </cfRule>
    <cfRule type="expression" dxfId="121" priority="130">
      <formula>AND(IF($Q114=3,1,0),IF($X114&lt;30,1,0))</formula>
    </cfRule>
    <cfRule type="expression" dxfId="120" priority="131">
      <formula>AND(IF($Q114=3,1,IF($Q114=4,1,0)),IF($F114&lt;=85,1,0))</formula>
    </cfRule>
  </conditionalFormatting>
  <conditionalFormatting sqref="X114">
    <cfRule type="expression" dxfId="119" priority="124">
      <formula>AND(IF(OR($Q114=1,$Q114=2),1,0),IF($X114&lt;=20,1,0))</formula>
    </cfRule>
    <cfRule type="expression" dxfId="118" priority="125">
      <formula>AND(IF($Q114=2,1,0),IF($X114&lt;30,1,0))</formula>
    </cfRule>
    <cfRule type="expression" dxfId="117" priority="126">
      <formula>AND(IF($Q114=3,1,0),IF($X114&lt;30,1,0))</formula>
    </cfRule>
    <cfRule type="expression" dxfId="116" priority="127">
      <formula>AND(IF($Q114=3,1,IF($Q114=4,1,0)),IF($F114&lt;=85,1,0))</formula>
    </cfRule>
  </conditionalFormatting>
  <conditionalFormatting sqref="AI114">
    <cfRule type="expression" dxfId="115" priority="120">
      <formula>AND(IF(OR($Q114=1,$Q114=2),1,0),IF($X114&lt;=20,1,0))</formula>
    </cfRule>
    <cfRule type="expression" dxfId="114" priority="121">
      <formula>AND(IF($Q114=2,1,0),IF($X114&lt;30,1,0))</formula>
    </cfRule>
    <cfRule type="expression" dxfId="113" priority="122">
      <formula>AND(IF($Q114=3,1,0),IF($X114&lt;30,1,0))</formula>
    </cfRule>
    <cfRule type="expression" dxfId="112" priority="123">
      <formula>AND(IF($Q114=3,1,IF($Q114=4,1,0)),IF($F114&lt;=85,1,0))</formula>
    </cfRule>
  </conditionalFormatting>
  <conditionalFormatting sqref="AV115">
    <cfRule type="expression" dxfId="111" priority="118">
      <formula>AV115="X"</formula>
    </cfRule>
    <cfRule type="expression" dxfId="110" priority="119">
      <formula>AV115="후보"</formula>
    </cfRule>
  </conditionalFormatting>
  <conditionalFormatting sqref="Z115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09" priority="115" operator="greaterThan">
      <formula>0.9</formula>
    </cfRule>
    <cfRule type="cellIs" dxfId="108" priority="116" operator="greaterThan">
      <formula>0.85</formula>
    </cfRule>
  </conditionalFormatting>
  <conditionalFormatting sqref="N115">
    <cfRule type="cellIs" dxfId="107" priority="113" operator="greaterThan">
      <formula>0.9</formula>
    </cfRule>
    <cfRule type="cellIs" dxfId="106" priority="114" operator="greaterThan">
      <formula>0.85</formula>
    </cfRule>
  </conditionalFormatting>
  <conditionalFormatting sqref="E115">
    <cfRule type="expression" dxfId="105" priority="109">
      <formula>AND(IF(OR($Q115=1,$Q115=2),1,0),IF($X115&lt;=20,1,0))</formula>
    </cfRule>
    <cfRule type="expression" dxfId="104" priority="110">
      <formula>AND(IF($Q115=2,1,0),IF($X115&lt;30,1,0))</formula>
    </cfRule>
    <cfRule type="expression" dxfId="103" priority="111">
      <formula>AND(IF($Q115=3,1,0),IF($X115&lt;30,1,0))</formula>
    </cfRule>
    <cfRule type="expression" dxfId="102" priority="112">
      <formula>AND(IF($Q115=3,1,IF($Q115=4,1,0)),IF($F115&lt;=85,1,0))</formula>
    </cfRule>
  </conditionalFormatting>
  <conditionalFormatting sqref="X115">
    <cfRule type="expression" dxfId="101" priority="105">
      <formula>AND(IF(OR($Q115=1,$Q115=2),1,0),IF($X115&lt;=20,1,0))</formula>
    </cfRule>
    <cfRule type="expression" dxfId="100" priority="106">
      <formula>AND(IF($Q115=2,1,0),IF($X115&lt;30,1,0))</formula>
    </cfRule>
    <cfRule type="expression" dxfId="99" priority="107">
      <formula>AND(IF($Q115=3,1,0),IF($X115&lt;30,1,0))</formula>
    </cfRule>
    <cfRule type="expression" dxfId="98" priority="108">
      <formula>AND(IF($Q115=3,1,IF($Q115=4,1,0)),IF($F115&lt;=85,1,0))</formula>
    </cfRule>
  </conditionalFormatting>
  <conditionalFormatting sqref="AI115">
    <cfRule type="expression" dxfId="97" priority="101">
      <formula>AND(IF(OR($Q115=1,$Q115=2),1,0),IF($X115&lt;=20,1,0))</formula>
    </cfRule>
    <cfRule type="expression" dxfId="96" priority="102">
      <formula>AND(IF($Q115=2,1,0),IF($X115&lt;30,1,0))</formula>
    </cfRule>
    <cfRule type="expression" dxfId="95" priority="103">
      <formula>AND(IF($Q115=3,1,0),IF($X115&lt;30,1,0))</formula>
    </cfRule>
    <cfRule type="expression" dxfId="94" priority="104">
      <formula>AND(IF($Q115=3,1,IF($Q115=4,1,0)),IF($F115&lt;=85,1,0))</formula>
    </cfRule>
  </conditionalFormatting>
  <conditionalFormatting sqref="AV116">
    <cfRule type="expression" dxfId="93" priority="99">
      <formula>AV116="X"</formula>
    </cfRule>
    <cfRule type="expression" dxfId="92" priority="100">
      <formula>AV116="후보"</formula>
    </cfRule>
  </conditionalFormatting>
  <conditionalFormatting sqref="Z116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91" priority="96" operator="greaterThan">
      <formula>0.9</formula>
    </cfRule>
    <cfRule type="cellIs" dxfId="90" priority="97" operator="greaterThan">
      <formula>0.85</formula>
    </cfRule>
  </conditionalFormatting>
  <conditionalFormatting sqref="N116">
    <cfRule type="cellIs" dxfId="89" priority="94" operator="greaterThan">
      <formula>0.9</formula>
    </cfRule>
    <cfRule type="cellIs" dxfId="88" priority="95" operator="greaterThan">
      <formula>0.85</formula>
    </cfRule>
  </conditionalFormatting>
  <conditionalFormatting sqref="E116">
    <cfRule type="expression" dxfId="87" priority="90">
      <formula>AND(IF(OR($Q116=1,$Q116=2),1,0),IF($X116&lt;=20,1,0))</formula>
    </cfRule>
    <cfRule type="expression" dxfId="86" priority="91">
      <formula>AND(IF($Q116=2,1,0),IF($X116&lt;30,1,0))</formula>
    </cfRule>
    <cfRule type="expression" dxfId="85" priority="92">
      <formula>AND(IF($Q116=3,1,0),IF($X116&lt;30,1,0))</formula>
    </cfRule>
    <cfRule type="expression" dxfId="84" priority="93">
      <formula>AND(IF($Q116=3,1,IF($Q116=4,1,0)),IF($F116&lt;=85,1,0))</formula>
    </cfRule>
  </conditionalFormatting>
  <conditionalFormatting sqref="X116">
    <cfRule type="expression" dxfId="83" priority="86">
      <formula>AND(IF(OR($Q116=1,$Q116=2),1,0),IF($X116&lt;=20,1,0))</formula>
    </cfRule>
    <cfRule type="expression" dxfId="82" priority="87">
      <formula>AND(IF($Q116=2,1,0),IF($X116&lt;30,1,0))</formula>
    </cfRule>
    <cfRule type="expression" dxfId="81" priority="88">
      <formula>AND(IF($Q116=3,1,0),IF($X116&lt;30,1,0))</formula>
    </cfRule>
    <cfRule type="expression" dxfId="80" priority="89">
      <formula>AND(IF($Q116=3,1,IF($Q116=4,1,0)),IF($F116&lt;=85,1,0))</formula>
    </cfRule>
  </conditionalFormatting>
  <conditionalFormatting sqref="AI116">
    <cfRule type="expression" dxfId="79" priority="82">
      <formula>AND(IF(OR($Q116=1,$Q116=2),1,0),IF($X116&lt;=20,1,0))</formula>
    </cfRule>
    <cfRule type="expression" dxfId="78" priority="83">
      <formula>AND(IF($Q116=2,1,0),IF($X116&lt;30,1,0))</formula>
    </cfRule>
    <cfRule type="expression" dxfId="77" priority="84">
      <formula>AND(IF($Q116=3,1,0),IF($X116&lt;30,1,0))</formula>
    </cfRule>
    <cfRule type="expression" dxfId="76" priority="85">
      <formula>AND(IF($Q116=3,1,IF($Q116=4,1,0)),IF($F116&lt;=85,1,0))</formula>
    </cfRule>
  </conditionalFormatting>
  <conditionalFormatting sqref="AV117">
    <cfRule type="expression" dxfId="75" priority="80">
      <formula>AV117="X"</formula>
    </cfRule>
    <cfRule type="expression" dxfId="74" priority="81">
      <formula>AV117="후보"</formula>
    </cfRule>
  </conditionalFormatting>
  <conditionalFormatting sqref="Z117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N117">
    <cfRule type="cellIs" dxfId="71" priority="75" operator="greaterThan">
      <formula>0.9</formula>
    </cfRule>
    <cfRule type="cellIs" dxfId="70" priority="76" operator="greaterThan">
      <formula>0.85</formula>
    </cfRule>
  </conditionalFormatting>
  <conditionalFormatting sqref="E117">
    <cfRule type="expression" dxfId="69" priority="71">
      <formula>AND(IF(OR($Q117=1,$Q117=2),1,0),IF($X117&lt;=20,1,0))</formula>
    </cfRule>
    <cfRule type="expression" dxfId="68" priority="72">
      <formula>AND(IF($Q117=2,1,0),IF($X117&lt;30,1,0))</formula>
    </cfRule>
    <cfRule type="expression" dxfId="67" priority="73">
      <formula>AND(IF($Q117=3,1,0),IF($X117&lt;30,1,0))</formula>
    </cfRule>
    <cfRule type="expression" dxfId="66" priority="74">
      <formula>AND(IF($Q117=3,1,IF($Q117=4,1,0)),IF($F117&lt;=85,1,0))</formula>
    </cfRule>
  </conditionalFormatting>
  <conditionalFormatting sqref="X117">
    <cfRule type="expression" dxfId="65" priority="67">
      <formula>AND(IF(OR($Q117=1,$Q117=2),1,0),IF($X117&lt;=20,1,0))</formula>
    </cfRule>
    <cfRule type="expression" dxfId="64" priority="68">
      <formula>AND(IF($Q117=2,1,0),IF($X117&lt;30,1,0))</formula>
    </cfRule>
    <cfRule type="expression" dxfId="63" priority="69">
      <formula>AND(IF($Q117=3,1,0),IF($X117&lt;30,1,0))</formula>
    </cfRule>
    <cfRule type="expression" dxfId="62" priority="70">
      <formula>AND(IF($Q117=3,1,IF($Q117=4,1,0)),IF($F117&lt;=85,1,0))</formula>
    </cfRule>
  </conditionalFormatting>
  <conditionalFormatting sqref="AI117">
    <cfRule type="expression" dxfId="61" priority="63">
      <formula>AND(IF(OR($Q117=1,$Q117=2),1,0),IF($X117&lt;=20,1,0))</formula>
    </cfRule>
    <cfRule type="expression" dxfId="60" priority="64">
      <formula>AND(IF($Q117=2,1,0),IF($X117&lt;30,1,0))</formula>
    </cfRule>
    <cfRule type="expression" dxfId="59" priority="65">
      <formula>AND(IF($Q117=3,1,0),IF($X117&lt;30,1,0))</formula>
    </cfRule>
    <cfRule type="expression" dxfId="58" priority="66">
      <formula>AND(IF($Q117=3,1,IF($Q117=4,1,0)),IF($F117&lt;=85,1,0))</formula>
    </cfRule>
  </conditionalFormatting>
  <conditionalFormatting sqref="AV118">
    <cfRule type="expression" dxfId="57" priority="61">
      <formula>AV118="X"</formula>
    </cfRule>
    <cfRule type="expression" dxfId="56" priority="62">
      <formula>AV118="후보"</formula>
    </cfRule>
  </conditionalFormatting>
  <conditionalFormatting sqref="Z118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55" priority="58" operator="greaterThan">
      <formula>0.9</formula>
    </cfRule>
    <cfRule type="cellIs" dxfId="54" priority="59" operator="greaterThan">
      <formula>0.85</formula>
    </cfRule>
  </conditionalFormatting>
  <conditionalFormatting sqref="N118">
    <cfRule type="cellIs" dxfId="53" priority="56" operator="greaterThan">
      <formula>0.9</formula>
    </cfRule>
    <cfRule type="cellIs" dxfId="52" priority="57" operator="greaterThan">
      <formula>0.85</formula>
    </cfRule>
  </conditionalFormatting>
  <conditionalFormatting sqref="E118">
    <cfRule type="expression" dxfId="51" priority="52">
      <formula>AND(IF(OR($Q118=1,$Q118=2),1,0),IF($X118&lt;=20,1,0))</formula>
    </cfRule>
    <cfRule type="expression" dxfId="50" priority="53">
      <formula>AND(IF($Q118=2,1,0),IF($X118&lt;30,1,0))</formula>
    </cfRule>
    <cfRule type="expression" dxfId="49" priority="54">
      <formula>AND(IF($Q118=3,1,0),IF($X118&lt;30,1,0))</formula>
    </cfRule>
    <cfRule type="expression" dxfId="48" priority="55">
      <formula>AND(IF($Q118=3,1,IF($Q118=4,1,0)),IF($F118&lt;=85,1,0))</formula>
    </cfRule>
  </conditionalFormatting>
  <conditionalFormatting sqref="X118">
    <cfRule type="expression" dxfId="47" priority="48">
      <formula>AND(IF(OR($Q118=1,$Q118=2),1,0),IF($X118&lt;=20,1,0))</formula>
    </cfRule>
    <cfRule type="expression" dxfId="46" priority="49">
      <formula>AND(IF($Q118=2,1,0),IF($X118&lt;30,1,0))</formula>
    </cfRule>
    <cfRule type="expression" dxfId="45" priority="50">
      <formula>AND(IF($Q118=3,1,0),IF($X118&lt;30,1,0))</formula>
    </cfRule>
    <cfRule type="expression" dxfId="44" priority="51">
      <formula>AND(IF($Q118=3,1,IF($Q118=4,1,0)),IF($F118&lt;=85,1,0))</formula>
    </cfRule>
  </conditionalFormatting>
  <conditionalFormatting sqref="AI118">
    <cfRule type="expression" dxfId="43" priority="44">
      <formula>AND(IF(OR($Q118=1,$Q118=2),1,0),IF($X118&lt;=20,1,0))</formula>
    </cfRule>
    <cfRule type="expression" dxfId="42" priority="45">
      <formula>AND(IF($Q118=2,1,0),IF($X118&lt;30,1,0))</formula>
    </cfRule>
    <cfRule type="expression" dxfId="41" priority="46">
      <formula>AND(IF($Q118=3,1,0),IF($X118&lt;30,1,0))</formula>
    </cfRule>
    <cfRule type="expression" dxfId="40" priority="47">
      <formula>AND(IF($Q118=3,1,IF($Q118=4,1,0)),IF($F118&lt;=85,1,0))</formula>
    </cfRule>
  </conditionalFormatting>
  <conditionalFormatting sqref="AV119">
    <cfRule type="expression" dxfId="39" priority="42">
      <formula>AV119="X"</formula>
    </cfRule>
    <cfRule type="expression" dxfId="38" priority="43">
      <formula>AV119="후보"</formula>
    </cfRule>
  </conditionalFormatting>
  <conditionalFormatting sqref="Z119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 N119">
    <cfRule type="cellIs" dxfId="37" priority="39" operator="greaterThan">
      <formula>0.9</formula>
    </cfRule>
    <cfRule type="cellIs" dxfId="36" priority="40" operator="greaterThan">
      <formula>0.85</formula>
    </cfRule>
  </conditionalFormatting>
  <conditionalFormatting sqref="AV120">
    <cfRule type="expression" dxfId="35" priority="37">
      <formula>AV120="X"</formula>
    </cfRule>
    <cfRule type="expression" dxfId="34" priority="38">
      <formula>AV120="후보"</formula>
    </cfRule>
  </conditionalFormatting>
  <conditionalFormatting sqref="Z12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120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120">
    <cfRule type="expression" dxfId="29" priority="28">
      <formula>AND(IF(OR($Q120=1,$Q120=2),1,0),IF($X120&lt;=20,1,0))</formula>
    </cfRule>
    <cfRule type="expression" dxfId="28" priority="29">
      <formula>AND(IF($Q120=2,1,0),IF($X120&lt;30,1,0))</formula>
    </cfRule>
    <cfRule type="expression" dxfId="27" priority="30">
      <formula>AND(IF($Q120=3,1,0),IF($X120&lt;30,1,0))</formula>
    </cfRule>
    <cfRule type="expression" dxfId="26" priority="31">
      <formula>AND(IF($Q120=3,1,IF($Q120=4,1,0)),IF($F120&lt;=85,1,0))</formula>
    </cfRule>
  </conditionalFormatting>
  <conditionalFormatting sqref="X120">
    <cfRule type="expression" dxfId="25" priority="24">
      <formula>AND(IF(OR($Q120=1,$Q120=2),1,0),IF($X120&lt;=20,1,0))</formula>
    </cfRule>
    <cfRule type="expression" dxfId="24" priority="25">
      <formula>AND(IF($Q120=2,1,0),IF($X120&lt;30,1,0))</formula>
    </cfRule>
    <cfRule type="expression" dxfId="23" priority="26">
      <formula>AND(IF($Q120=3,1,0),IF($X120&lt;30,1,0))</formula>
    </cfRule>
    <cfRule type="expression" dxfId="22" priority="27">
      <formula>AND(IF($Q120=3,1,IF($Q120=4,1,0)),IF($F120&lt;=85,1,0))</formula>
    </cfRule>
  </conditionalFormatting>
  <conditionalFormatting sqref="AI120">
    <cfRule type="expression" dxfId="21" priority="20">
      <formula>AND(IF(OR($Q120=1,$Q120=2),1,0),IF($X120&lt;=20,1,0))</formula>
    </cfRule>
    <cfRule type="expression" dxfId="20" priority="21">
      <formula>AND(IF($Q120=2,1,0),IF($X120&lt;30,1,0))</formula>
    </cfRule>
    <cfRule type="expression" dxfId="19" priority="22">
      <formula>AND(IF($Q120=3,1,0),IF($X120&lt;30,1,0))</formula>
    </cfRule>
    <cfRule type="expression" dxfId="18" priority="23">
      <formula>AND(IF($Q120=3,1,IF($Q120=4,1,0)),IF($F120&lt;=85,1,0))</formula>
    </cfRule>
  </conditionalFormatting>
  <conditionalFormatting sqref="AV121">
    <cfRule type="expression" dxfId="17" priority="18">
      <formula>AV121="X"</formula>
    </cfRule>
    <cfRule type="expression" dxfId="16" priority="19">
      <formula>AV121="후보"</formula>
    </cfRule>
  </conditionalFormatting>
  <conditionalFormatting sqref="Z12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121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121">
    <cfRule type="expression" dxfId="11" priority="9">
      <formula>AND(IF(OR($Q121=1,$Q121=2),1,0),IF($X121&lt;=20,1,0))</formula>
    </cfRule>
    <cfRule type="expression" dxfId="10" priority="10">
      <formula>AND(IF($Q121=2,1,0),IF($X121&lt;30,1,0))</formula>
    </cfRule>
    <cfRule type="expression" dxfId="9" priority="11">
      <formula>AND(IF($Q121=3,1,0),IF($X121&lt;30,1,0))</formula>
    </cfRule>
    <cfRule type="expression" dxfId="8" priority="12">
      <formula>AND(IF($Q121=3,1,IF($Q121=4,1,0)),IF($F121&lt;=85,1,0))</formula>
    </cfRule>
  </conditionalFormatting>
  <conditionalFormatting sqref="X121">
    <cfRule type="expression" dxfId="7" priority="5">
      <formula>AND(IF(OR($Q121=1,$Q121=2),1,0),IF($X121&lt;=20,1,0))</formula>
    </cfRule>
    <cfRule type="expression" dxfId="6" priority="6">
      <formula>AND(IF($Q121=2,1,0),IF($X121&lt;30,1,0))</formula>
    </cfRule>
    <cfRule type="expression" dxfId="5" priority="7">
      <formula>AND(IF($Q121=3,1,0),IF($X121&lt;30,1,0))</formula>
    </cfRule>
    <cfRule type="expression" dxfId="4" priority="8">
      <formula>AND(IF($Q121=3,1,IF($Q121=4,1,0)),IF($F121&lt;=85,1,0))</formula>
    </cfRule>
  </conditionalFormatting>
  <conditionalFormatting sqref="AI121">
    <cfRule type="expression" dxfId="3" priority="1">
      <formula>AND(IF(OR($Q121=1,$Q121=2),1,0),IF($X121&lt;=20,1,0))</formula>
    </cfRule>
    <cfRule type="expression" dxfId="2" priority="2">
      <formula>AND(IF($Q121=2,1,0),IF($X121&lt;30,1,0))</formula>
    </cfRule>
    <cfRule type="expression" dxfId="1" priority="3">
      <formula>AND(IF($Q121=3,1,0),IF($X121&lt;30,1,0))</formula>
    </cfRule>
    <cfRule type="expression" dxfId="0" priority="4">
      <formula>AND(IF($Q121=3,1,IF($Q121=4,1,0)),IF($F121&lt;=85,1,0))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7639" priority="5349">
      <formula>AV4="X"</formula>
    </cfRule>
    <cfRule type="expression" dxfId="7638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637" priority="5346" operator="greaterThan">
      <formula>0.9</formula>
    </cfRule>
    <cfRule type="cellIs" dxfId="7636" priority="5347" operator="greaterThan">
      <formula>0.85</formula>
    </cfRule>
  </conditionalFormatting>
  <conditionalFormatting sqref="N1:N2">
    <cfRule type="cellIs" dxfId="7635" priority="5344" operator="greaterThan">
      <formula>0.9</formula>
    </cfRule>
    <cfRule type="cellIs" dxfId="7634" priority="5345" operator="greaterThan">
      <formula>0.85</formula>
    </cfRule>
  </conditionalFormatting>
  <conditionalFormatting sqref="N6">
    <cfRule type="cellIs" dxfId="7633" priority="17" operator="greaterThan">
      <formula>0.9</formula>
    </cfRule>
    <cfRule type="cellIs" dxfId="7632" priority="18" operator="greaterThan">
      <formula>0.85</formula>
    </cfRule>
  </conditionalFormatting>
  <conditionalFormatting sqref="E6">
    <cfRule type="expression" dxfId="7631" priority="9">
      <formula>AND(IF(OR($Q6=1,$Q6=2),1,0),IF($X6&lt;=20,1,0))</formula>
    </cfRule>
    <cfRule type="expression" dxfId="7630" priority="10">
      <formula>AND(IF($Q6=2,1,0),IF($X6&lt;30,1,0))</formula>
    </cfRule>
    <cfRule type="expression" dxfId="7629" priority="11">
      <formula>AND(IF($Q6=3,1,0),IF($X6&lt;30,1,0))</formula>
    </cfRule>
    <cfRule type="expression" dxfId="7628" priority="12">
      <formula>AND(IF($Q6=3,1,IF($Q6=4,1,0)),IF($F6&lt;=85,1,0))</formula>
    </cfRule>
  </conditionalFormatting>
  <conditionalFormatting sqref="X6">
    <cfRule type="expression" dxfId="7627" priority="5">
      <formula>AND(IF(OR($Q6=1,$Q6=2),1,0),IF($X6&lt;=20,1,0))</formula>
    </cfRule>
    <cfRule type="expression" dxfId="7626" priority="6">
      <formula>AND(IF($Q6=2,1,0),IF($X6&lt;30,1,0))</formula>
    </cfRule>
    <cfRule type="expression" dxfId="7625" priority="7">
      <formula>AND(IF($Q6=3,1,0),IF($X6&lt;30,1,0))</formula>
    </cfRule>
    <cfRule type="expression" dxfId="7624" priority="8">
      <formula>AND(IF($Q6=3,1,IF($Q6=4,1,0)),IF($F6&lt;=85,1,0))</formula>
    </cfRule>
  </conditionalFormatting>
  <conditionalFormatting sqref="AI6">
    <cfRule type="expression" dxfId="7623" priority="1">
      <formula>AND(IF(OR($Q6=1,$Q6=2),1,0),IF($X6&lt;=20,1,0))</formula>
    </cfRule>
    <cfRule type="expression" dxfId="7622" priority="2">
      <formula>AND(IF($Q6=2,1,0),IF($X6&lt;30,1,0))</formula>
    </cfRule>
    <cfRule type="expression" dxfId="7621" priority="3">
      <formula>AND(IF($Q6=3,1,0),IF($X6&lt;30,1,0))</formula>
    </cfRule>
    <cfRule type="expression" dxfId="762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30</vt:i4>
      </vt:variant>
    </vt:vector>
  </HeadingPairs>
  <TitlesOfParts>
    <vt:vector size="48" baseType="lpstr">
      <vt:lpstr>단지추출</vt:lpstr>
      <vt:lpstr>단지추출_가격표용</vt:lpstr>
      <vt:lpstr>동별가격표</vt:lpstr>
      <vt:lpstr>정보입력(KB)</vt:lpstr>
      <vt:lpstr>정보입력</vt:lpstr>
      <vt:lpstr>계산동</vt:lpstr>
      <vt:lpstr>귤현동</vt:lpstr>
      <vt:lpstr>동양동</vt:lpstr>
      <vt:lpstr>박촌동</vt:lpstr>
      <vt:lpstr>방축동</vt:lpstr>
      <vt:lpstr>병방동</vt:lpstr>
      <vt:lpstr>서운동</vt:lpstr>
      <vt:lpstr>오류동</vt:lpstr>
      <vt:lpstr>용종동</vt:lpstr>
      <vt:lpstr>이화동</vt:lpstr>
      <vt:lpstr>작전동</vt:lpstr>
      <vt:lpstr>효성동</vt:lpstr>
      <vt:lpstr>양식</vt:lpstr>
      <vt:lpstr>계산동!Print_Area</vt:lpstr>
      <vt:lpstr>귤현동!Print_Area</vt:lpstr>
      <vt:lpstr>단지추출!Print_Area</vt:lpstr>
      <vt:lpstr>단지추출_가격표용!Print_Area</vt:lpstr>
      <vt:lpstr>동양동!Print_Area</vt:lpstr>
      <vt:lpstr>박촌동!Print_Area</vt:lpstr>
      <vt:lpstr>방축동!Print_Area</vt:lpstr>
      <vt:lpstr>병방동!Print_Area</vt:lpstr>
      <vt:lpstr>서운동!Print_Area</vt:lpstr>
      <vt:lpstr>양식!Print_Area</vt:lpstr>
      <vt:lpstr>오류동!Print_Area</vt:lpstr>
      <vt:lpstr>용종동!Print_Area</vt:lpstr>
      <vt:lpstr>이화동!Print_Area</vt:lpstr>
      <vt:lpstr>작전동!Print_Area</vt:lpstr>
      <vt:lpstr>효성동!Print_Area</vt:lpstr>
      <vt:lpstr>계산동!Print_Titles</vt:lpstr>
      <vt:lpstr>귤현동!Print_Titles</vt:lpstr>
      <vt:lpstr>단지추출!Print_Titles</vt:lpstr>
      <vt:lpstr>단지추출_가격표용!Print_Titles</vt:lpstr>
      <vt:lpstr>동양동!Print_Titles</vt:lpstr>
      <vt:lpstr>박촌동!Print_Titles</vt:lpstr>
      <vt:lpstr>방축동!Print_Titles</vt:lpstr>
      <vt:lpstr>병방동!Print_Titles</vt:lpstr>
      <vt:lpstr>서운동!Print_Titles</vt:lpstr>
      <vt:lpstr>양식!Print_Titles</vt:lpstr>
      <vt:lpstr>오류동!Print_Titles</vt:lpstr>
      <vt:lpstr>용종동!Print_Titles</vt:lpstr>
      <vt:lpstr>이화동!Print_Titles</vt:lpstr>
      <vt:lpstr>작전동!Print_Titles</vt:lpstr>
      <vt:lpstr>효성동!Print_Titles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2022-04-03T14:39:35Z</dcterms:modified>
</cp:coreProperties>
</file>